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Luxdev-assignments\excel assignments\"/>
    </mc:Choice>
  </mc:AlternateContent>
  <bookViews>
    <workbookView xWindow="0" yWindow="0" windowWidth="14295" windowHeight="5955" firstSheet="2" activeTab="6"/>
  </bookViews>
  <sheets>
    <sheet name="Excel_jumia (3)" sheetId="1" r:id="rId1"/>
    <sheet name="Transformed" sheetId="2" r:id="rId2"/>
    <sheet name="Average Table" sheetId="3" r:id="rId3"/>
    <sheet name="Average Rating" sheetId="4" r:id="rId4"/>
    <sheet name="Product Distribution" sheetId="5" r:id="rId5"/>
    <sheet name="No of Reviews" sheetId="6" r:id="rId6"/>
    <sheet name="Chart" sheetId="8" r:id="rId7"/>
  </sheets>
  <definedNames>
    <definedName name="_xlnm._FilterDatabase" localSheetId="1" hidden="1">Transformed!$B$1:$B$116</definedName>
    <definedName name="Slicer_Discount_Category">#N/A</definedName>
    <definedName name="Slicer_Ratings_Category">#N/A</definedName>
  </definedNames>
  <calcPr calcId="162913"/>
  <pivotCaches>
    <pivotCache cacheId="1" r:id="rId8"/>
    <pivotCache cacheId="0" r:id="rId9"/>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2" i="2"/>
  <c r="F34" i="2" l="1"/>
  <c r="F102" i="2"/>
  <c r="F79" i="2"/>
  <c r="F88" i="2"/>
  <c r="F109" i="2"/>
  <c r="F105" i="2"/>
  <c r="F54" i="2"/>
  <c r="F68" i="2"/>
  <c r="F80" i="2"/>
  <c r="F43" i="2"/>
  <c r="F55" i="2"/>
  <c r="F35" i="2"/>
  <c r="F31" i="2"/>
  <c r="F86" i="2"/>
  <c r="F20" i="2"/>
  <c r="F8" i="2"/>
  <c r="F97" i="2"/>
  <c r="F110" i="2"/>
  <c r="F57" i="2"/>
  <c r="F2" i="2"/>
  <c r="F93" i="2"/>
  <c r="F48" i="2"/>
  <c r="F82" i="2"/>
  <c r="F98" i="2"/>
  <c r="F25" i="2"/>
  <c r="F108" i="2"/>
  <c r="F70" i="2"/>
  <c r="F89" i="2"/>
  <c r="F103" i="2"/>
  <c r="F7" i="2"/>
  <c r="F53" i="2"/>
  <c r="F92" i="2"/>
  <c r="F95" i="2"/>
  <c r="F96" i="2"/>
  <c r="F81" i="2"/>
  <c r="F5" i="2"/>
  <c r="F23" i="2"/>
  <c r="F91" i="2"/>
  <c r="F106" i="2"/>
  <c r="F29" i="2"/>
  <c r="F13" i="2"/>
  <c r="F36" i="2"/>
  <c r="F100" i="2"/>
  <c r="F58" i="2"/>
  <c r="F63" i="2"/>
  <c r="F39" i="2"/>
  <c r="F65" i="2"/>
  <c r="F10" i="2"/>
  <c r="F16" i="2"/>
  <c r="F84" i="2"/>
  <c r="F17" i="2"/>
  <c r="F72" i="2"/>
  <c r="F44" i="2"/>
  <c r="F30" i="2"/>
  <c r="F41" i="2"/>
  <c r="F45" i="2"/>
  <c r="F107" i="2"/>
  <c r="F24" i="2"/>
  <c r="F101" i="2"/>
  <c r="F28" i="2"/>
  <c r="F99" i="2"/>
  <c r="F26" i="2"/>
  <c r="F18" i="2"/>
  <c r="F67" i="2"/>
  <c r="F56" i="2"/>
  <c r="F59" i="2"/>
  <c r="F113" i="2"/>
  <c r="F22" i="2"/>
  <c r="F104" i="2"/>
  <c r="F21" i="2"/>
  <c r="F32" i="2"/>
  <c r="F51" i="2"/>
  <c r="F78" i="2"/>
  <c r="F42" i="2"/>
  <c r="F40" i="2"/>
  <c r="F87" i="2"/>
  <c r="F12" i="2"/>
  <c r="F62" i="2"/>
  <c r="F52" i="2"/>
  <c r="F73" i="2"/>
  <c r="F85" i="2"/>
  <c r="F19" i="2"/>
  <c r="F6" i="2"/>
  <c r="F75" i="2"/>
  <c r="F15" i="2"/>
  <c r="F46" i="2"/>
  <c r="F38" i="2"/>
  <c r="F76" i="2"/>
  <c r="F37" i="2"/>
  <c r="F47" i="2"/>
  <c r="F69" i="2"/>
  <c r="F3" i="2"/>
  <c r="F49" i="2"/>
  <c r="F66" i="2"/>
  <c r="F77" i="2"/>
  <c r="F74" i="2"/>
  <c r="F14" i="2"/>
  <c r="F111" i="2"/>
  <c r="F33" i="2"/>
  <c r="F60" i="2"/>
  <c r="F112" i="2"/>
  <c r="F71" i="2"/>
  <c r="F94" i="2"/>
  <c r="F9" i="2"/>
  <c r="F61" i="2"/>
  <c r="F64" i="2"/>
  <c r="F83" i="2"/>
  <c r="F90" i="2"/>
  <c r="F11" i="2"/>
  <c r="F27" i="2"/>
  <c r="F4" i="2"/>
  <c r="F50" i="2"/>
  <c r="D34" i="2"/>
  <c r="D102" i="2"/>
  <c r="D79" i="2"/>
  <c r="D88" i="2"/>
  <c r="D109" i="2"/>
  <c r="D105" i="2"/>
  <c r="D54" i="2"/>
  <c r="D68" i="2"/>
  <c r="D80" i="2"/>
  <c r="D43" i="2"/>
  <c r="D55" i="2"/>
  <c r="D35" i="2"/>
  <c r="D31" i="2"/>
  <c r="D86" i="2"/>
  <c r="D20" i="2"/>
  <c r="D8" i="2"/>
  <c r="D97" i="2"/>
  <c r="D110" i="2"/>
  <c r="D57" i="2"/>
  <c r="D2" i="2"/>
  <c r="D93" i="2"/>
  <c r="D48" i="2"/>
  <c r="D82" i="2"/>
  <c r="D98" i="2"/>
  <c r="D25" i="2"/>
  <c r="D108" i="2"/>
  <c r="D70" i="2"/>
  <c r="D89" i="2"/>
  <c r="D103" i="2"/>
  <c r="D7" i="2"/>
  <c r="D53" i="2"/>
  <c r="D92" i="2"/>
  <c r="D95" i="2"/>
  <c r="D96" i="2"/>
  <c r="D81" i="2"/>
  <c r="D5" i="2"/>
  <c r="D23" i="2"/>
  <c r="D91" i="2"/>
  <c r="D106" i="2"/>
  <c r="D29" i="2"/>
  <c r="D13" i="2"/>
  <c r="D36" i="2"/>
  <c r="D100" i="2"/>
  <c r="D58" i="2"/>
  <c r="D63" i="2"/>
  <c r="D39" i="2"/>
  <c r="D65" i="2"/>
  <c r="D10" i="2"/>
  <c r="D16" i="2"/>
  <c r="D84" i="2"/>
  <c r="D17" i="2"/>
  <c r="D72" i="2"/>
  <c r="D44" i="2"/>
  <c r="D30" i="2"/>
  <c r="D41" i="2"/>
  <c r="D45" i="2"/>
  <c r="D107" i="2"/>
  <c r="D24" i="2"/>
  <c r="D101" i="2"/>
  <c r="D28" i="2"/>
  <c r="D99" i="2"/>
  <c r="D26" i="2"/>
  <c r="D18" i="2"/>
  <c r="D67" i="2"/>
  <c r="D56" i="2"/>
  <c r="D59" i="2"/>
  <c r="D113" i="2"/>
  <c r="D22" i="2"/>
  <c r="D104" i="2"/>
  <c r="D21" i="2"/>
  <c r="D32" i="2"/>
  <c r="D51" i="2"/>
  <c r="D78" i="2"/>
  <c r="D42" i="2"/>
  <c r="D40" i="2"/>
  <c r="D87" i="2"/>
  <c r="D12" i="2"/>
  <c r="D62" i="2"/>
  <c r="D52" i="2"/>
  <c r="D73" i="2"/>
  <c r="D85" i="2"/>
  <c r="D19" i="2"/>
  <c r="D6" i="2"/>
  <c r="D75" i="2"/>
  <c r="D15" i="2"/>
  <c r="D46" i="2"/>
  <c r="D38" i="2"/>
  <c r="D76" i="2"/>
  <c r="D37" i="2"/>
  <c r="D47" i="2"/>
  <c r="D69" i="2"/>
  <c r="D3" i="2"/>
  <c r="D49" i="2"/>
  <c r="D66" i="2"/>
  <c r="D77" i="2"/>
  <c r="D74" i="2"/>
  <c r="D14" i="2"/>
  <c r="D111" i="2"/>
  <c r="D33" i="2"/>
  <c r="D60" i="2"/>
  <c r="D112" i="2"/>
  <c r="D71" i="2"/>
  <c r="D94" i="2"/>
  <c r="D9" i="2"/>
  <c r="D61" i="2"/>
  <c r="D64" i="2"/>
  <c r="D83" i="2"/>
  <c r="D90" i="2"/>
  <c r="D11" i="2"/>
  <c r="D27" i="2"/>
  <c r="D4" i="2"/>
  <c r="D50" i="2"/>
</calcChain>
</file>

<file path=xl/sharedStrings.xml><?xml version="1.0" encoding="utf-8"?>
<sst xmlns="http://schemas.openxmlformats.org/spreadsheetml/2006/main" count="612" uniqueCount="348">
  <si>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</si>
  <si>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</si>
  <si>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</si>
  <si>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</si>
  <si>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</si>
  <si>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</si>
  <si>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</si>
  <si>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</si>
  <si>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</si>
  <si>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</si>
  <si>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</si>
  <si>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</si>
  <si>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</si>
  <si>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</si>
  <si>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</si>
  <si>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</si>
  <si>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</si>
  <si>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</si>
  <si>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</si>
  <si>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</si>
  <si>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</si>
  <si>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</si>
  <si>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</si>
  <si>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</si>
  <si>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</si>
  <si>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</si>
  <si>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</si>
  <si>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</si>
  <si>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</si>
  <si>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</si>
  <si>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</si>
  <si>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</si>
  <si>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</si>
  <si>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</si>
  <si>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</si>
  <si>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</si>
  <si>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</si>
  <si>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</si>
  <si>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</si>
  <si>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</si>
  <si>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</si>
  <si>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</si>
  <si>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</si>
  <si>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</si>
  <si>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</si>
  <si>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</si>
  <si>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</si>
  <si>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</si>
  <si>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</si>
  <si>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</si>
  <si>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</si>
  <si>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</si>
  <si>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</si>
  <si>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</si>
  <si>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</si>
  <si>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</si>
  <si>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</si>
  <si>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</si>
  <si>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</si>
  <si>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</si>
  <si>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</si>
  <si>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</si>
  <si>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</si>
  <si>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</si>
  <si>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</si>
  <si>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</si>
  <si>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</si>
  <si>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</si>
  <si>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</si>
  <si>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</si>
  <si>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</si>
  <si>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</si>
  <si>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</si>
  <si>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</si>
  <si>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</si>
  <si>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</si>
  <si>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</si>
  <si>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</si>
  <si>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</si>
  <si>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</si>
  <si>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</si>
  <si>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</si>
  <si>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</si>
  <si>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</si>
  <si>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</si>
  <si>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</si>
  <si>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</si>
  <si>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</si>
  <si>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</si>
  <si>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</si>
  <si>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</si>
  <si>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</si>
  <si>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</si>
  <si>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</si>
  <si>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</si>
  <si>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</si>
  <si>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</si>
  <si>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</si>
  <si>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</si>
  <si>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</si>
  <si>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</si>
  <si>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</si>
  <si>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</si>
  <si>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</si>
  <si>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</si>
  <si>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</si>
  <si>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</si>
  <si>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</si>
  <si>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</si>
  <si>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</si>
  <si>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</si>
  <si>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</si>
  <si>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</si>
  <si>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</si>
  <si>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</si>
  <si>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</si>
  <si>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</si>
  <si>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</si>
  <si>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</si>
  <si>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</si>
  <si>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</si>
  <si>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</si>
  <si>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</si>
  <si>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</si>
  <si>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</si>
  <si>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</si>
  <si>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</si>
  <si>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</si>
  <si>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</si>
  <si>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</si>
  <si>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</si>
  <si>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</si>
  <si>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</si>
  <si>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</si>
  <si>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</si>
  <si>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</si>
  <si>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</si>
  <si>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</si>
  <si>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</si>
  <si>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</si>
  <si>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</si>
  <si>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</si>
  <si>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</si>
  <si>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</si>
  <si>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</si>
  <si>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</si>
  <si>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</si>
  <si>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</si>
  <si>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</si>
  <si>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</si>
  <si>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</si>
  <si>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</si>
  <si>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</si>
  <si>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</si>
  <si>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</si>
  <si>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</si>
  <si>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</si>
  <si>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</si>
  <si>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</si>
  <si>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</si>
  <si>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</si>
  <si>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</si>
  <si>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</si>
  <si>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</si>
  <si>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</si>
  <si>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</si>
  <si>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</si>
  <si>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</si>
  <si>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</si>
  <si>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</si>
  <si>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</si>
  <si>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</si>
  <si>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</si>
  <si>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</si>
  <si>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</si>
  <si>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</si>
  <si>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</si>
  <si>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</si>
  <si>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</si>
  <si>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</si>
  <si>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</si>
  <si>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</si>
  <si>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</si>
  <si>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</si>
  <si>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</si>
  <si>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</si>
  <si>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</si>
  <si>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</si>
  <si>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</si>
  <si>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</si>
  <si>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</si>
  <si>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</si>
  <si>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</si>
  <si>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</si>
  <si>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</si>
  <si>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</si>
  <si>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</si>
  <si>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</si>
  <si>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</si>
  <si>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</si>
  <si>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</si>
  <si>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</si>
  <si>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</si>
  <si>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</si>
  <si>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</si>
  <si>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</si>
  <si>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</si>
  <si>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</si>
  <si>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</si>
  <si>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</si>
  <si>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</si>
  <si>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</si>
  <si>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</si>
  <si>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</si>
  <si>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</si>
  <si>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</si>
  <si>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</si>
  <si>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</si>
  <si>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</si>
  <si>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</si>
  <si>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</si>
  <si>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</si>
  <si>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</si>
  <si>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</si>
  <si>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</si>
  <si>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</si>
  <si>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</si>
  <si>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</si>
  <si>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</si>
  <si>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</si>
  <si>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</si>
  <si>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</si>
  <si>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</si>
  <si>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</si>
  <si>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</si>
  <si>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</si>
  <si>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</si>
  <si>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</si>
  <si>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</si>
  <si>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</si>
  <si>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</si>
  <si>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</si>
  <si>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</si>
  <si>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</si>
  <si>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</si>
  <si>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</si>
  <si>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</si>
  <si>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</si>
  <si>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</si>
  <si>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</si>
  <si>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</si>
  <si>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</si>
  <si>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</si>
  <si>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</si>
  <si>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</si>
  <si>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</si>
  <si>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</si>
  <si>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</si>
  <si>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</si>
  <si>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</si>
  <si>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</si>
  <si>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</si>
  <si>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</si>
  <si>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</si>
  <si>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</si>
  <si>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</si>
  <si>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</si>
  <si>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</si>
  <si>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</si>
  <si>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</si>
  <si>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</si>
  <si>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</si>
  <si>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</si>
  <si>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</si>
  <si>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</si>
  <si>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</si>
  <si>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</si>
  <si>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</si>
  <si>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</si>
  <si>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</si>
  <si>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</si>
  <si>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</si>
  <si>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</si>
  <si>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</si>
  <si>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</si>
  <si>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</si>
  <si>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</si>
  <si>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</si>
  <si>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</si>
  <si>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</si>
  <si>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</si>
  <si>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</si>
  <si>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</si>
  <si>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</si>
  <si>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</si>
  <si>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</si>
  <si>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</si>
  <si>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</si>
  <si>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</si>
  <si>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</si>
  <si>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</si>
  <si>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</si>
  <si>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</si>
  <si>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</si>
  <si>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</si>
  <si>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</si>
  <si>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</si>
  <si>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</si>
  <si>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</si>
  <si>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</si>
  <si>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</si>
  <si>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</si>
  <si>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</si>
  <si>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</si>
  <si>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</si>
  <si>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</si>
  <si>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</si>
  <si>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</si>
  <si>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</si>
  <si>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</si>
  <si>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</si>
  <si>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</si>
  <si>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</si>
  <si>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Ratings</t>
  </si>
  <si>
    <t>not provided</t>
  </si>
  <si>
    <t>Discount Amount</t>
  </si>
  <si>
    <t>Ratings Category</t>
  </si>
  <si>
    <t>Discount Category</t>
  </si>
  <si>
    <t>Average of Current price</t>
  </si>
  <si>
    <t>Average of old price</t>
  </si>
  <si>
    <t>Average of Discount Amount</t>
  </si>
  <si>
    <t>Average of Ratings</t>
  </si>
  <si>
    <t>Average of Discount</t>
  </si>
  <si>
    <t>Row Labels</t>
  </si>
  <si>
    <t>Average of Rating</t>
  </si>
  <si>
    <t>High</t>
  </si>
  <si>
    <t>Low</t>
  </si>
  <si>
    <t>Medium</t>
  </si>
  <si>
    <t>Grand Total</t>
  </si>
  <si>
    <t>Count of Product</t>
  </si>
  <si>
    <t>Average</t>
  </si>
  <si>
    <t>Excellent</t>
  </si>
  <si>
    <t>N/A</t>
  </si>
  <si>
    <t>Poor</t>
  </si>
  <si>
    <t>Count of Review</t>
  </si>
  <si>
    <t>average</t>
  </si>
  <si>
    <t>excellent</t>
  </si>
  <si>
    <t>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</si>
</sst>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Ksh-441]\ #,##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9" fontId="0" fillId="0" borderId="0" xfId="0" applyNumberFormat="1"/>
    <xf numFmtId="0" fontId="16" fillId="0" borderId="0" xfId="0" applyFont="1"/>
    <xf numFmtId="0" fontId="16" fillId="0" borderId="0" xfId="0" applyNumberFormat="1" applyFont="1"/>
    <xf numFmtId="0" fontId="0" fillId="0" borderId="0" xfId="0" applyNumberFormat="1"/>
    <xf numFmtId="10" fontId="16" fillId="0" borderId="0" xfId="0" applyNumberFormat="1" applyFont="1"/>
    <xf numFmtId="10" fontId="0" fillId="0" borderId="0" xfId="0" applyNumberFormat="1"/>
    <xf numFmtId="0" fontId="0" fillId="0" borderId="0" xfId="0" applyAlignment="1">
      <alignment horizontal="left"/>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(3)Transformed.xlsx]Chart!PivotTable5</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by Ratings Category</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Chart!$A$4:$A$7</c:f>
              <c:strCache>
                <c:ptCount val="3"/>
                <c:pt idx="0">
                  <c:v>average</c:v>
                </c:pt>
                <c:pt idx="1">
                  <c:v>excellent</c:v>
                </c:pt>
                <c:pt idx="2">
                  <c:v>poor</c:v>
                </c:pt>
              </c:strCache>
            </c:strRef>
          </c:cat>
          <c:val>
            <c:numRef>
              <c:f>Chart!$B$4:$B$7</c:f>
              <c:numCache>
                <c:formatCode>General</c:formatCode>
                <c:ptCount val="3"/>
                <c:pt idx="0">
                  <c:v>3.8090909090909091</c:v>
                </c:pt>
                <c:pt idx="1">
                  <c:v>4.7478260869565219</c:v>
                </c:pt>
                <c:pt idx="2">
                  <c:v>2.3916666666666666</c:v>
                </c:pt>
              </c:numCache>
            </c:numRef>
          </c:val>
          <c:extLst>
            <c:ext xmlns:c16="http://schemas.microsoft.com/office/drawing/2014/chart" uri="{C3380CC4-5D6E-409C-BE32-E72D297353CC}">
              <c16:uniqueId val="{00000000-40E2-4920-B914-2934001790E4}"/>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320040</xdr:colOff>
      <xdr:row>2</xdr:row>
      <xdr:rowOff>188595</xdr:rowOff>
    </xdr:from>
    <xdr:to>
      <xdr:col>5</xdr:col>
      <xdr:colOff>91440</xdr:colOff>
      <xdr:row>15</xdr:row>
      <xdr:rowOff>144780</xdr:rowOff>
    </xdr:to>
    <mc:AlternateContent xmlns:mc="http://schemas.openxmlformats.org/markup-compatibility/2006">
      <mc:Choice xmlns:a14="http://schemas.microsoft.com/office/drawing/2010/main" Requires="a14">
        <xdr:graphicFrame macro="">
          <xdr:nvGraphicFramePr>
            <xdr:cNvPr id="2" name="Ratings Category 1"/>
            <xdr:cNvGraphicFramePr/>
          </xdr:nvGraphicFramePr>
          <xdr:xfrm>
            <a:off x="0" y="0"/>
            <a:ext cx="0" cy="0"/>
          </xdr:xfrm>
          <a:graphic>
            <a:graphicData uri="http://schemas.microsoft.com/office/drawing/2010/slicer">
              <sle:slicer xmlns:sle="http://schemas.microsoft.com/office/drawing/2010/slicer" name="Ratings Category 1"/>
            </a:graphicData>
          </a:graphic>
        </xdr:graphicFrame>
      </mc:Choice>
      <mc:Fallback>
        <xdr:sp macro="" textlink="">
          <xdr:nvSpPr>
            <xdr:cNvPr id="0" name=""/>
            <xdr:cNvSpPr>
              <a:spLocks noTextEdit="1"/>
            </xdr:cNvSpPr>
          </xdr:nvSpPr>
          <xdr:spPr>
            <a:xfrm>
              <a:off x="2301240" y="588645"/>
              <a:ext cx="1828800" cy="2556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379095</xdr:colOff>
      <xdr:row>2</xdr:row>
      <xdr:rowOff>177165</xdr:rowOff>
    </xdr:from>
    <xdr:to>
      <xdr:col>8</xdr:col>
      <xdr:colOff>150495</xdr:colOff>
      <xdr:row>15</xdr:row>
      <xdr:rowOff>133350</xdr:rowOff>
    </xdr:to>
    <mc:AlternateContent xmlns:mc="http://schemas.openxmlformats.org/markup-compatibility/2006">
      <mc:Choice xmlns:a14="http://schemas.microsoft.com/office/drawing/2010/main" Requires="a14">
        <xdr:graphicFrame macro="">
          <xdr:nvGraphicFramePr>
            <xdr:cNvPr id="3"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4417695" y="577215"/>
              <a:ext cx="1828800" cy="2556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366712</xdr:colOff>
      <xdr:row>7</xdr:row>
      <xdr:rowOff>109537</xdr:rowOff>
    </xdr:from>
    <xdr:to>
      <xdr:col>11</xdr:col>
      <xdr:colOff>138112</xdr:colOff>
      <xdr:row>21</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USER/Downloads/Assignment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051.479801157409" createdVersion="6" refreshedVersion="6" minRefreshableVersion="3" recordCount="116">
  <cacheSource type="worksheet">
    <worksheetSource ref="A1:I1048576" sheet="Transformed"/>
  </cacheSource>
  <cacheFields count="9">
    <cacheField name="Product" numFmtId="0">
      <sharedItems containsBlank="1"/>
    </cacheField>
    <cacheField name="Current price" numFmtId="0">
      <sharedItems containsString="0" containsBlank="1" containsNumber="1" containsInteger="1" minValue="38" maxValue="3750" count="104">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m/>
      </sharedItems>
    </cacheField>
    <cacheField name="old price" numFmtId="0">
      <sharedItems containsString="0" containsBlank="1" containsNumber="1" containsInteger="1" minValue="80" maxValue="6143" count="94">
        <n v="1525"/>
        <n v="999"/>
        <n v="2923"/>
        <n v="2499"/>
        <n v="2356"/>
        <n v="3290"/>
        <n v="3032"/>
        <n v="1580"/>
        <n v="2800"/>
        <n v="2929"/>
        <n v="1500"/>
        <n v="1035"/>
        <n v="860"/>
        <n v="684"/>
        <n v="360"/>
        <n v="3971"/>
        <n v="3699"/>
        <n v="1966"/>
        <n v="80"/>
        <n v="3220"/>
        <n v="1350"/>
        <n v="2150"/>
        <n v="4500"/>
        <n v="647"/>
        <n v="3520"/>
        <n v="1990"/>
        <n v="4080"/>
        <n v="382"/>
        <n v="1490"/>
        <n v="3490"/>
        <n v="2650"/>
        <n v="2699"/>
        <n v="2690"/>
        <n v="656"/>
        <n v="2700"/>
        <n v="4471"/>
        <n v="931"/>
        <n v="476"/>
        <n v="1060"/>
        <n v="2169"/>
        <n v="2000"/>
        <n v="1785"/>
        <n v="1316"/>
        <n v="1950"/>
        <n v="504"/>
        <n v="600"/>
        <n v="1699"/>
        <n v="384"/>
        <n v="1499"/>
        <n v="1343"/>
        <n v="900"/>
        <n v="1567"/>
        <n v="3810"/>
        <n v="896"/>
        <n v="2500"/>
        <n v="986"/>
        <n v="4700"/>
        <n v="873"/>
        <n v="680"/>
        <n v="1555"/>
        <n v="1814"/>
        <n v="6143"/>
        <n v="700"/>
        <n v="3240"/>
        <n v="602"/>
        <n v="899"/>
        <n v="2988"/>
        <n v="1485"/>
        <n v="1200"/>
        <n v="1799"/>
        <n v="450"/>
        <n v="2199"/>
        <n v="1920"/>
        <n v="2290"/>
        <n v="345"/>
        <n v="537"/>
        <n v="1288"/>
        <n v="1100"/>
        <n v="1700"/>
        <n v="200"/>
        <n v="2400"/>
        <n v="1660"/>
        <n v="486"/>
        <n v="1029"/>
        <n v="1874"/>
        <n v="4588"/>
        <n v="2420"/>
        <n v="1899"/>
        <n v="260"/>
        <n v="1737"/>
        <n v="1810"/>
        <n v="553"/>
        <n v="320"/>
        <m/>
      </sharedItems>
    </cacheField>
    <cacheField name="Discount Amount" numFmtId="0">
      <sharedItems containsString="0" containsBlank="1" containsNumber="1" containsInteger="1" minValue="24" maxValue="2585" count="104">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m/>
      </sharedItems>
    </cacheField>
    <cacheField name="Discount" numFmtId="0">
      <sharedItems containsString="0" containsBlank="1"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m/>
      </sharedItems>
    </cacheField>
    <cacheField name="Discount Category" numFmtId="0">
      <sharedItems containsBlank="1"/>
    </cacheField>
    <cacheField name="Review" numFmtId="0">
      <sharedItems containsString="0" containsBlank="1" containsNumber="1" containsInteger="1" minValue="0" maxValue="69"/>
    </cacheField>
    <cacheField name="Ratings" numFmtId="0">
      <sharedItems containsBlank="1" containsMixedTypes="1" containsNumber="1" minValue="2" maxValue="5" count="24">
        <n v="4.5"/>
        <n v="4.0999999999999996"/>
        <n v="4.5999999999999996"/>
        <n v="4.7"/>
        <n v="4.8"/>
        <n v="4"/>
        <n v="3.8"/>
        <n v="4.2"/>
        <n v="5"/>
        <n v="3.3"/>
        <s v="not provided"/>
        <n v="4.4000000000000004"/>
        <n v="4.3"/>
        <n v="2.5"/>
        <n v="3"/>
        <n v="2.1"/>
        <n v="2.8"/>
        <n v="2.7"/>
        <n v="2.9"/>
        <n v="2.2000000000000002"/>
        <n v="2.2999999999999998"/>
        <n v="2.6"/>
        <n v="2"/>
        <m/>
      </sharedItems>
    </cacheField>
    <cacheField name="Ratings Category"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54.552092939812" createdVersion="6" refreshedVersion="6" minRefreshableVersion="3" recordCount="109">
  <cacheSource type="worksheet">
    <worksheetSource ref="A1:I110" sheet="Jumia Assignment" r:id="rId2"/>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MixedTypes="1" containsNumber="1" containsInteger="1" minValue="1" maxValue="69" count="24">
        <n v="2"/>
        <n v="14"/>
        <n v="24"/>
        <n v="7"/>
        <n v="5"/>
        <n v="15"/>
        <n v="55"/>
        <n v="12"/>
        <n v="39"/>
        <n v="6"/>
        <n v="9"/>
        <n v="3"/>
        <n v="44"/>
        <n v="13"/>
        <s v="N/A"/>
        <n v="49"/>
        <n v="20"/>
        <n v="32"/>
        <n v="1"/>
        <n v="36"/>
        <n v="10"/>
        <n v="69"/>
        <n v="16"/>
        <n v="17"/>
      </sharedItems>
    </cacheField>
    <cacheField name="Rating" numFmtId="0">
      <sharedItems containsMixedTypes="1" containsNumber="1" minValue="2" maxValue="5" count="23">
        <n v="4.5"/>
        <n v="4.0999999999999996"/>
        <n v="4.5999999999999996"/>
        <n v="4.7"/>
        <n v="4.8"/>
        <n v="4"/>
        <n v="3.8"/>
        <n v="4.2"/>
        <n v="5"/>
        <n v="3.3"/>
        <s v="N/A"/>
        <n v="4.4000000000000004"/>
        <n v="4.3"/>
        <n v="2.5"/>
        <n v="3"/>
        <n v="2.1"/>
        <n v="2.8"/>
        <n v="2.7"/>
        <n v="2.9"/>
        <n v="2.2000000000000002"/>
        <n v="2.2999999999999998"/>
        <n v="2.6"/>
        <n v="2"/>
      </sharedItems>
    </cacheField>
    <cacheField name="Discount Amount" numFmtId="164">
      <sharedItems containsSemiMixedTypes="0" containsString="0" containsNumber="1" containsInteger="1" minValue="24" maxValue="2585"/>
    </cacheField>
    <cacheField name="Ratings Category" numFmtId="0">
      <sharedItems count="4">
        <s v="Excellent"/>
        <s v="Average"/>
        <s v="N/A"/>
        <s v="Poor"/>
      </sharedItems>
    </cacheField>
    <cacheField name="Discount Category" numFmtId="0">
      <sharedItems count="3">
        <s v="Medium"/>
        <s v="High"/>
        <s v="Low"/>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055.02444108796" createdVersion="6" refreshedVersion="6" minRefreshableVersion="3" recordCount="112">
  <cacheSource type="worksheet">
    <worksheetSource ref="A1:I113" sheet="Transformed"/>
  </cacheSource>
  <cacheFields count="9">
    <cacheField name="Product" numFmtId="0">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Amount" numFmtId="0">
      <sharedItems containsSemiMixedTypes="0" containsString="0" containsNumber="1" containsInteger="1" minValue="24" maxValue="2585"/>
    </cacheField>
    <cacheField name="Discount" numFmtId="10">
      <sharedItems containsSemiMixedTypes="0" containsString="0" containsNumber="1" minValue="0.01" maxValue="0.64"/>
    </cacheField>
    <cacheField name="Discount Category" numFmtId="9">
      <sharedItems/>
    </cacheField>
    <cacheField name="Review" numFmtId="0">
      <sharedItems containsSemiMixedTypes="0" containsString="0" containsNumber="1" containsInteger="1" minValue="0" maxValue="69"/>
    </cacheField>
    <cacheField name="Ratings" numFmtId="0">
      <sharedItems containsMixedTypes="1" containsNumber="1" minValue="2" maxValue="5" count="23">
        <n v="3.3"/>
        <s v="not provided"/>
        <n v="5"/>
        <n v="4.3"/>
        <n v="2.7"/>
        <n v="4"/>
        <n v="2.2999999999999998"/>
        <n v="2.6"/>
        <n v="4.5999999999999996"/>
        <n v="2.8"/>
        <n v="2"/>
        <n v="3"/>
        <n v="4.5"/>
        <n v="4.0999999999999996"/>
        <n v="4.8"/>
        <n v="2.2000000000000002"/>
        <n v="4.7"/>
        <n v="2.9"/>
        <n v="3.8"/>
        <n v="2.1"/>
        <n v="4.4000000000000004"/>
        <n v="4.2"/>
        <n v="2.5"/>
      </sharedItems>
    </cacheField>
    <cacheField name="Ratings Category" numFmtId="0">
      <sharedItems count="4">
        <s v="average"/>
        <s v="N/A"/>
        <s v="excellent"/>
        <s v="po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6">
  <r>
    <s v="115  Piece Set Of Multifunctional Precision Screwdrivers"/>
    <x v="0"/>
    <x v="0"/>
    <x v="0"/>
    <x v="0"/>
    <s v="medium"/>
    <n v="2"/>
    <x v="0"/>
    <s v="excellent"/>
  </r>
  <r>
    <s v="Metal Decorative Hooks Key Hangers Entryway Wall Hooks Towel Hooks - Home"/>
    <x v="1"/>
    <x v="1"/>
    <x v="1"/>
    <x v="1"/>
    <s v="high"/>
    <n v="14"/>
    <x v="1"/>
    <s v="average"/>
  </r>
  <r>
    <s v="Portable Mini Cordless Car Vacuum Cleaner - Blue"/>
    <x v="2"/>
    <x v="2"/>
    <x v="2"/>
    <x v="2"/>
    <s v="medium"/>
    <n v="24"/>
    <x v="2"/>
    <s v="excellent"/>
  </r>
  <r>
    <s v="Weighing Scale Digital Bathroom Body Fat Scale USB-Black"/>
    <x v="3"/>
    <x v="3"/>
    <x v="3"/>
    <x v="3"/>
    <s v="medium"/>
    <n v="7"/>
    <x v="3"/>
    <s v="excellent"/>
  </r>
  <r>
    <s v="Portable Home Small Air Humidifier 3-Speed Fan - Green"/>
    <x v="4"/>
    <x v="4"/>
    <x v="4"/>
    <x v="4"/>
    <s v="medium"/>
    <n v="5"/>
    <x v="4"/>
    <s v="excellent"/>
  </r>
  <r>
    <s v="220V 60W Electric Soldering Iron Kits With Tools, Tips, And Multimeter"/>
    <x v="5"/>
    <x v="5"/>
    <x v="5"/>
    <x v="5"/>
    <s v="low"/>
    <n v="15"/>
    <x v="5"/>
    <s v="average"/>
  </r>
  <r>
    <s v="137 Pieces Cake Decorating Tool Set Baking Supplies"/>
    <x v="6"/>
    <x v="6"/>
    <x v="6"/>
    <x v="6"/>
    <s v="medium"/>
    <n v="55"/>
    <x v="2"/>
    <s v="excellent"/>
  </r>
  <r>
    <s v="Desk Foldable Fan Adjustable Fan Strong Wind 3 Gear Usb"/>
    <x v="7"/>
    <x v="7"/>
    <x v="7"/>
    <x v="3"/>
    <s v="medium"/>
    <n v="2"/>
    <x v="5"/>
    <s v="average"/>
  </r>
  <r>
    <s v="LASA FOLDING TABLE SERVING STAND"/>
    <x v="8"/>
    <x v="8"/>
    <x v="8"/>
    <x v="7"/>
    <s v="high"/>
    <n v="5"/>
    <x v="4"/>
    <s v="excellent"/>
  </r>
  <r>
    <s v="13 In 1 Home Repair Tools Box Kit Set"/>
    <x v="9"/>
    <x v="9"/>
    <x v="9"/>
    <x v="8"/>
    <s v="high"/>
    <n v="5"/>
    <x v="6"/>
    <s v="average"/>
  </r>
  <r>
    <s v="Genebre 115 In 1 Screwdriver Repairing Tool Set For IPhone Cellphone Hand Tool"/>
    <x v="10"/>
    <x v="1"/>
    <x v="10"/>
    <x v="9"/>
    <s v="medium"/>
    <n v="12"/>
    <x v="1"/>
    <s v="average"/>
  </r>
  <r>
    <s v="100 Pcs Crochet Hook Tool Set Knitting Hook Set With Box"/>
    <x v="11"/>
    <x v="10"/>
    <x v="11"/>
    <x v="10"/>
    <s v="medium"/>
    <n v="39"/>
    <x v="3"/>
    <s v="excellent"/>
  </r>
  <r>
    <s v="40cm Gold DIY Acrylic Wall Sticker Clock"/>
    <x v="12"/>
    <x v="11"/>
    <x v="12"/>
    <x v="1"/>
    <s v="high"/>
    <n v="12"/>
    <x v="4"/>
    <s v="excellent"/>
  </r>
  <r>
    <s v="LASA Digital Thermometer And Hydrometer"/>
    <x v="13"/>
    <x v="12"/>
    <x v="13"/>
    <x v="11"/>
    <s v="high"/>
    <n v="6"/>
    <x v="0"/>
    <s v="excellent"/>
  </r>
  <r>
    <s v="Multifunction Laser Level With Adjustment Tripod"/>
    <x v="14"/>
    <x v="3"/>
    <x v="14"/>
    <x v="12"/>
    <s v="medium"/>
    <n v="9"/>
    <x v="7"/>
    <s v="average"/>
  </r>
  <r>
    <s v="Anti-Skid Absorbent Insulation Coaster  For Home Office"/>
    <x v="15"/>
    <x v="13"/>
    <x v="15"/>
    <x v="13"/>
    <s v="high"/>
    <n v="2"/>
    <x v="8"/>
    <s v="excellent"/>
  </r>
  <r>
    <s v="Peacock  Throw Pillow Cushion Case For Home Car"/>
    <x v="16"/>
    <x v="14"/>
    <x v="16"/>
    <x v="14"/>
    <s v="high"/>
    <n v="2"/>
    <x v="8"/>
    <s v="excellent"/>
  </r>
  <r>
    <s v="LASA Aluminum Folding Truck Hand Cart - 68kg Max"/>
    <x v="17"/>
    <x v="15"/>
    <x v="17"/>
    <x v="15"/>
    <s v="high"/>
    <n v="3"/>
    <x v="8"/>
    <s v="excellent"/>
  </r>
  <r>
    <s v="LED Wall Digital Alarm Clock Study Home 12 / 24H Clock Calendar"/>
    <x v="5"/>
    <x v="16"/>
    <x v="18"/>
    <x v="16"/>
    <s v="low"/>
    <n v="5"/>
    <x v="2"/>
    <s v="excellent"/>
  </r>
  <r>
    <s v="3D Waterproof EVA Plastic Shower Curtain 1.8*2Mtrs"/>
    <x v="18"/>
    <x v="17"/>
    <x v="19"/>
    <x v="15"/>
    <s v="high"/>
    <n v="44"/>
    <x v="2"/>
    <s v="excellent"/>
  </r>
  <r>
    <s v="3PCS Single Head Knitting Crochet Sweater Needle Set"/>
    <x v="19"/>
    <x v="18"/>
    <x v="20"/>
    <x v="17"/>
    <s v="high"/>
    <n v="13"/>
    <x v="9"/>
    <s v="average"/>
  </r>
  <r>
    <s v="4pcs Bathroom/Kitchen Towel Rack,Roll Paper Holder,Towel Bars,Hook"/>
    <x v="20"/>
    <x v="19"/>
    <x v="21"/>
    <x v="11"/>
    <s v="high"/>
    <n v="0"/>
    <x v="10"/>
    <s v="n/a"/>
  </r>
  <r>
    <s v="LED Romantic Spaceship Starry Sky Projector,Children's Bedroom Night Light-Blue"/>
    <x v="21"/>
    <x v="20"/>
    <x v="22"/>
    <x v="18"/>
    <s v="medium"/>
    <n v="6"/>
    <x v="5"/>
    <s v="average"/>
  </r>
  <r>
    <s v="Foldable Overbed Table/Desk"/>
    <x v="22"/>
    <x v="21"/>
    <x v="23"/>
    <x v="19"/>
    <s v="medium"/>
    <n v="14"/>
    <x v="11"/>
    <s v="average"/>
  </r>
  <r>
    <s v="LASA 3 Tier Bamboo Shoe Bench Storage Shelf"/>
    <x v="23"/>
    <x v="22"/>
    <x v="24"/>
    <x v="20"/>
    <s v="high"/>
    <n v="7"/>
    <x v="12"/>
    <s v="average"/>
  </r>
  <r>
    <s v="Electronic Digital Display Vernier Caliper"/>
    <x v="24"/>
    <x v="23"/>
    <x v="25"/>
    <x v="18"/>
    <s v="medium"/>
    <n v="49"/>
    <x v="2"/>
    <s v="excellent"/>
  </r>
  <r>
    <s v="Portable Wardrobe Nonwoven With 3 Hanging Rods And 6 Storage Shelves"/>
    <x v="25"/>
    <x v="24"/>
    <x v="26"/>
    <x v="21"/>
    <s v="low"/>
    <n v="12"/>
    <x v="6"/>
    <s v="average"/>
  </r>
  <r>
    <s v="12 Litre Black Insulated Lunch Box"/>
    <x v="26"/>
    <x v="25"/>
    <x v="26"/>
    <x v="22"/>
    <s v="medium"/>
    <n v="13"/>
    <x v="6"/>
    <s v="average"/>
  </r>
  <r>
    <s v="52 Pieces Cake Decorating Tool Set Gift Kit Baking Supplies"/>
    <x v="27"/>
    <x v="3"/>
    <x v="27"/>
    <x v="23"/>
    <s v="medium"/>
    <n v="20"/>
    <x v="1"/>
    <s v="average"/>
  </r>
  <r>
    <s v="MultiFunctional Storage Rack Multi-layer Bookshelf"/>
    <x v="28"/>
    <x v="26"/>
    <x v="28"/>
    <x v="14"/>
    <s v="high"/>
    <n v="0"/>
    <x v="10"/>
    <s v="n/a"/>
  </r>
  <r>
    <s v="Exfoliate And Exfoliate Face Towel - Black"/>
    <x v="29"/>
    <x v="27"/>
    <x v="29"/>
    <x v="24"/>
    <s v="high"/>
    <n v="9"/>
    <x v="12"/>
    <s v="average"/>
  </r>
  <r>
    <s v="12 Litre Insulated Lunch Box Grey"/>
    <x v="30"/>
    <x v="28"/>
    <x v="11"/>
    <x v="10"/>
    <s v="medium"/>
    <n v="12"/>
    <x v="3"/>
    <s v="excellent"/>
  </r>
  <r>
    <s v="LED Eye Protection  Desk Lamp , Study, Reading, USB Fan - Double Pen Holder"/>
    <x v="31"/>
    <x v="29"/>
    <x v="30"/>
    <x v="25"/>
    <s v="high"/>
    <n v="9"/>
    <x v="12"/>
    <s v="average"/>
  </r>
  <r>
    <s v="53Pcs/Set Yarn Knitting Crochet Hooks With Bag - Fortune Cat"/>
    <x v="32"/>
    <x v="30"/>
    <x v="31"/>
    <x v="26"/>
    <s v="medium"/>
    <n v="20"/>
    <x v="3"/>
    <s v="excellent"/>
  </r>
  <r>
    <s v="53 Pieces/Set Yarn Knitting Crochet Hooks With Bag - Pansies"/>
    <x v="33"/>
    <x v="31"/>
    <x v="32"/>
    <x v="26"/>
    <s v="medium"/>
    <n v="32"/>
    <x v="0"/>
    <s v="excellent"/>
  </r>
  <r>
    <s v="DIY File Folder, Office Drawer File Holder, Pen Holder, Desktop Storage Rack"/>
    <x v="34"/>
    <x v="32"/>
    <x v="33"/>
    <x v="27"/>
    <s v="medium"/>
    <n v="1"/>
    <x v="8"/>
    <s v="excellent"/>
  </r>
  <r>
    <s v="Classic Black Cat Cotton Hemp Pillow Case For Home Car"/>
    <x v="35"/>
    <x v="14"/>
    <x v="34"/>
    <x v="17"/>
    <s v="high"/>
    <n v="2"/>
    <x v="8"/>
    <s v="excellent"/>
  </r>
  <r>
    <s v="Punch-free Great Load Bearing Bathroom Storage Rack Wall Shelf-White"/>
    <x v="36"/>
    <x v="33"/>
    <x v="35"/>
    <x v="28"/>
    <s v="high"/>
    <n v="36"/>
    <x v="12"/>
    <s v="average"/>
  </r>
  <r>
    <s v="1/2/3 Seater Elastic Sofa Cover,Living Room/Home Decor Chair Cover-Grey"/>
    <x v="37"/>
    <x v="34"/>
    <x v="36"/>
    <x v="0"/>
    <s v="medium"/>
    <n v="2"/>
    <x v="0"/>
    <s v="excellent"/>
  </r>
  <r>
    <s v="LASA Stainless Steel Double Wall Mount Soap Dispenser - 500ml"/>
    <x v="38"/>
    <x v="35"/>
    <x v="37"/>
    <x v="0"/>
    <s v="medium"/>
    <n v="0"/>
    <x v="10"/>
    <s v="n/a"/>
  </r>
  <r>
    <s v="4M Float Switch Water Level Controller -Water Tank"/>
    <x v="39"/>
    <x v="36"/>
    <x v="38"/>
    <x v="15"/>
    <s v="high"/>
    <n v="0"/>
    <x v="10"/>
    <s v="n/a"/>
  </r>
  <r>
    <s v="Modern Sofa Throw Pillow Cover-45x45cm-Blue&amp;Red"/>
    <x v="40"/>
    <x v="37"/>
    <x v="39"/>
    <x v="29"/>
    <s v="high"/>
    <n v="0"/>
    <x v="10"/>
    <s v="n/a"/>
  </r>
  <r>
    <s v="Balloon Insert, Birthday Party Balloon Set, PU Leather"/>
    <x v="41"/>
    <x v="38"/>
    <x v="40"/>
    <x v="11"/>
    <s v="high"/>
    <n v="0"/>
    <x v="10"/>
    <s v="n/a"/>
  </r>
  <r>
    <s v="Shower Cap Wide Elastic Band Cover Reusable Bashroom Cap"/>
    <x v="42"/>
    <x v="39"/>
    <x v="41"/>
    <x v="30"/>
    <s v="low"/>
    <n v="0"/>
    <x v="10"/>
    <s v="n/a"/>
  </r>
  <r>
    <s v="Christmas Elk Fence Yard Lawn Decorations Cute For Holidays"/>
    <x v="43"/>
    <x v="40"/>
    <x v="42"/>
    <x v="29"/>
    <s v="high"/>
    <n v="0"/>
    <x v="10"/>
    <s v="n/a"/>
  </r>
  <r>
    <s v="60W Hot Melt Glue Sprayer - Efficient And Stable Glue Dispensing"/>
    <x v="44"/>
    <x v="41"/>
    <x v="43"/>
    <x v="12"/>
    <s v="medium"/>
    <n v="0"/>
    <x v="10"/>
    <s v="n/a"/>
  </r>
  <r>
    <s v="Car Phone Charging Stand"/>
    <x v="45"/>
    <x v="42"/>
    <x v="44"/>
    <x v="15"/>
    <s v="high"/>
    <n v="0"/>
    <x v="10"/>
    <s v="n/a"/>
  </r>
  <r>
    <s v="2pcs Solar Street Light Flood Light Outdoor"/>
    <x v="46"/>
    <x v="43"/>
    <x v="45"/>
    <x v="0"/>
    <s v="medium"/>
    <n v="0"/>
    <x v="10"/>
    <s v="n/a"/>
  </r>
  <r>
    <s v="Creative Owl Shape Keychain Black"/>
    <x v="47"/>
    <x v="44"/>
    <x v="46"/>
    <x v="31"/>
    <s v="high"/>
    <n v="0"/>
    <x v="10"/>
    <s v="n/a"/>
  </r>
  <r>
    <s v="Brush &amp; Paintbrush Cleaning Tool Pink"/>
    <x v="48"/>
    <x v="45"/>
    <x v="47"/>
    <x v="29"/>
    <s v="high"/>
    <n v="0"/>
    <x v="10"/>
    <s v="n/a"/>
  </r>
  <r>
    <s v="Pen Grips For Kids Pen Grip Posture Correction Tool For Kids"/>
    <x v="49"/>
    <x v="46"/>
    <x v="48"/>
    <x v="30"/>
    <s v="low"/>
    <n v="0"/>
    <x v="10"/>
    <s v="n/a"/>
  </r>
  <r>
    <s v="Pilates Cloth Bag Waterproof Durable High Capacity Purple"/>
    <x v="48"/>
    <x v="47"/>
    <x v="49"/>
    <x v="32"/>
    <s v="medium"/>
    <n v="0"/>
    <x v="10"/>
    <s v="n/a"/>
  </r>
  <r>
    <s v="Multi-purpose Rice Drainage Basket And Fruit And Vegetable Drainage Sieve"/>
    <x v="50"/>
    <x v="48"/>
    <x v="50"/>
    <x v="33"/>
    <s v="low"/>
    <n v="0"/>
    <x v="10"/>
    <s v="n/a"/>
  </r>
  <r>
    <s v="Cute Christmas Fence Garden Decorations For Holiday Home"/>
    <x v="10"/>
    <x v="49"/>
    <x v="51"/>
    <x v="28"/>
    <s v="high"/>
    <n v="0"/>
    <x v="10"/>
    <s v="n/a"/>
  </r>
  <r>
    <s v="Simple Metal Dog Art Sculpture Decoration For Home Office"/>
    <x v="51"/>
    <x v="50"/>
    <x v="52"/>
    <x v="8"/>
    <s v="high"/>
    <n v="0"/>
    <x v="10"/>
    <s v="n/a"/>
  </r>
  <r>
    <s v="Christmas Fence Garden Decorations Outdoor For Holiday Home"/>
    <x v="52"/>
    <x v="49"/>
    <x v="53"/>
    <x v="25"/>
    <s v="high"/>
    <n v="0"/>
    <x v="10"/>
    <s v="n/a"/>
  </r>
  <r>
    <s v="Angle Measuring Tool Full Metal Multi Angle Measuring Tool"/>
    <x v="10"/>
    <x v="51"/>
    <x v="54"/>
    <x v="15"/>
    <s v="high"/>
    <n v="0"/>
    <x v="10"/>
    <s v="n/a"/>
  </r>
  <r>
    <s v="12V 19500rpm Handheld Electric Angle Grinder Tool - UK - Yellow/Black"/>
    <x v="53"/>
    <x v="52"/>
    <x v="55"/>
    <x v="26"/>
    <s v="medium"/>
    <n v="0"/>
    <x v="10"/>
    <s v="n/a"/>
  </r>
  <r>
    <s v="Simple Metal Dog Art Sculpture Decoration For Home Office"/>
    <x v="54"/>
    <x v="53"/>
    <x v="56"/>
    <x v="7"/>
    <s v="high"/>
    <n v="0"/>
    <x v="10"/>
    <s v="n/a"/>
  </r>
  <r>
    <s v="5 Pieces/set Of Stainless Steel Induction Cooker Pots"/>
    <x v="55"/>
    <x v="54"/>
    <x v="57"/>
    <x v="34"/>
    <s v="low"/>
    <n v="6"/>
    <x v="13"/>
    <s v="poor"/>
  </r>
  <r>
    <s v="Mythco 120COB Solar Wall Ligt With Motion Sensor And Remote Control 3 Modes"/>
    <x v="56"/>
    <x v="55"/>
    <x v="58"/>
    <x v="20"/>
    <s v="high"/>
    <n v="10"/>
    <x v="14"/>
    <s v="average"/>
  </r>
  <r>
    <s v="5-PCS Stainless Steel Cooking Pot Set With Steamed Slices"/>
    <x v="57"/>
    <x v="56"/>
    <x v="59"/>
    <x v="7"/>
    <s v="high"/>
    <n v="13"/>
    <x v="15"/>
    <s v="poor"/>
  </r>
  <r>
    <s v="120W Cordless Vacuum Cleaners Handheld Electric Vacuum Cleaner"/>
    <x v="58"/>
    <x v="57"/>
    <x v="60"/>
    <x v="15"/>
    <s v="high"/>
    <n v="69"/>
    <x v="16"/>
    <s v="poor"/>
  </r>
  <r>
    <s v="Intelligent  LED Body Sensor Wireless Lighting Night Light USB"/>
    <x v="59"/>
    <x v="58"/>
    <x v="61"/>
    <x v="24"/>
    <s v="high"/>
    <n v="15"/>
    <x v="17"/>
    <s v="poor"/>
  </r>
  <r>
    <s v="VIC Wireless Vacuum Cleaner Dual Use For Home And Car 120W High Power Powerful"/>
    <x v="60"/>
    <x v="59"/>
    <x v="62"/>
    <x v="32"/>
    <s v="medium"/>
    <n v="16"/>
    <x v="18"/>
    <s v="poor"/>
  </r>
  <r>
    <s v="Artificial Potted Flowers Room Decorative Flowers (2 Pieces)"/>
    <x v="11"/>
    <x v="60"/>
    <x v="63"/>
    <x v="8"/>
    <s v="high"/>
    <n v="6"/>
    <x v="19"/>
    <s v="poor"/>
  </r>
  <r>
    <s v="380ML USB Rechargeable Portable Small Blenders And Juicers"/>
    <x v="61"/>
    <x v="40"/>
    <x v="64"/>
    <x v="29"/>
    <s v="high"/>
    <n v="7"/>
    <x v="20"/>
    <s v="poor"/>
  </r>
  <r>
    <s v="32PCS Portable Cordless Drill Set With Cyclic Battery Drive -26 Variable Speed"/>
    <x v="62"/>
    <x v="61"/>
    <x v="65"/>
    <x v="35"/>
    <s v="medium"/>
    <n v="5"/>
    <x v="14"/>
    <s v="average"/>
  </r>
  <r>
    <s v="Agapeon Toothbrush Holder And Toothpaste Dispenser"/>
    <x v="63"/>
    <x v="62"/>
    <x v="66"/>
    <x v="8"/>
    <s v="high"/>
    <n v="17"/>
    <x v="21"/>
    <s v="poor"/>
  </r>
  <r>
    <s v="Large Lazy Inflatable Sofa Chairs PVC Lounger Seat Bag"/>
    <x v="64"/>
    <x v="63"/>
    <x v="67"/>
    <x v="36"/>
    <s v="medium"/>
    <n v="5"/>
    <x v="14"/>
    <s v="average"/>
  </r>
  <r>
    <s v="Watercolour Gold Foil Textured Print Pillow Cover"/>
    <x v="65"/>
    <x v="64"/>
    <x v="68"/>
    <x v="37"/>
    <s v="high"/>
    <n v="6"/>
    <x v="20"/>
    <s v="poor"/>
  </r>
  <r>
    <s v="Wrought Iron Bathroom Shelf Wall Mounted Free Punch Toilet Rack"/>
    <x v="66"/>
    <x v="65"/>
    <x v="69"/>
    <x v="37"/>
    <s v="high"/>
    <n v="5"/>
    <x v="14"/>
    <s v="average"/>
  </r>
  <r>
    <s v="7-piece Set Of Storage Bags, Travel Storage Bags, Shoe Bags"/>
    <x v="67"/>
    <x v="60"/>
    <x v="70"/>
    <x v="1"/>
    <s v="high"/>
    <n v="6"/>
    <x v="19"/>
    <s v="poor"/>
  </r>
  <r>
    <s v="Electric LED UV Mosquito Killer Lamp, Outdoor/Indoor Fly Killer Trap Light -USB"/>
    <x v="68"/>
    <x v="66"/>
    <x v="71"/>
    <x v="1"/>
    <s v="high"/>
    <n v="7"/>
    <x v="15"/>
    <s v="poor"/>
  </r>
  <r>
    <s v="2PCS/LOT Solar LED Outdoor Intelligent Light Controlled Wall Lamp"/>
    <x v="69"/>
    <x v="67"/>
    <x v="72"/>
    <x v="1"/>
    <s v="high"/>
    <n v="0"/>
    <x v="10"/>
    <s v="n/a"/>
  </r>
  <r>
    <s v="3PCS Rotary Scraper Thermomix For Kitchen"/>
    <x v="70"/>
    <x v="68"/>
    <x v="11"/>
    <x v="37"/>
    <s v="high"/>
    <n v="0"/>
    <x v="10"/>
    <s v="n/a"/>
  </r>
  <r>
    <s v="Cushion Silicone Butt Cushion Summer Ice Cushion Honeycomb Gel Cushion"/>
    <x v="71"/>
    <x v="69"/>
    <x v="73"/>
    <x v="38"/>
    <s v="low"/>
    <n v="0"/>
    <x v="10"/>
    <s v="n/a"/>
  </r>
  <r>
    <s v="7PCS Silicone Thumb Knife Finger Protector Vegetable Harvesting Knife"/>
    <x v="72"/>
    <x v="70"/>
    <x v="74"/>
    <x v="15"/>
    <s v="high"/>
    <n v="0"/>
    <x v="10"/>
    <s v="n/a"/>
  </r>
  <r>
    <s v="Memory Foam Neck Pillow Cover, With Pillow Core - 50*30cm"/>
    <x v="73"/>
    <x v="71"/>
    <x v="75"/>
    <x v="14"/>
    <s v="high"/>
    <n v="1"/>
    <x v="14"/>
    <s v="average"/>
  </r>
  <r>
    <s v="Bedroom Simple Floor Hanging Clothes Rack Single Pole Hat Rack - White"/>
    <x v="74"/>
    <x v="72"/>
    <x v="76"/>
    <x v="15"/>
    <s v="high"/>
    <n v="1"/>
    <x v="8"/>
    <s v="excellent"/>
  </r>
  <r>
    <s v="5m Waterproof Spherical LED String Lights Outdoor Ball Chain Lights Party Lighting Decoration Adjustable"/>
    <x v="75"/>
    <x v="73"/>
    <x v="77"/>
    <x v="39"/>
    <s v="medium"/>
    <n v="0"/>
    <x v="10"/>
    <s v="n/a"/>
  </r>
  <r>
    <s v="2 Pairs Cowhide Split Leather Work Gloves.32â„‰ Or Above Welding Gloves"/>
    <x v="76"/>
    <x v="46"/>
    <x v="78"/>
    <x v="30"/>
    <s v="low"/>
    <n v="0"/>
    <x v="10"/>
    <s v="n/a"/>
  </r>
  <r>
    <s v="Household Pineapple Peeler Peeler"/>
    <x v="77"/>
    <x v="23"/>
    <x v="79"/>
    <x v="15"/>
    <s v="high"/>
    <n v="1"/>
    <x v="5"/>
    <s v="average"/>
  </r>
  <r>
    <s v="Creative Owl Shape Keychain Black"/>
    <x v="78"/>
    <x v="74"/>
    <x v="80"/>
    <x v="15"/>
    <s v="high"/>
    <n v="0"/>
    <x v="10"/>
    <s v="n/a"/>
  </r>
  <r>
    <s v="Office Chair Lumbar Back Support Spine Posture Correction Pillow Car Cushion"/>
    <x v="79"/>
    <x v="46"/>
    <x v="81"/>
    <x v="40"/>
    <s v="low"/>
    <n v="0"/>
    <x v="10"/>
    <s v="n/a"/>
  </r>
  <r>
    <s v="Cartoon Car Decoration Cute Individuality For Car Home Desk"/>
    <x v="80"/>
    <x v="75"/>
    <x v="82"/>
    <x v="15"/>
    <s v="high"/>
    <n v="0"/>
    <x v="10"/>
    <s v="n/a"/>
  </r>
  <r>
    <s v="Outdoor Portable Water Bottle With Medicine Box - 600ML - Black"/>
    <x v="10"/>
    <x v="50"/>
    <x v="83"/>
    <x v="41"/>
    <s v="low"/>
    <n v="0"/>
    <x v="10"/>
    <s v="n/a"/>
  </r>
  <r>
    <s v="Angle Measuring Tool Full Metal Multi Angle Measuring Tool"/>
    <x v="81"/>
    <x v="76"/>
    <x v="84"/>
    <x v="15"/>
    <s v="high"/>
    <n v="0"/>
    <x v="10"/>
    <s v="n/a"/>
  </r>
  <r>
    <s v="Wall-Mounted Toothbrush Toothpaste Holder With Multiple Slots"/>
    <x v="82"/>
    <x v="46"/>
    <x v="85"/>
    <x v="40"/>
    <s v="low"/>
    <n v="0"/>
    <x v="10"/>
    <s v="n/a"/>
  </r>
  <r>
    <s v="Multifunctional Hanging Storage Box Storage Bag (4 Layers)"/>
    <x v="83"/>
    <x v="77"/>
    <x v="22"/>
    <x v="37"/>
    <s v="high"/>
    <n v="0"/>
    <x v="10"/>
    <s v="n/a"/>
  </r>
  <r>
    <s v="Wall Clock With Hidden Safe Box"/>
    <x v="84"/>
    <x v="78"/>
    <x v="86"/>
    <x v="29"/>
    <s v="high"/>
    <n v="0"/>
    <x v="10"/>
    <s v="n/a"/>
  </r>
  <r>
    <s v="Portable Wine Table With Folding Round Table"/>
    <x v="85"/>
    <x v="54"/>
    <x v="87"/>
    <x v="25"/>
    <s v="high"/>
    <n v="0"/>
    <x v="10"/>
    <s v="n/a"/>
  </r>
  <r>
    <s v="Sewing Machine Needle Threader Stitch Insertion Tool Automatic Quick Sewing"/>
    <x v="86"/>
    <x v="79"/>
    <x v="88"/>
    <x v="25"/>
    <s v="high"/>
    <n v="0"/>
    <x v="10"/>
    <s v="n/a"/>
  </r>
  <r>
    <s v="6 Layers Steel Pipe Assembling Dustproof Storage Shoe Cabinet"/>
    <x v="87"/>
    <x v="46"/>
    <x v="89"/>
    <x v="1"/>
    <s v="high"/>
    <n v="0"/>
    <x v="10"/>
    <s v="n/a"/>
  </r>
  <r>
    <s v="2PCS Ice Silk Square Cushion Cover Pillowcases - 65x65cm"/>
    <x v="46"/>
    <x v="80"/>
    <x v="87"/>
    <x v="29"/>
    <s v="high"/>
    <n v="0"/>
    <x v="10"/>
    <s v="n/a"/>
  </r>
  <r>
    <s v="Wall Mount Automatic Toothpaste Dispenser Toothbrush Holder Toothpaste Squeezer"/>
    <x v="88"/>
    <x v="81"/>
    <x v="90"/>
    <x v="42"/>
    <s v="low"/>
    <n v="0"/>
    <x v="10"/>
    <s v="n/a"/>
  </r>
  <r>
    <s v="Portable Soap Dispenser Kitchen Detergent Press Box Kitchen Tools"/>
    <x v="89"/>
    <x v="48"/>
    <x v="41"/>
    <x v="30"/>
    <s v="low"/>
    <n v="0"/>
    <x v="10"/>
    <s v="n/a"/>
  </r>
  <r>
    <s v="4 Piece Coloured Stainless Steel Kitchenware Set"/>
    <x v="90"/>
    <x v="82"/>
    <x v="39"/>
    <x v="15"/>
    <s v="high"/>
    <n v="0"/>
    <x v="10"/>
    <s v="n/a"/>
  </r>
  <r>
    <s v="Metal Wall Clock Silver Dial Crystal Jewelry Round Home Decoration Wall Clock"/>
    <x v="91"/>
    <x v="16"/>
    <x v="91"/>
    <x v="38"/>
    <s v="low"/>
    <n v="0"/>
    <x v="10"/>
    <s v="n/a"/>
  </r>
  <r>
    <s v="Baby Early Education Shape And Color Cognitive Training Toys"/>
    <x v="92"/>
    <x v="83"/>
    <x v="92"/>
    <x v="15"/>
    <s v="high"/>
    <n v="0"/>
    <x v="10"/>
    <s v="n/a"/>
  </r>
  <r>
    <s v="8in1 Screwdriver With LED Light"/>
    <x v="93"/>
    <x v="84"/>
    <x v="93"/>
    <x v="11"/>
    <s v="high"/>
    <n v="0"/>
    <x v="10"/>
    <s v="n/a"/>
  </r>
  <r>
    <s v="Konka Healty Electric Kettle, 24-hour Heat Preservation,1.5L,800W, White"/>
    <x v="94"/>
    <x v="85"/>
    <x v="94"/>
    <x v="43"/>
    <s v="medium"/>
    <n v="1"/>
    <x v="8"/>
    <s v="excellent"/>
  </r>
  <r>
    <s v="9pcs Gas Mask, For Painting, Dust, Formaldehyde Grinding, Polishing"/>
    <x v="95"/>
    <x v="86"/>
    <x v="64"/>
    <x v="28"/>
    <s v="high"/>
    <n v="0"/>
    <x v="10"/>
    <s v="n/a"/>
  </r>
  <r>
    <s v="24 Grid Wall-mounted Sundries Organiser Fabric Closet Bag Storage Rack"/>
    <x v="96"/>
    <x v="87"/>
    <x v="95"/>
    <x v="44"/>
    <s v="low"/>
    <n v="0"/>
    <x v="10"/>
    <s v="n/a"/>
  </r>
  <r>
    <s v="1PC Refrigerator Food Seal Pocket Fridge Bags"/>
    <x v="97"/>
    <x v="88"/>
    <x v="96"/>
    <x v="6"/>
    <s v="medium"/>
    <n v="0"/>
    <x v="10"/>
    <s v="n/a"/>
  </r>
  <r>
    <s v="LED Solar Street Light-fake Camera"/>
    <x v="98"/>
    <x v="89"/>
    <x v="97"/>
    <x v="10"/>
    <s v="medium"/>
    <n v="0"/>
    <x v="10"/>
    <s v="n/a"/>
  </r>
  <r>
    <s v="Cartoon Embroidered Mini Towel Bear Cotton Wash Cloth Hand 4pcs"/>
    <x v="44"/>
    <x v="90"/>
    <x v="98"/>
    <x v="10"/>
    <s v="medium"/>
    <n v="0"/>
    <x v="10"/>
    <s v="n/a"/>
  </r>
  <r>
    <s v="Shower Nozzle Cleaning Unclogging Needle Mini Crevice Small Hole Cleaning Brush"/>
    <x v="99"/>
    <x v="46"/>
    <x v="99"/>
    <x v="30"/>
    <s v="low"/>
    <n v="0"/>
    <x v="10"/>
    <s v="n/a"/>
  </r>
  <r>
    <s v="Thickening Multipurpose Non Stick Easy To Clean Heat Resistant Spoon Pad"/>
    <x v="100"/>
    <x v="69"/>
    <x v="100"/>
    <x v="30"/>
    <s v="low"/>
    <n v="0"/>
    <x v="10"/>
    <s v="n/a"/>
  </r>
  <r>
    <s v="6 In 1 Bottle Can Opener Multifunctional Easy Opener"/>
    <x v="47"/>
    <x v="91"/>
    <x v="101"/>
    <x v="45"/>
    <s v="high"/>
    <n v="0"/>
    <x v="10"/>
    <s v="n/a"/>
  </r>
  <r>
    <s v="Wall-mounted Sticker Punch-free Plug Fixer"/>
    <x v="101"/>
    <x v="50"/>
    <x v="40"/>
    <x v="29"/>
    <s v="high"/>
    <n v="1"/>
    <x v="22"/>
    <s v="poor"/>
  </r>
  <r>
    <s v="Black Simple Water Cup Wine Coaster Anti Slip Absorbent"/>
    <x v="102"/>
    <x v="92"/>
    <x v="102"/>
    <x v="1"/>
    <s v="high"/>
    <n v="0"/>
    <x v="10"/>
    <s v="n/a"/>
  </r>
  <r>
    <m/>
    <x v="103"/>
    <x v="93"/>
    <x v="103"/>
    <x v="46"/>
    <m/>
    <m/>
    <x v="23"/>
    <m/>
  </r>
  <r>
    <m/>
    <x v="103"/>
    <x v="93"/>
    <x v="103"/>
    <x v="46"/>
    <m/>
    <m/>
    <x v="23"/>
    <m/>
  </r>
  <r>
    <m/>
    <x v="103"/>
    <x v="93"/>
    <x v="103"/>
    <x v="46"/>
    <m/>
    <m/>
    <x v="23"/>
    <m/>
  </r>
  <r>
    <m/>
    <x v="103"/>
    <x v="93"/>
    <x v="103"/>
    <x v="46"/>
    <m/>
    <m/>
    <x v="23"/>
    <m/>
  </r>
</pivotCacheRecords>
</file>

<file path=xl/pivotCache/pivotCacheRecords2.xml><?xml version="1.0" encoding="utf-8"?>
<pivotCacheRecords xmlns="http://schemas.openxmlformats.org/spreadsheetml/2006/main" xmlns:r="http://schemas.openxmlformats.org/officeDocument/2006/relationships" count="109">
  <r>
    <x v="0"/>
    <n v="950"/>
    <n v="1525"/>
    <x v="0"/>
    <x v="0"/>
    <x v="0"/>
    <n v="575"/>
    <x v="0"/>
    <x v="0"/>
  </r>
  <r>
    <x v="1"/>
    <n v="527"/>
    <n v="999"/>
    <x v="1"/>
    <x v="1"/>
    <x v="1"/>
    <n v="472"/>
    <x v="1"/>
    <x v="1"/>
  </r>
  <r>
    <x v="2"/>
    <n v="2199"/>
    <n v="2923"/>
    <x v="2"/>
    <x v="2"/>
    <x v="2"/>
    <n v="724"/>
    <x v="0"/>
    <x v="0"/>
  </r>
  <r>
    <x v="3"/>
    <n v="1580"/>
    <n v="2499"/>
    <x v="3"/>
    <x v="3"/>
    <x v="3"/>
    <n v="919"/>
    <x v="0"/>
    <x v="0"/>
  </r>
  <r>
    <x v="4"/>
    <n v="1740"/>
    <n v="2356"/>
    <x v="4"/>
    <x v="4"/>
    <x v="4"/>
    <n v="616"/>
    <x v="0"/>
    <x v="0"/>
  </r>
  <r>
    <x v="5"/>
    <n v="2999"/>
    <n v="3290"/>
    <x v="5"/>
    <x v="5"/>
    <x v="5"/>
    <n v="291"/>
    <x v="1"/>
    <x v="2"/>
  </r>
  <r>
    <x v="6"/>
    <n v="2319"/>
    <n v="3032"/>
    <x v="6"/>
    <x v="6"/>
    <x v="2"/>
    <n v="713"/>
    <x v="0"/>
    <x v="0"/>
  </r>
  <r>
    <x v="7"/>
    <n v="988"/>
    <n v="1580"/>
    <x v="3"/>
    <x v="0"/>
    <x v="5"/>
    <n v="592"/>
    <x v="1"/>
    <x v="0"/>
  </r>
  <r>
    <x v="8"/>
    <n v="1274"/>
    <n v="2800"/>
    <x v="7"/>
    <x v="4"/>
    <x v="4"/>
    <n v="1526"/>
    <x v="0"/>
    <x v="1"/>
  </r>
  <r>
    <x v="9"/>
    <n v="1600"/>
    <n v="2929"/>
    <x v="8"/>
    <x v="4"/>
    <x v="6"/>
    <n v="1329"/>
    <x v="1"/>
    <x v="1"/>
  </r>
  <r>
    <x v="10"/>
    <n v="799"/>
    <n v="999"/>
    <x v="9"/>
    <x v="7"/>
    <x v="1"/>
    <n v="200"/>
    <x v="1"/>
    <x v="2"/>
  </r>
  <r>
    <x v="11"/>
    <n v="990"/>
    <n v="1500"/>
    <x v="10"/>
    <x v="8"/>
    <x v="3"/>
    <n v="510"/>
    <x v="0"/>
    <x v="0"/>
  </r>
  <r>
    <x v="12"/>
    <n v="552"/>
    <n v="1035"/>
    <x v="1"/>
    <x v="7"/>
    <x v="4"/>
    <n v="483"/>
    <x v="0"/>
    <x v="1"/>
  </r>
  <r>
    <x v="13"/>
    <n v="501"/>
    <n v="860"/>
    <x v="11"/>
    <x v="9"/>
    <x v="0"/>
    <n v="359"/>
    <x v="0"/>
    <x v="1"/>
  </r>
  <r>
    <x v="14"/>
    <n v="1680"/>
    <n v="2499"/>
    <x v="12"/>
    <x v="10"/>
    <x v="7"/>
    <n v="819"/>
    <x v="1"/>
    <x v="0"/>
  </r>
  <r>
    <x v="15"/>
    <n v="332"/>
    <n v="684"/>
    <x v="13"/>
    <x v="0"/>
    <x v="8"/>
    <n v="352"/>
    <x v="0"/>
    <x v="1"/>
  </r>
  <r>
    <x v="16"/>
    <n v="195"/>
    <n v="360"/>
    <x v="14"/>
    <x v="0"/>
    <x v="8"/>
    <n v="165"/>
    <x v="0"/>
    <x v="1"/>
  </r>
  <r>
    <x v="17"/>
    <n v="2025"/>
    <n v="3971"/>
    <x v="15"/>
    <x v="11"/>
    <x v="8"/>
    <n v="1946"/>
    <x v="0"/>
    <x v="1"/>
  </r>
  <r>
    <x v="18"/>
    <n v="2999"/>
    <n v="3699"/>
    <x v="16"/>
    <x v="4"/>
    <x v="2"/>
    <n v="700"/>
    <x v="0"/>
    <x v="2"/>
  </r>
  <r>
    <x v="19"/>
    <n v="998"/>
    <n v="1966"/>
    <x v="15"/>
    <x v="12"/>
    <x v="2"/>
    <n v="968"/>
    <x v="0"/>
    <x v="1"/>
  </r>
  <r>
    <x v="20"/>
    <n v="38"/>
    <n v="80"/>
    <x v="17"/>
    <x v="13"/>
    <x v="9"/>
    <n v="42"/>
    <x v="1"/>
    <x v="1"/>
  </r>
  <r>
    <x v="21"/>
    <n v="1860"/>
    <n v="3220"/>
    <x v="11"/>
    <x v="14"/>
    <x v="10"/>
    <n v="1360"/>
    <x v="2"/>
    <x v="1"/>
  </r>
  <r>
    <x v="22"/>
    <n v="880"/>
    <n v="1350"/>
    <x v="18"/>
    <x v="9"/>
    <x v="5"/>
    <n v="470"/>
    <x v="1"/>
    <x v="0"/>
  </r>
  <r>
    <x v="23"/>
    <n v="1650"/>
    <n v="2150"/>
    <x v="19"/>
    <x v="1"/>
    <x v="11"/>
    <n v="500"/>
    <x v="1"/>
    <x v="0"/>
  </r>
  <r>
    <x v="24"/>
    <n v="2048"/>
    <n v="4500"/>
    <x v="20"/>
    <x v="3"/>
    <x v="12"/>
    <n v="2452"/>
    <x v="1"/>
    <x v="1"/>
  </r>
  <r>
    <x v="25"/>
    <n v="420"/>
    <n v="647"/>
    <x v="18"/>
    <x v="15"/>
    <x v="2"/>
    <n v="227"/>
    <x v="0"/>
    <x v="0"/>
  </r>
  <r>
    <x v="26"/>
    <n v="2880"/>
    <n v="3520"/>
    <x v="21"/>
    <x v="7"/>
    <x v="6"/>
    <n v="640"/>
    <x v="1"/>
    <x v="2"/>
  </r>
  <r>
    <x v="27"/>
    <n v="1350"/>
    <n v="1990"/>
    <x v="22"/>
    <x v="13"/>
    <x v="6"/>
    <n v="640"/>
    <x v="1"/>
    <x v="0"/>
  </r>
  <r>
    <x v="28"/>
    <n v="1758"/>
    <n v="2499"/>
    <x v="23"/>
    <x v="16"/>
    <x v="1"/>
    <n v="741"/>
    <x v="1"/>
    <x v="0"/>
  </r>
  <r>
    <x v="29"/>
    <n v="2200"/>
    <n v="4080"/>
    <x v="14"/>
    <x v="14"/>
    <x v="10"/>
    <n v="1880"/>
    <x v="2"/>
    <x v="1"/>
  </r>
  <r>
    <x v="30"/>
    <n v="185"/>
    <n v="382"/>
    <x v="24"/>
    <x v="10"/>
    <x v="12"/>
    <n v="197"/>
    <x v="1"/>
    <x v="1"/>
  </r>
  <r>
    <x v="31"/>
    <n v="980"/>
    <n v="1490"/>
    <x v="10"/>
    <x v="7"/>
    <x v="3"/>
    <n v="510"/>
    <x v="0"/>
    <x v="0"/>
  </r>
  <r>
    <x v="32"/>
    <n v="1820"/>
    <n v="3490"/>
    <x v="25"/>
    <x v="10"/>
    <x v="12"/>
    <n v="1670"/>
    <x v="1"/>
    <x v="1"/>
  </r>
  <r>
    <x v="33"/>
    <n v="1940"/>
    <n v="2650"/>
    <x v="26"/>
    <x v="16"/>
    <x v="3"/>
    <n v="710"/>
    <x v="0"/>
    <x v="0"/>
  </r>
  <r>
    <x v="34"/>
    <n v="1980"/>
    <n v="2699"/>
    <x v="26"/>
    <x v="17"/>
    <x v="0"/>
    <n v="719"/>
    <x v="0"/>
    <x v="0"/>
  </r>
  <r>
    <x v="35"/>
    <n v="1620"/>
    <n v="2690"/>
    <x v="27"/>
    <x v="18"/>
    <x v="8"/>
    <n v="1070"/>
    <x v="0"/>
    <x v="0"/>
  </r>
  <r>
    <x v="36"/>
    <n v="171"/>
    <n v="360"/>
    <x v="17"/>
    <x v="0"/>
    <x v="8"/>
    <n v="189"/>
    <x v="0"/>
    <x v="1"/>
  </r>
  <r>
    <x v="37"/>
    <n v="389"/>
    <n v="656"/>
    <x v="28"/>
    <x v="19"/>
    <x v="12"/>
    <n v="267"/>
    <x v="1"/>
    <x v="1"/>
  </r>
  <r>
    <x v="38"/>
    <n v="1800"/>
    <n v="2700"/>
    <x v="0"/>
    <x v="0"/>
    <x v="0"/>
    <n v="900"/>
    <x v="0"/>
    <x v="0"/>
  </r>
  <r>
    <x v="39"/>
    <n v="2750"/>
    <n v="4471"/>
    <x v="0"/>
    <x v="14"/>
    <x v="10"/>
    <n v="1721"/>
    <x v="2"/>
    <x v="0"/>
  </r>
  <r>
    <x v="40"/>
    <n v="475"/>
    <n v="931"/>
    <x v="15"/>
    <x v="14"/>
    <x v="10"/>
    <n v="456"/>
    <x v="2"/>
    <x v="1"/>
  </r>
  <r>
    <x v="41"/>
    <n v="238"/>
    <n v="476"/>
    <x v="29"/>
    <x v="14"/>
    <x v="10"/>
    <n v="238"/>
    <x v="2"/>
    <x v="1"/>
  </r>
  <r>
    <x v="42"/>
    <n v="610"/>
    <n v="1060"/>
    <x v="11"/>
    <x v="14"/>
    <x v="10"/>
    <n v="450"/>
    <x v="2"/>
    <x v="1"/>
  </r>
  <r>
    <x v="43"/>
    <n v="2132"/>
    <n v="2169"/>
    <x v="30"/>
    <x v="14"/>
    <x v="10"/>
    <n v="37"/>
    <x v="2"/>
    <x v="2"/>
  </r>
  <r>
    <x v="44"/>
    <n v="999"/>
    <n v="2000"/>
    <x v="29"/>
    <x v="14"/>
    <x v="10"/>
    <n v="1001"/>
    <x v="2"/>
    <x v="1"/>
  </r>
  <r>
    <x v="45"/>
    <n v="1190"/>
    <n v="1785"/>
    <x v="12"/>
    <x v="14"/>
    <x v="10"/>
    <n v="595"/>
    <x v="2"/>
    <x v="0"/>
  </r>
  <r>
    <x v="46"/>
    <n v="671"/>
    <n v="1316"/>
    <x v="15"/>
    <x v="14"/>
    <x v="10"/>
    <n v="645"/>
    <x v="2"/>
    <x v="1"/>
  </r>
  <r>
    <x v="47"/>
    <n v="1200"/>
    <n v="1950"/>
    <x v="0"/>
    <x v="14"/>
    <x v="10"/>
    <n v="750"/>
    <x v="2"/>
    <x v="0"/>
  </r>
  <r>
    <x v="48"/>
    <n v="199"/>
    <n v="504"/>
    <x v="31"/>
    <x v="14"/>
    <x v="10"/>
    <n v="305"/>
    <x v="2"/>
    <x v="1"/>
  </r>
  <r>
    <x v="49"/>
    <n v="299"/>
    <n v="600"/>
    <x v="29"/>
    <x v="14"/>
    <x v="10"/>
    <n v="301"/>
    <x v="2"/>
    <x v="1"/>
  </r>
  <r>
    <x v="50"/>
    <n v="1660"/>
    <n v="1699"/>
    <x v="30"/>
    <x v="14"/>
    <x v="10"/>
    <n v="39"/>
    <x v="2"/>
    <x v="2"/>
  </r>
  <r>
    <x v="51"/>
    <n v="299"/>
    <n v="384"/>
    <x v="32"/>
    <x v="14"/>
    <x v="10"/>
    <n v="85"/>
    <x v="2"/>
    <x v="0"/>
  </r>
  <r>
    <x v="52"/>
    <n v="1459"/>
    <n v="1499"/>
    <x v="33"/>
    <x v="14"/>
    <x v="10"/>
    <n v="40"/>
    <x v="2"/>
    <x v="2"/>
  </r>
  <r>
    <x v="53"/>
    <n v="799"/>
    <n v="1343"/>
    <x v="28"/>
    <x v="14"/>
    <x v="10"/>
    <n v="544"/>
    <x v="2"/>
    <x v="1"/>
  </r>
  <r>
    <x v="54"/>
    <n v="499"/>
    <n v="900"/>
    <x v="8"/>
    <x v="14"/>
    <x v="10"/>
    <n v="401"/>
    <x v="2"/>
    <x v="1"/>
  </r>
  <r>
    <x v="55"/>
    <n v="699"/>
    <n v="1343"/>
    <x v="25"/>
    <x v="14"/>
    <x v="10"/>
    <n v="644"/>
    <x v="2"/>
    <x v="1"/>
  </r>
  <r>
    <x v="56"/>
    <n v="799"/>
    <n v="1567"/>
    <x v="15"/>
    <x v="14"/>
    <x v="10"/>
    <n v="768"/>
    <x v="2"/>
    <x v="1"/>
  </r>
  <r>
    <x v="57"/>
    <n v="2799"/>
    <n v="3810"/>
    <x v="26"/>
    <x v="14"/>
    <x v="10"/>
    <n v="1011"/>
    <x v="2"/>
    <x v="0"/>
  </r>
  <r>
    <x v="58"/>
    <n v="2170"/>
    <n v="2500"/>
    <x v="34"/>
    <x v="9"/>
    <x v="13"/>
    <n v="330"/>
    <x v="3"/>
    <x v="2"/>
  </r>
  <r>
    <x v="59"/>
    <n v="458"/>
    <n v="986"/>
    <x v="20"/>
    <x v="20"/>
    <x v="14"/>
    <n v="528"/>
    <x v="1"/>
    <x v="1"/>
  </r>
  <r>
    <x v="60"/>
    <n v="2115"/>
    <n v="4700"/>
    <x v="7"/>
    <x v="13"/>
    <x v="15"/>
    <n v="2585"/>
    <x v="3"/>
    <x v="1"/>
  </r>
  <r>
    <x v="61"/>
    <n v="445"/>
    <n v="873"/>
    <x v="15"/>
    <x v="21"/>
    <x v="16"/>
    <n v="428"/>
    <x v="3"/>
    <x v="1"/>
  </r>
  <r>
    <x v="62"/>
    <n v="325"/>
    <n v="680"/>
    <x v="24"/>
    <x v="5"/>
    <x v="17"/>
    <n v="355"/>
    <x v="3"/>
    <x v="1"/>
  </r>
  <r>
    <x v="63"/>
    <n v="1220"/>
    <n v="1555"/>
    <x v="32"/>
    <x v="22"/>
    <x v="18"/>
    <n v="335"/>
    <x v="3"/>
    <x v="0"/>
  </r>
  <r>
    <x v="64"/>
    <n v="990"/>
    <n v="1814"/>
    <x v="8"/>
    <x v="9"/>
    <x v="19"/>
    <n v="824"/>
    <x v="3"/>
    <x v="1"/>
  </r>
  <r>
    <x v="65"/>
    <n v="1000"/>
    <n v="2000"/>
    <x v="29"/>
    <x v="3"/>
    <x v="20"/>
    <n v="1000"/>
    <x v="3"/>
    <x v="1"/>
  </r>
  <r>
    <x v="66"/>
    <n v="3750"/>
    <n v="6143"/>
    <x v="35"/>
    <x v="4"/>
    <x v="14"/>
    <n v="2393"/>
    <x v="1"/>
    <x v="0"/>
  </r>
  <r>
    <x v="67"/>
    <n v="382"/>
    <n v="700"/>
    <x v="8"/>
    <x v="23"/>
    <x v="21"/>
    <n v="318"/>
    <x v="3"/>
    <x v="1"/>
  </r>
  <r>
    <x v="68"/>
    <n v="2300"/>
    <n v="3240"/>
    <x v="36"/>
    <x v="4"/>
    <x v="14"/>
    <n v="940"/>
    <x v="1"/>
    <x v="0"/>
  </r>
  <r>
    <x v="69"/>
    <n v="345"/>
    <n v="602"/>
    <x v="37"/>
    <x v="9"/>
    <x v="20"/>
    <n v="257"/>
    <x v="3"/>
    <x v="1"/>
  </r>
  <r>
    <x v="70"/>
    <n v="509"/>
    <n v="899"/>
    <x v="37"/>
    <x v="4"/>
    <x v="14"/>
    <n v="390"/>
    <x v="1"/>
    <x v="1"/>
  </r>
  <r>
    <x v="71"/>
    <n v="968"/>
    <n v="1814"/>
    <x v="1"/>
    <x v="9"/>
    <x v="19"/>
    <n v="846"/>
    <x v="3"/>
    <x v="1"/>
  </r>
  <r>
    <x v="72"/>
    <n v="1570"/>
    <n v="2988"/>
    <x v="1"/>
    <x v="3"/>
    <x v="15"/>
    <n v="1418"/>
    <x v="3"/>
    <x v="1"/>
  </r>
  <r>
    <x v="73"/>
    <n v="790"/>
    <n v="1485"/>
    <x v="1"/>
    <x v="14"/>
    <x v="10"/>
    <n v="695"/>
    <x v="2"/>
    <x v="1"/>
  </r>
  <r>
    <x v="74"/>
    <n v="690"/>
    <n v="1200"/>
    <x v="37"/>
    <x v="14"/>
    <x v="10"/>
    <n v="510"/>
    <x v="2"/>
    <x v="1"/>
  </r>
  <r>
    <x v="75"/>
    <n v="1732"/>
    <n v="1799"/>
    <x v="38"/>
    <x v="14"/>
    <x v="10"/>
    <n v="67"/>
    <x v="2"/>
    <x v="2"/>
  </r>
  <r>
    <x v="76"/>
    <n v="230"/>
    <n v="450"/>
    <x v="15"/>
    <x v="14"/>
    <x v="10"/>
    <n v="220"/>
    <x v="2"/>
    <x v="1"/>
  </r>
  <r>
    <x v="77"/>
    <n v="1189"/>
    <n v="2199"/>
    <x v="14"/>
    <x v="18"/>
    <x v="14"/>
    <n v="1010"/>
    <x v="1"/>
    <x v="1"/>
  </r>
  <r>
    <x v="78"/>
    <n v="979"/>
    <n v="1920"/>
    <x v="15"/>
    <x v="18"/>
    <x v="8"/>
    <n v="941"/>
    <x v="0"/>
    <x v="1"/>
  </r>
  <r>
    <x v="79"/>
    <n v="1460"/>
    <n v="2290"/>
    <x v="39"/>
    <x v="14"/>
    <x v="10"/>
    <n v="830"/>
    <x v="2"/>
    <x v="0"/>
  </r>
  <r>
    <x v="80"/>
    <n v="1666"/>
    <n v="1699"/>
    <x v="30"/>
    <x v="14"/>
    <x v="10"/>
    <n v="33"/>
    <x v="2"/>
    <x v="2"/>
  </r>
  <r>
    <x v="81"/>
    <n v="330"/>
    <n v="647"/>
    <x v="15"/>
    <x v="18"/>
    <x v="5"/>
    <n v="317"/>
    <x v="1"/>
    <x v="1"/>
  </r>
  <r>
    <x v="82"/>
    <n v="1466"/>
    <n v="1699"/>
    <x v="40"/>
    <x v="14"/>
    <x v="10"/>
    <n v="233"/>
    <x v="2"/>
    <x v="2"/>
  </r>
  <r>
    <x v="83"/>
    <n v="274"/>
    <n v="537"/>
    <x v="15"/>
    <x v="14"/>
    <x v="10"/>
    <n v="263"/>
    <x v="2"/>
    <x v="1"/>
  </r>
  <r>
    <x v="84"/>
    <n v="799"/>
    <n v="900"/>
    <x v="41"/>
    <x v="14"/>
    <x v="10"/>
    <n v="101"/>
    <x v="2"/>
    <x v="2"/>
  </r>
  <r>
    <x v="85"/>
    <n v="1468"/>
    <n v="1699"/>
    <x v="40"/>
    <x v="14"/>
    <x v="10"/>
    <n v="231"/>
    <x v="2"/>
    <x v="2"/>
  </r>
  <r>
    <x v="86"/>
    <n v="630"/>
    <n v="1100"/>
    <x v="37"/>
    <x v="14"/>
    <x v="10"/>
    <n v="470"/>
    <x v="2"/>
    <x v="1"/>
  </r>
  <r>
    <x v="87"/>
    <n v="850"/>
    <n v="1700"/>
    <x v="29"/>
    <x v="14"/>
    <x v="10"/>
    <n v="850"/>
    <x v="2"/>
    <x v="1"/>
  </r>
  <r>
    <x v="88"/>
    <n v="1300"/>
    <n v="2500"/>
    <x v="25"/>
    <x v="14"/>
    <x v="10"/>
    <n v="1200"/>
    <x v="2"/>
    <x v="1"/>
  </r>
  <r>
    <x v="89"/>
    <n v="105"/>
    <n v="200"/>
    <x v="25"/>
    <x v="14"/>
    <x v="10"/>
    <n v="95"/>
    <x v="2"/>
    <x v="1"/>
  </r>
  <r>
    <x v="90"/>
    <n v="899"/>
    <n v="1699"/>
    <x v="1"/>
    <x v="14"/>
    <x v="10"/>
    <n v="800"/>
    <x v="2"/>
    <x v="1"/>
  </r>
  <r>
    <x v="91"/>
    <n v="1200"/>
    <n v="2400"/>
    <x v="29"/>
    <x v="14"/>
    <x v="10"/>
    <n v="1200"/>
    <x v="2"/>
    <x v="1"/>
  </r>
  <r>
    <x v="92"/>
    <n v="1526"/>
    <n v="1660"/>
    <x v="42"/>
    <x v="14"/>
    <x v="10"/>
    <n v="134"/>
    <x v="2"/>
    <x v="2"/>
  </r>
  <r>
    <x v="93"/>
    <n v="1462"/>
    <n v="1499"/>
    <x v="30"/>
    <x v="14"/>
    <x v="10"/>
    <n v="37"/>
    <x v="2"/>
    <x v="2"/>
  </r>
  <r>
    <x v="94"/>
    <n v="248"/>
    <n v="486"/>
    <x v="15"/>
    <x v="14"/>
    <x v="10"/>
    <n v="238"/>
    <x v="2"/>
    <x v="1"/>
  </r>
  <r>
    <x v="95"/>
    <n v="3546"/>
    <n v="3699"/>
    <x v="38"/>
    <x v="14"/>
    <x v="10"/>
    <n v="153"/>
    <x v="2"/>
    <x v="2"/>
  </r>
  <r>
    <x v="96"/>
    <n v="525"/>
    <n v="1029"/>
    <x v="15"/>
    <x v="14"/>
    <x v="10"/>
    <n v="504"/>
    <x v="2"/>
    <x v="1"/>
  </r>
  <r>
    <x v="97"/>
    <n v="1080"/>
    <n v="1874"/>
    <x v="11"/>
    <x v="14"/>
    <x v="10"/>
    <n v="794"/>
    <x v="2"/>
    <x v="1"/>
  </r>
  <r>
    <x v="98"/>
    <n v="3640"/>
    <n v="4588"/>
    <x v="43"/>
    <x v="18"/>
    <x v="8"/>
    <n v="948"/>
    <x v="0"/>
    <x v="0"/>
  </r>
  <r>
    <x v="99"/>
    <n v="1420"/>
    <n v="2420"/>
    <x v="28"/>
    <x v="14"/>
    <x v="10"/>
    <n v="1000"/>
    <x v="2"/>
    <x v="1"/>
  </r>
  <r>
    <x v="100"/>
    <n v="1875"/>
    <n v="1899"/>
    <x v="44"/>
    <x v="14"/>
    <x v="10"/>
    <n v="24"/>
    <x v="2"/>
    <x v="2"/>
  </r>
  <r>
    <x v="101"/>
    <n v="198"/>
    <n v="260"/>
    <x v="6"/>
    <x v="14"/>
    <x v="10"/>
    <n v="62"/>
    <x v="2"/>
    <x v="0"/>
  </r>
  <r>
    <x v="102"/>
    <n v="1150"/>
    <n v="1737"/>
    <x v="10"/>
    <x v="14"/>
    <x v="10"/>
    <n v="587"/>
    <x v="2"/>
    <x v="0"/>
  </r>
  <r>
    <x v="103"/>
    <n v="1190"/>
    <n v="1810"/>
    <x v="10"/>
    <x v="14"/>
    <x v="10"/>
    <n v="620"/>
    <x v="2"/>
    <x v="0"/>
  </r>
  <r>
    <x v="104"/>
    <n v="1658"/>
    <n v="1699"/>
    <x v="30"/>
    <x v="14"/>
    <x v="10"/>
    <n v="41"/>
    <x v="2"/>
    <x v="2"/>
  </r>
  <r>
    <x v="105"/>
    <n v="1768"/>
    <n v="1799"/>
    <x v="30"/>
    <x v="14"/>
    <x v="10"/>
    <n v="31"/>
    <x v="2"/>
    <x v="2"/>
  </r>
  <r>
    <x v="106"/>
    <n v="199"/>
    <n v="553"/>
    <x v="45"/>
    <x v="14"/>
    <x v="10"/>
    <n v="354"/>
    <x v="2"/>
    <x v="1"/>
  </r>
  <r>
    <x v="107"/>
    <n v="450"/>
    <n v="900"/>
    <x v="29"/>
    <x v="18"/>
    <x v="22"/>
    <n v="450"/>
    <x v="3"/>
    <x v="1"/>
  </r>
  <r>
    <x v="108"/>
    <n v="169"/>
    <n v="320"/>
    <x v="1"/>
    <x v="14"/>
    <x v="10"/>
    <n v="151"/>
    <x v="2"/>
    <x v="1"/>
  </r>
</pivotCacheRecords>
</file>

<file path=xl/pivotCache/pivotCacheRecords3.xml><?xml version="1.0" encoding="utf-8"?>
<pivotCacheRecords xmlns="http://schemas.openxmlformats.org/spreadsheetml/2006/main" xmlns:r="http://schemas.openxmlformats.org/officeDocument/2006/relationships" count="112">
  <r>
    <s v="3PCS Single Head Knitting Crochet Sweater Needle Set"/>
    <n v="38"/>
    <n v="80"/>
    <n v="42"/>
    <n v="0.53"/>
    <s v="high"/>
    <n v="13"/>
    <x v="0"/>
    <x v="0"/>
  </r>
  <r>
    <s v="Sewing Machine Needle Threader Stitch Insertion Tool Automatic Quick Sewing"/>
    <n v="105"/>
    <n v="200"/>
    <n v="95"/>
    <n v="0.48"/>
    <s v="high"/>
    <n v="0"/>
    <x v="1"/>
    <x v="1"/>
  </r>
  <r>
    <s v="Black Simple Water Cup Wine Coaster Anti Slip Absorbent"/>
    <n v="169"/>
    <n v="320"/>
    <n v="151"/>
    <n v="0.47"/>
    <s v="high"/>
    <n v="0"/>
    <x v="1"/>
    <x v="1"/>
  </r>
  <r>
    <s v="Classic Black Cat Cotton Hemp Pillow Case For Home Car"/>
    <n v="171"/>
    <n v="360"/>
    <n v="189"/>
    <n v="0.53"/>
    <s v="high"/>
    <n v="2"/>
    <x v="2"/>
    <x v="2"/>
  </r>
  <r>
    <s v="Creative Owl Shape Keychain Black"/>
    <n v="176"/>
    <n v="345"/>
    <n v="169"/>
    <n v="0.49"/>
    <s v="high"/>
    <n v="0"/>
    <x v="1"/>
    <x v="1"/>
  </r>
  <r>
    <s v="Exfoliate And Exfoliate Face Towel - Black"/>
    <n v="185"/>
    <n v="382"/>
    <n v="197"/>
    <n v="0.52"/>
    <s v="high"/>
    <n v="9"/>
    <x v="3"/>
    <x v="0"/>
  </r>
  <r>
    <s v="Peacock  Throw Pillow Cushion Case For Home Car"/>
    <n v="195"/>
    <n v="360"/>
    <n v="165"/>
    <n v="0.46"/>
    <s v="high"/>
    <n v="2"/>
    <x v="2"/>
    <x v="2"/>
  </r>
  <r>
    <s v="1PC Refrigerator Food Seal Pocket Fridge Bags"/>
    <n v="198"/>
    <n v="260"/>
    <n v="62"/>
    <n v="0.24"/>
    <s v="medium"/>
    <n v="0"/>
    <x v="1"/>
    <x v="1"/>
  </r>
  <r>
    <s v="Creative Owl Shape Keychain Black"/>
    <n v="199"/>
    <n v="504"/>
    <n v="305"/>
    <n v="0.61"/>
    <s v="high"/>
    <n v="0"/>
    <x v="1"/>
    <x v="1"/>
  </r>
  <r>
    <s v="6 In 1 Bottle Can Opener Multifunctional Easy Opener"/>
    <n v="199"/>
    <n v="553"/>
    <n v="354"/>
    <n v="0.64"/>
    <s v="high"/>
    <n v="0"/>
    <x v="1"/>
    <x v="1"/>
  </r>
  <r>
    <s v="7PCS Silicone Thumb Knife Finger Protector Vegetable Harvesting Knife"/>
    <n v="230"/>
    <n v="450"/>
    <n v="220"/>
    <n v="0.49"/>
    <s v="high"/>
    <n v="0"/>
    <x v="1"/>
    <x v="1"/>
  </r>
  <r>
    <s v="Modern Sofa Throw Pillow Cover-45x45cm-Blue&amp;Red"/>
    <n v="238"/>
    <n v="476"/>
    <n v="238"/>
    <n v="0.5"/>
    <s v="high"/>
    <n v="0"/>
    <x v="1"/>
    <x v="1"/>
  </r>
  <r>
    <s v="4 Piece Coloured Stainless Steel Kitchenware Set"/>
    <n v="248"/>
    <n v="486"/>
    <n v="238"/>
    <n v="0.49"/>
    <s v="high"/>
    <n v="0"/>
    <x v="1"/>
    <x v="1"/>
  </r>
  <r>
    <s v="Cartoon Car Decoration Cute Individuality For Car Home Desk"/>
    <n v="274"/>
    <n v="537"/>
    <n v="263"/>
    <n v="0.49"/>
    <s v="high"/>
    <n v="0"/>
    <x v="1"/>
    <x v="1"/>
  </r>
  <r>
    <s v="Brush &amp; Paintbrush Cleaning Tool Pink"/>
    <n v="299"/>
    <n v="600"/>
    <n v="301"/>
    <n v="0.5"/>
    <s v="high"/>
    <n v="0"/>
    <x v="1"/>
    <x v="1"/>
  </r>
  <r>
    <s v="Pilates Cloth Bag Waterproof Durable High Capacity Purple"/>
    <n v="299"/>
    <n v="384"/>
    <n v="85"/>
    <n v="0.22"/>
    <s v="medium"/>
    <n v="0"/>
    <x v="1"/>
    <x v="1"/>
  </r>
  <r>
    <s v="Intelligent  LED Body Sensor Wireless Lighting Night Light USB"/>
    <n v="325"/>
    <n v="680"/>
    <n v="355"/>
    <n v="0.52"/>
    <s v="high"/>
    <n v="15"/>
    <x v="4"/>
    <x v="3"/>
  </r>
  <r>
    <s v="Household Pineapple Peeler Peeler"/>
    <n v="330"/>
    <n v="647"/>
    <n v="317"/>
    <n v="0.49"/>
    <s v="high"/>
    <n v="1"/>
    <x v="5"/>
    <x v="0"/>
  </r>
  <r>
    <s v="Anti-Skid Absorbent Insulation Coaster  For Home Office"/>
    <n v="332"/>
    <n v="684"/>
    <n v="352"/>
    <n v="0.51"/>
    <s v="high"/>
    <n v="2"/>
    <x v="2"/>
    <x v="2"/>
  </r>
  <r>
    <s v="Watercolour Gold Foil Textured Print Pillow Cover"/>
    <n v="345"/>
    <n v="602"/>
    <n v="257"/>
    <n v="0.43"/>
    <s v="high"/>
    <n v="6"/>
    <x v="6"/>
    <x v="3"/>
  </r>
  <r>
    <s v="Agapeon Toothbrush Holder And Toothpaste Dispenser"/>
    <n v="382"/>
    <n v="700"/>
    <n v="318"/>
    <n v="0.45"/>
    <s v="high"/>
    <n v="17"/>
    <x v="7"/>
    <x v="3"/>
  </r>
  <r>
    <s v="Punch-free Great Load Bearing Bathroom Storage Rack Wall Shelf-White"/>
    <n v="389"/>
    <n v="656"/>
    <n v="267"/>
    <n v="0.41"/>
    <s v="high"/>
    <n v="36"/>
    <x v="3"/>
    <x v="0"/>
  </r>
  <r>
    <s v="Simple Metal Dog Art Sculpture Decoration For Home Office"/>
    <n v="399"/>
    <n v="896"/>
    <n v="497"/>
    <n v="0.55000000000000004"/>
    <s v="high"/>
    <n v="0"/>
    <x v="1"/>
    <x v="1"/>
  </r>
  <r>
    <s v="Electronic Digital Display Vernier Caliper"/>
    <n v="420"/>
    <n v="647"/>
    <n v="227"/>
    <n v="0.35"/>
    <s v="medium"/>
    <n v="49"/>
    <x v="8"/>
    <x v="2"/>
  </r>
  <r>
    <s v="120W Cordless Vacuum Cleaners Handheld Electric Vacuum Cleaner"/>
    <n v="445"/>
    <n v="873"/>
    <n v="428"/>
    <n v="0.49"/>
    <s v="high"/>
    <n v="69"/>
    <x v="9"/>
    <x v="3"/>
  </r>
  <r>
    <s v="Wall-mounted Sticker Punch-free Plug Fixer"/>
    <n v="450"/>
    <n v="900"/>
    <n v="450"/>
    <n v="0.5"/>
    <s v="high"/>
    <n v="1"/>
    <x v="10"/>
    <x v="3"/>
  </r>
  <r>
    <s v="Mythco 120COB Solar Wall Ligt With Motion Sensor And Remote Control 3 Modes"/>
    <n v="458"/>
    <n v="986"/>
    <n v="528"/>
    <n v="0.54"/>
    <s v="high"/>
    <n v="10"/>
    <x v="11"/>
    <x v="0"/>
  </r>
  <r>
    <s v="4M Float Switch Water Level Controller -Water Tank"/>
    <n v="475"/>
    <n v="931"/>
    <n v="456"/>
    <n v="0.49"/>
    <s v="high"/>
    <n v="0"/>
    <x v="1"/>
    <x v="1"/>
  </r>
  <r>
    <s v="Simple Metal Dog Art Sculpture Decoration For Home Office"/>
    <n v="499"/>
    <n v="900"/>
    <n v="401"/>
    <n v="0.45"/>
    <s v="high"/>
    <n v="0"/>
    <x v="1"/>
    <x v="1"/>
  </r>
  <r>
    <s v="LASA Digital Thermometer And Hydrometer"/>
    <n v="501"/>
    <n v="860"/>
    <n v="359"/>
    <n v="0.42"/>
    <s v="high"/>
    <n v="6"/>
    <x v="12"/>
    <x v="2"/>
  </r>
  <r>
    <s v="Wrought Iron Bathroom Shelf Wall Mounted Free Punch Toilet Rack"/>
    <n v="509"/>
    <n v="899"/>
    <n v="390"/>
    <n v="0.43"/>
    <s v="high"/>
    <n v="5"/>
    <x v="11"/>
    <x v="0"/>
  </r>
  <r>
    <s v="Baby Early Education Shape And Color Cognitive Training Toys"/>
    <n v="525"/>
    <n v="1029"/>
    <n v="504"/>
    <n v="0.49"/>
    <s v="high"/>
    <n v="0"/>
    <x v="1"/>
    <x v="1"/>
  </r>
  <r>
    <s v="Metal Decorative Hooks Key Hangers Entryway Wall Hooks Towel Hooks - Home"/>
    <n v="527"/>
    <n v="999"/>
    <n v="472"/>
    <n v="0.47"/>
    <s v="high"/>
    <n v="14"/>
    <x v="13"/>
    <x v="0"/>
  </r>
  <r>
    <s v="40cm Gold DIY Acrylic Wall Sticker Clock"/>
    <n v="552"/>
    <n v="1035"/>
    <n v="483"/>
    <n v="0.47"/>
    <s v="high"/>
    <n v="12"/>
    <x v="14"/>
    <x v="2"/>
  </r>
  <r>
    <s v="Balloon Insert, Birthday Party Balloon Set, PU Leather"/>
    <n v="610"/>
    <n v="1060"/>
    <n v="450"/>
    <n v="0.42"/>
    <s v="high"/>
    <n v="0"/>
    <x v="1"/>
    <x v="1"/>
  </r>
  <r>
    <s v="Multifunctional Hanging Storage Box Storage Bag (4 Layers)"/>
    <n v="630"/>
    <n v="1100"/>
    <n v="470"/>
    <n v="0.43"/>
    <s v="high"/>
    <n v="0"/>
    <x v="1"/>
    <x v="1"/>
  </r>
  <r>
    <s v="Angle Measuring Tool Full Metal Multi Angle Measuring Tool"/>
    <n v="657"/>
    <n v="1288"/>
    <n v="631"/>
    <n v="0.49"/>
    <s v="high"/>
    <n v="0"/>
    <x v="1"/>
    <x v="1"/>
  </r>
  <r>
    <s v="Car Phone Charging Stand"/>
    <n v="671"/>
    <n v="1316"/>
    <n v="645"/>
    <n v="0.49"/>
    <s v="high"/>
    <n v="0"/>
    <x v="1"/>
    <x v="1"/>
  </r>
  <r>
    <s v="3PCS Rotary Scraper Thermomix For Kitchen"/>
    <n v="690"/>
    <n v="1200"/>
    <n v="510"/>
    <n v="0.43"/>
    <s v="high"/>
    <n v="0"/>
    <x v="1"/>
    <x v="1"/>
  </r>
  <r>
    <s v="Christmas Fence Garden Decorations Outdoor For Holiday Home"/>
    <n v="699"/>
    <n v="1343"/>
    <n v="644"/>
    <n v="0.48"/>
    <s v="high"/>
    <n v="0"/>
    <x v="1"/>
    <x v="1"/>
  </r>
  <r>
    <s v="2PCS/LOT Solar LED Outdoor Intelligent Light Controlled Wall Lamp"/>
    <n v="790"/>
    <n v="1485"/>
    <n v="695"/>
    <n v="0.47"/>
    <s v="high"/>
    <n v="0"/>
    <x v="1"/>
    <x v="1"/>
  </r>
  <r>
    <s v="Genebre 115 In 1 Screwdriver Repairing Tool Set For IPhone Cellphone Hand Tool"/>
    <n v="799"/>
    <n v="999"/>
    <n v="200"/>
    <n v="0.2"/>
    <s v="medium"/>
    <n v="12"/>
    <x v="13"/>
    <x v="0"/>
  </r>
  <r>
    <s v="Cute Christmas Fence Garden Decorations For Holiday Home"/>
    <n v="799"/>
    <n v="1343"/>
    <n v="544"/>
    <n v="0.41"/>
    <s v="high"/>
    <n v="0"/>
    <x v="1"/>
    <x v="1"/>
  </r>
  <r>
    <s v="Angle Measuring Tool Full Metal Multi Angle Measuring Tool"/>
    <n v="799"/>
    <n v="1567"/>
    <n v="768"/>
    <n v="0.49"/>
    <s v="high"/>
    <n v="0"/>
    <x v="1"/>
    <x v="1"/>
  </r>
  <r>
    <s v="Outdoor Portable Water Bottle With Medicine Box - 600ML - Black"/>
    <n v="799"/>
    <n v="900"/>
    <n v="101"/>
    <n v="0.11"/>
    <s v="low"/>
    <n v="0"/>
    <x v="1"/>
    <x v="1"/>
  </r>
  <r>
    <s v="Wall Clock With Hidden Safe Box"/>
    <n v="850"/>
    <n v="1700"/>
    <n v="850"/>
    <n v="0.5"/>
    <s v="high"/>
    <n v="0"/>
    <x v="1"/>
    <x v="1"/>
  </r>
  <r>
    <s v="LED Romantic Spaceship Starry Sky Projector,Children's Bedroom Night Light-Blue"/>
    <n v="880"/>
    <n v="1350"/>
    <n v="470"/>
    <n v="0.35"/>
    <s v="medium"/>
    <n v="6"/>
    <x v="5"/>
    <x v="0"/>
  </r>
  <r>
    <s v="6 Layers Steel Pipe Assembling Dustproof Storage Shoe Cabinet"/>
    <n v="899"/>
    <n v="1699"/>
    <n v="800"/>
    <n v="0.47"/>
    <s v="high"/>
    <n v="0"/>
    <x v="1"/>
    <x v="1"/>
  </r>
  <r>
    <s v="115  Piece Set Of Multifunctional Precision Screwdrivers"/>
    <n v="950"/>
    <n v="1525"/>
    <n v="575"/>
    <n v="0.38"/>
    <s v="medium"/>
    <n v="2"/>
    <x v="12"/>
    <x v="2"/>
  </r>
  <r>
    <s v="7-piece Set Of Storage Bags, Travel Storage Bags, Shoe Bags"/>
    <n v="968"/>
    <n v="1814"/>
    <n v="846"/>
    <n v="0.47"/>
    <s v="high"/>
    <n v="6"/>
    <x v="15"/>
    <x v="3"/>
  </r>
  <r>
    <s v="Bedroom Simple Floor Hanging Clothes Rack Single Pole Hat Rack - White"/>
    <n v="979"/>
    <n v="1920"/>
    <n v="941"/>
    <n v="0.49"/>
    <s v="high"/>
    <n v="1"/>
    <x v="2"/>
    <x v="2"/>
  </r>
  <r>
    <s v="12 Litre Insulated Lunch Box Grey"/>
    <n v="980"/>
    <n v="1490"/>
    <n v="510"/>
    <n v="0.34"/>
    <s v="medium"/>
    <n v="12"/>
    <x v="16"/>
    <x v="2"/>
  </r>
  <r>
    <s v="Desk Foldable Fan Adjustable Fan Strong Wind 3 Gear Usb"/>
    <n v="988"/>
    <n v="1580"/>
    <n v="592"/>
    <n v="0.37"/>
    <s v="medium"/>
    <n v="2"/>
    <x v="5"/>
    <x v="0"/>
  </r>
  <r>
    <s v="100 Pcs Crochet Hook Tool Set Knitting Hook Set With Box"/>
    <n v="990"/>
    <n v="1500"/>
    <n v="510"/>
    <n v="0.34"/>
    <s v="medium"/>
    <n v="39"/>
    <x v="16"/>
    <x v="2"/>
  </r>
  <r>
    <s v="Artificial Potted Flowers Room Decorative Flowers (2 Pieces)"/>
    <n v="990"/>
    <n v="1814"/>
    <n v="824"/>
    <n v="0.45"/>
    <s v="high"/>
    <n v="6"/>
    <x v="15"/>
    <x v="3"/>
  </r>
  <r>
    <s v="3D Waterproof EVA Plastic Shower Curtain 1.8*2Mtrs"/>
    <n v="998"/>
    <n v="1966"/>
    <n v="968"/>
    <n v="0.49"/>
    <s v="high"/>
    <n v="44"/>
    <x v="8"/>
    <x v="2"/>
  </r>
  <r>
    <s v="Christmas Elk Fence Yard Lawn Decorations Cute For Holidays"/>
    <n v="999"/>
    <n v="2000"/>
    <n v="1001"/>
    <n v="0.5"/>
    <s v="high"/>
    <n v="0"/>
    <x v="1"/>
    <x v="1"/>
  </r>
  <r>
    <s v="380ML USB Rechargeable Portable Small Blenders And Juicers"/>
    <n v="1000"/>
    <n v="2000"/>
    <n v="1000"/>
    <n v="0.5"/>
    <s v="high"/>
    <n v="7"/>
    <x v="6"/>
    <x v="3"/>
  </r>
  <r>
    <s v="8in1 Screwdriver With LED Light"/>
    <n v="1080"/>
    <n v="1874"/>
    <n v="794"/>
    <n v="0.42"/>
    <s v="high"/>
    <n v="0"/>
    <x v="1"/>
    <x v="1"/>
  </r>
  <r>
    <s v="LED Solar Street Light-fake Camera"/>
    <n v="1150"/>
    <n v="1737"/>
    <n v="587"/>
    <n v="0.34"/>
    <s v="medium"/>
    <n v="0"/>
    <x v="1"/>
    <x v="1"/>
  </r>
  <r>
    <s v="Memory Foam Neck Pillow Cover, With Pillow Core - 50*30cm"/>
    <n v="1189"/>
    <n v="2199"/>
    <n v="1010"/>
    <n v="0.46"/>
    <s v="high"/>
    <n v="1"/>
    <x v="11"/>
    <x v="0"/>
  </r>
  <r>
    <s v="60W Hot Melt Glue Sprayer - Efficient And Stable Glue Dispensing"/>
    <n v="1190"/>
    <n v="1785"/>
    <n v="595"/>
    <n v="0.33"/>
    <s v="medium"/>
    <n v="0"/>
    <x v="1"/>
    <x v="1"/>
  </r>
  <r>
    <s v="Cartoon Embroidered Mini Towel Bear Cotton Wash Cloth Hand 4pcs"/>
    <n v="1190"/>
    <n v="1810"/>
    <n v="620"/>
    <n v="0.34"/>
    <s v="medium"/>
    <n v="0"/>
    <x v="1"/>
    <x v="1"/>
  </r>
  <r>
    <s v="2pcs Solar Street Light Flood Light Outdoor"/>
    <n v="1200"/>
    <n v="1950"/>
    <n v="750"/>
    <n v="0.38"/>
    <s v="medium"/>
    <n v="0"/>
    <x v="1"/>
    <x v="1"/>
  </r>
  <r>
    <s v="2PCS Ice Silk Square Cushion Cover Pillowcases - 65x65cm"/>
    <n v="1200"/>
    <n v="2400"/>
    <n v="1200"/>
    <n v="0.5"/>
    <s v="high"/>
    <n v="0"/>
    <x v="1"/>
    <x v="1"/>
  </r>
  <r>
    <s v="VIC Wireless Vacuum Cleaner Dual Use For Home And Car 120W High Power Powerful"/>
    <n v="1220"/>
    <n v="1555"/>
    <n v="335"/>
    <n v="0.22"/>
    <s v="medium"/>
    <n v="16"/>
    <x v="17"/>
    <x v="3"/>
  </r>
  <r>
    <s v="LASA FOLDING TABLE SERVING STAND"/>
    <n v="1274"/>
    <n v="2800"/>
    <n v="1526"/>
    <n v="0.55000000000000004"/>
    <s v="high"/>
    <n v="5"/>
    <x v="14"/>
    <x v="2"/>
  </r>
  <r>
    <s v="Portable Wine Table With Folding Round Table"/>
    <n v="1300"/>
    <n v="2500"/>
    <n v="1200"/>
    <n v="0.48"/>
    <s v="high"/>
    <n v="0"/>
    <x v="1"/>
    <x v="1"/>
  </r>
  <r>
    <s v="12 Litre Black Insulated Lunch Box"/>
    <n v="1350"/>
    <n v="1990"/>
    <n v="640"/>
    <n v="0.32"/>
    <s v="medium"/>
    <n v="13"/>
    <x v="18"/>
    <x v="0"/>
  </r>
  <r>
    <s v="9pcs Gas Mask, For Painting, Dust, Formaldehyde Grinding, Polishing"/>
    <n v="1420"/>
    <n v="2420"/>
    <n v="1000"/>
    <n v="0.41"/>
    <s v="high"/>
    <n v="0"/>
    <x v="1"/>
    <x v="1"/>
  </r>
  <r>
    <s v="Multi-purpose Rice Drainage Basket And Fruit And Vegetable Drainage Sieve"/>
    <n v="1459"/>
    <n v="1499"/>
    <n v="40"/>
    <n v="0.03"/>
    <s v="low"/>
    <n v="0"/>
    <x v="1"/>
    <x v="1"/>
  </r>
  <r>
    <s v="5m Waterproof Spherical LED String Lights Outdoor Ball Chain Lights Party Lighting Decoration Adjustable"/>
    <n v="1460"/>
    <n v="2290"/>
    <n v="830"/>
    <n v="0.36"/>
    <s v="medium"/>
    <n v="0"/>
    <x v="1"/>
    <x v="1"/>
  </r>
  <r>
    <s v="Portable Soap Dispenser Kitchen Detergent Press Box Kitchen Tools"/>
    <n v="1462"/>
    <n v="1499"/>
    <n v="37"/>
    <n v="0.02"/>
    <s v="low"/>
    <n v="0"/>
    <x v="1"/>
    <x v="1"/>
  </r>
  <r>
    <s v="Office Chair Lumbar Back Support Spine Posture Correction Pillow Car Cushion"/>
    <n v="1466"/>
    <n v="1699"/>
    <n v="233"/>
    <n v="0.14000000000000001"/>
    <s v="low"/>
    <n v="0"/>
    <x v="1"/>
    <x v="1"/>
  </r>
  <r>
    <s v="Wall-Mounted Toothbrush Toothpaste Holder With Multiple Slots"/>
    <n v="1468"/>
    <n v="1699"/>
    <n v="231"/>
    <n v="0.14000000000000001"/>
    <s v="low"/>
    <n v="0"/>
    <x v="1"/>
    <x v="1"/>
  </r>
  <r>
    <s v="Wall Mount Automatic Toothpaste Dispenser Toothbrush Holder Toothpaste Squeezer"/>
    <n v="1526"/>
    <n v="1660"/>
    <n v="134"/>
    <n v="0.08"/>
    <s v="low"/>
    <n v="0"/>
    <x v="1"/>
    <x v="1"/>
  </r>
  <r>
    <s v="Electric LED UV Mosquito Killer Lamp, Outdoor/Indoor Fly Killer Trap Light -USB"/>
    <n v="1570"/>
    <n v="2988"/>
    <n v="1418"/>
    <n v="0.47"/>
    <s v="high"/>
    <n v="7"/>
    <x v="19"/>
    <x v="3"/>
  </r>
  <r>
    <s v="Weighing Scale Digital Bathroom Body Fat Scale USB-Black"/>
    <n v="1580"/>
    <n v="2499"/>
    <n v="919"/>
    <n v="0.37"/>
    <s v="medium"/>
    <n v="7"/>
    <x v="16"/>
    <x v="2"/>
  </r>
  <r>
    <s v="13 In 1 Home Repair Tools Box Kit Set"/>
    <n v="1600"/>
    <n v="2929"/>
    <n v="1329"/>
    <n v="0.45"/>
    <s v="high"/>
    <n v="5"/>
    <x v="18"/>
    <x v="0"/>
  </r>
  <r>
    <s v="DIY File Folder, Office Drawer File Holder, Pen Holder, Desktop Storage Rack"/>
    <n v="1620"/>
    <n v="2690"/>
    <n v="1070"/>
    <n v="0.4"/>
    <s v="medium"/>
    <n v="1"/>
    <x v="2"/>
    <x v="2"/>
  </r>
  <r>
    <s v="Foldable Overbed Table/Desk"/>
    <n v="1650"/>
    <n v="2150"/>
    <n v="500"/>
    <n v="0.23"/>
    <s v="medium"/>
    <n v="14"/>
    <x v="20"/>
    <x v="0"/>
  </r>
  <r>
    <s v="Shower Nozzle Cleaning Unclogging Needle Mini Crevice Small Hole Cleaning Brush"/>
    <n v="1658"/>
    <n v="1699"/>
    <n v="41"/>
    <n v="0.02"/>
    <s v="low"/>
    <n v="0"/>
    <x v="1"/>
    <x v="1"/>
  </r>
  <r>
    <s v="Pen Grips For Kids Pen Grip Posture Correction Tool For Kids"/>
    <n v="1660"/>
    <n v="1699"/>
    <n v="39"/>
    <n v="0.02"/>
    <s v="low"/>
    <n v="0"/>
    <x v="1"/>
    <x v="1"/>
  </r>
  <r>
    <s v="2 Pairs Cowhide Split Leather Work Gloves.32â„‰ Or Above Welding Gloves"/>
    <n v="1666"/>
    <n v="1699"/>
    <n v="33"/>
    <n v="0.02"/>
    <s v="low"/>
    <n v="0"/>
    <x v="1"/>
    <x v="1"/>
  </r>
  <r>
    <s v="Multifunction Laser Level With Adjustment Tripod"/>
    <n v="1680"/>
    <n v="2499"/>
    <n v="819"/>
    <n v="0.33"/>
    <s v="medium"/>
    <n v="9"/>
    <x v="21"/>
    <x v="0"/>
  </r>
  <r>
    <s v="Cushion Silicone Butt Cushion Summer Ice Cushion Honeycomb Gel Cushion"/>
    <n v="1732"/>
    <n v="1799"/>
    <n v="67"/>
    <n v="0.04"/>
    <s v="low"/>
    <n v="0"/>
    <x v="1"/>
    <x v="1"/>
  </r>
  <r>
    <s v="Portable Home Small Air Humidifier 3-Speed Fan - Green"/>
    <n v="1740"/>
    <n v="2356"/>
    <n v="616"/>
    <n v="0.26"/>
    <s v="medium"/>
    <n v="5"/>
    <x v="14"/>
    <x v="2"/>
  </r>
  <r>
    <s v="52 Pieces Cake Decorating Tool Set Gift Kit Baking Supplies"/>
    <n v="1758"/>
    <n v="2499"/>
    <n v="741"/>
    <n v="0.3"/>
    <s v="medium"/>
    <n v="20"/>
    <x v="13"/>
    <x v="0"/>
  </r>
  <r>
    <s v="Thickening Multipurpose Non Stick Easy To Clean Heat Resistant Spoon Pad"/>
    <n v="1768"/>
    <n v="1799"/>
    <n v="31"/>
    <n v="0.02"/>
    <s v="low"/>
    <n v="0"/>
    <x v="1"/>
    <x v="1"/>
  </r>
  <r>
    <s v="1/2/3 Seater Elastic Sofa Cover,Living Room/Home Decor Chair Cover-Grey"/>
    <n v="1800"/>
    <n v="2700"/>
    <n v="900"/>
    <n v="0.38"/>
    <s v="medium"/>
    <n v="2"/>
    <x v="12"/>
    <x v="2"/>
  </r>
  <r>
    <s v="LED Eye Protection  Desk Lamp , Study, Reading, USB Fan - Double Pen Holder"/>
    <n v="1820"/>
    <n v="3490"/>
    <n v="1670"/>
    <n v="0.48"/>
    <s v="high"/>
    <n v="9"/>
    <x v="3"/>
    <x v="0"/>
  </r>
  <r>
    <s v="4pcs Bathroom/Kitchen Towel Rack,Roll Paper Holder,Towel Bars,Hook"/>
    <n v="1860"/>
    <n v="3220"/>
    <n v="1360"/>
    <n v="0.42"/>
    <s v="high"/>
    <n v="0"/>
    <x v="1"/>
    <x v="1"/>
  </r>
  <r>
    <s v="24 Grid Wall-mounted Sundries Organiser Fabric Closet Bag Storage Rack"/>
    <n v="1875"/>
    <n v="1899"/>
    <n v="24"/>
    <n v="0.01"/>
    <s v="low"/>
    <n v="0"/>
    <x v="1"/>
    <x v="1"/>
  </r>
  <r>
    <s v="53Pcs/Set Yarn Knitting Crochet Hooks With Bag - Fortune Cat"/>
    <n v="1940"/>
    <n v="2650"/>
    <n v="710"/>
    <n v="0.27"/>
    <s v="medium"/>
    <n v="20"/>
    <x v="16"/>
    <x v="2"/>
  </r>
  <r>
    <s v="53 Pieces/Set Yarn Knitting Crochet Hooks With Bag - Pansies"/>
    <n v="1980"/>
    <n v="2699"/>
    <n v="719"/>
    <n v="0.27"/>
    <s v="medium"/>
    <n v="32"/>
    <x v="12"/>
    <x v="2"/>
  </r>
  <r>
    <s v="LASA Aluminum Folding Truck Hand Cart - 68kg Max"/>
    <n v="2025"/>
    <n v="3971"/>
    <n v="1946"/>
    <n v="0.49"/>
    <s v="high"/>
    <n v="3"/>
    <x v="2"/>
    <x v="2"/>
  </r>
  <r>
    <s v="LASA 3 Tier Bamboo Shoe Bench Storage Shelf"/>
    <n v="2048"/>
    <n v="4500"/>
    <n v="2452"/>
    <n v="0.54"/>
    <s v="high"/>
    <n v="7"/>
    <x v="3"/>
    <x v="0"/>
  </r>
  <r>
    <s v="5-PCS Stainless Steel Cooking Pot Set With Steamed Slices"/>
    <n v="2115"/>
    <n v="4700"/>
    <n v="2585"/>
    <n v="0.55000000000000004"/>
    <s v="high"/>
    <n v="13"/>
    <x v="19"/>
    <x v="3"/>
  </r>
  <r>
    <s v="Shower Cap Wide Elastic Band Cover Reusable Bashroom Cap"/>
    <n v="2132"/>
    <n v="2169"/>
    <n v="37"/>
    <n v="0.02"/>
    <s v="low"/>
    <n v="0"/>
    <x v="1"/>
    <x v="1"/>
  </r>
  <r>
    <s v="5 Pieces/set Of Stainless Steel Induction Cooker Pots"/>
    <n v="2170"/>
    <n v="2500"/>
    <n v="330"/>
    <n v="0.13"/>
    <s v="low"/>
    <n v="6"/>
    <x v="22"/>
    <x v="3"/>
  </r>
  <r>
    <s v="Portable Mini Cordless Car Vacuum Cleaner - Blue"/>
    <n v="2199"/>
    <n v="2923"/>
    <n v="724"/>
    <n v="0.25"/>
    <s v="medium"/>
    <n v="24"/>
    <x v="8"/>
    <x v="2"/>
  </r>
  <r>
    <s v="MultiFunctional Storage Rack Multi-layer Bookshelf"/>
    <n v="2200"/>
    <n v="4080"/>
    <n v="1880"/>
    <n v="0.46"/>
    <s v="high"/>
    <n v="0"/>
    <x v="1"/>
    <x v="1"/>
  </r>
  <r>
    <s v="Large Lazy Inflatable Sofa Chairs PVC Lounger Seat Bag"/>
    <n v="2300"/>
    <n v="3240"/>
    <n v="940"/>
    <n v="0.28999999999999998"/>
    <s v="medium"/>
    <n v="5"/>
    <x v="11"/>
    <x v="0"/>
  </r>
  <r>
    <s v="137 Pieces Cake Decorating Tool Set Baking Supplies"/>
    <n v="2319"/>
    <n v="3032"/>
    <n v="713"/>
    <n v="0.24"/>
    <s v="medium"/>
    <n v="55"/>
    <x v="8"/>
    <x v="2"/>
  </r>
  <r>
    <s v="LASA Stainless Steel Double Wall Mount Soap Dispenser - 500ml"/>
    <n v="2750"/>
    <n v="4471"/>
    <n v="1721"/>
    <n v="0.38"/>
    <s v="medium"/>
    <n v="0"/>
    <x v="1"/>
    <x v="1"/>
  </r>
  <r>
    <s v="12V 19500rpm Handheld Electric Angle Grinder Tool - UK - Yellow/Black"/>
    <n v="2799"/>
    <n v="3810"/>
    <n v="1011"/>
    <n v="0.27"/>
    <s v="medium"/>
    <n v="0"/>
    <x v="1"/>
    <x v="1"/>
  </r>
  <r>
    <s v="Portable Wardrobe Nonwoven With 3 Hanging Rods And 6 Storage Shelves"/>
    <n v="2880"/>
    <n v="3520"/>
    <n v="640"/>
    <n v="0.18"/>
    <s v="low"/>
    <n v="12"/>
    <x v="18"/>
    <x v="0"/>
  </r>
  <r>
    <s v="220V 60W Electric Soldering Iron Kits With Tools, Tips, And Multimeter"/>
    <n v="2999"/>
    <n v="3290"/>
    <n v="291"/>
    <n v="0.09"/>
    <s v="low"/>
    <n v="15"/>
    <x v="5"/>
    <x v="0"/>
  </r>
  <r>
    <s v="LED Wall Digital Alarm Clock Study Home 12 / 24H Clock Calendar"/>
    <n v="2999"/>
    <n v="3699"/>
    <n v="700"/>
    <n v="0.19"/>
    <s v="low"/>
    <n v="5"/>
    <x v="8"/>
    <x v="2"/>
  </r>
  <r>
    <s v="Metal Wall Clock Silver Dial Crystal Jewelry Round Home Decoration Wall Clock"/>
    <n v="3546"/>
    <n v="3699"/>
    <n v="153"/>
    <n v="0.04"/>
    <s v="low"/>
    <n v="0"/>
    <x v="1"/>
    <x v="1"/>
  </r>
  <r>
    <s v="Konka Healty Electric Kettle, 24-hour Heat Preservation,1.5L,800W, White"/>
    <n v="3640"/>
    <n v="4588"/>
    <n v="948"/>
    <n v="0.21"/>
    <s v="medium"/>
    <n v="1"/>
    <x v="2"/>
    <x v="2"/>
  </r>
  <r>
    <s v="32PCS Portable Cordless Drill Set With Cyclic Battery Drive -26 Variable Speed"/>
    <n v="3750"/>
    <n v="6143"/>
    <n v="2393"/>
    <n v="0.39"/>
    <s v="medium"/>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9">
    <pivotField showAll="0"/>
    <pivotField dataField="1" showAll="0">
      <items count="105">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x="103"/>
        <item t="default"/>
      </items>
    </pivotField>
    <pivotField dataField="1" showAll="0">
      <items count="95">
        <item x="18"/>
        <item x="79"/>
        <item x="88"/>
        <item x="92"/>
        <item x="74"/>
        <item x="14"/>
        <item x="27"/>
        <item x="47"/>
        <item x="70"/>
        <item x="37"/>
        <item x="82"/>
        <item x="44"/>
        <item x="75"/>
        <item x="91"/>
        <item x="45"/>
        <item x="64"/>
        <item x="23"/>
        <item x="33"/>
        <item x="58"/>
        <item x="13"/>
        <item x="62"/>
        <item x="12"/>
        <item x="57"/>
        <item x="53"/>
        <item x="65"/>
        <item x="50"/>
        <item x="36"/>
        <item x="55"/>
        <item x="1"/>
        <item x="83"/>
        <item x="11"/>
        <item x="38"/>
        <item x="77"/>
        <item x="68"/>
        <item x="76"/>
        <item x="42"/>
        <item x="49"/>
        <item x="20"/>
        <item x="67"/>
        <item x="28"/>
        <item x="48"/>
        <item x="10"/>
        <item x="0"/>
        <item x="59"/>
        <item x="51"/>
        <item x="7"/>
        <item x="81"/>
        <item x="46"/>
        <item x="78"/>
        <item x="89"/>
        <item x="41"/>
        <item x="69"/>
        <item x="90"/>
        <item x="60"/>
        <item x="84"/>
        <item x="87"/>
        <item x="72"/>
        <item x="43"/>
        <item x="17"/>
        <item x="25"/>
        <item x="40"/>
        <item x="21"/>
        <item x="39"/>
        <item x="71"/>
        <item x="73"/>
        <item x="4"/>
        <item x="80"/>
        <item x="86"/>
        <item x="3"/>
        <item x="54"/>
        <item x="30"/>
        <item x="32"/>
        <item x="31"/>
        <item x="34"/>
        <item x="8"/>
        <item x="2"/>
        <item x="9"/>
        <item x="66"/>
        <item x="6"/>
        <item x="19"/>
        <item x="63"/>
        <item x="5"/>
        <item x="29"/>
        <item x="24"/>
        <item x="16"/>
        <item x="52"/>
        <item x="15"/>
        <item x="26"/>
        <item x="35"/>
        <item x="22"/>
        <item x="85"/>
        <item x="56"/>
        <item x="61"/>
        <item x="93"/>
        <item t="default"/>
      </items>
    </pivotField>
    <pivotField dataField="1" showAll="0"/>
    <pivotField dataField="1" showAll="0">
      <items count="48">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x="46"/>
        <item t="default"/>
      </items>
    </pivotField>
    <pivotField showAll="0"/>
    <pivotField showAll="0"/>
    <pivotField dataField="1"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s>
  <rowItems count="1">
    <i/>
  </rowItems>
  <colFields count="1">
    <field x="-2"/>
  </colFields>
  <colItems count="5">
    <i>
      <x/>
    </i>
    <i i="1">
      <x v="1"/>
    </i>
    <i i="2">
      <x v="2"/>
    </i>
    <i i="3">
      <x v="3"/>
    </i>
    <i i="4">
      <x v="4"/>
    </i>
  </colItems>
  <dataFields count="5">
    <dataField name="Average of Current price" fld="1" subtotal="average" baseField="0" baseItem="1"/>
    <dataField name="Average of old price" fld="2" subtotal="average" baseField="0" baseItem="1"/>
    <dataField name="Average of Discount Amount" fld="3" subtotal="average" baseField="0" baseItem="1"/>
    <dataField name="Average of Discount" fld="4" subtotal="average" baseField="0" baseItem="1" numFmtId="10"/>
    <dataField name="Average of Ratings" fld="7" subtotal="average" baseField="0" baseItem="1"/>
  </dataFields>
  <formats count="2">
    <format dxfId="1">
      <pivotArea outline="0" collapsedLevelsAreSubtotals="1" fieldPosition="0">
        <references count="1">
          <reference field="4294967294" count="1" selected="0">
            <x v="3"/>
          </reference>
        </references>
      </pivotArea>
    </format>
    <format dxfId="0">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9">
    <pivotField showAll="0"/>
    <pivotField numFmtId="164" showAll="0"/>
    <pivotField numFmtId="164" showAll="0"/>
    <pivotField numFmtId="9" showAll="0"/>
    <pivotField showAll="0"/>
    <pivotField dataField="1" showAll="0"/>
    <pivotField numFmtId="164" showAll="0"/>
    <pivotField showAll="0"/>
    <pivotField axis="axisRow" showAll="0">
      <items count="4">
        <item x="1"/>
        <item x="2"/>
        <item x="0"/>
        <item t="default"/>
      </items>
    </pivotField>
  </pivotFields>
  <rowFields count="1">
    <field x="8"/>
  </rowFields>
  <rowItems count="4">
    <i>
      <x/>
    </i>
    <i>
      <x v="1"/>
    </i>
    <i>
      <x v="2"/>
    </i>
    <i t="grand">
      <x/>
    </i>
  </rowItems>
  <colItems count="1">
    <i/>
  </colItems>
  <dataFields count="1">
    <dataField name="Average of Rating" fld="5"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8" firstHeaderRow="1" firstDataRow="1" firstDataCol="1"/>
  <pivotFields count="9">
    <pivotField dataField="1" showAll="0"/>
    <pivotField numFmtId="164" showAll="0"/>
    <pivotField numFmtId="164" showAll="0"/>
    <pivotField numFmtId="9" showAll="0"/>
    <pivotField showAll="0"/>
    <pivotField showAll="0"/>
    <pivotField numFmtId="164" showAll="0"/>
    <pivotField axis="axisRow" showAll="0">
      <items count="5">
        <item x="1"/>
        <item x="0"/>
        <item x="2"/>
        <item x="3"/>
        <item t="default"/>
      </items>
    </pivotField>
    <pivotField showAll="0"/>
  </pivotFields>
  <rowFields count="1">
    <field x="7"/>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7" firstHeaderRow="1" firstDataRow="1" firstDataCol="1"/>
  <pivotFields count="9">
    <pivotField showAll="0"/>
    <pivotField numFmtId="164" showAll="0"/>
    <pivotField numFmtId="164" showAll="0"/>
    <pivotField numFmtId="9" showAll="0"/>
    <pivotField dataField="1"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numFmtId="164" showAll="0"/>
    <pivotField showAll="0">
      <items count="5">
        <item x="1"/>
        <item x="0"/>
        <item x="2"/>
        <item x="3"/>
        <item t="default"/>
      </items>
    </pivotField>
    <pivotField showAll="0">
      <items count="4">
        <item x="1"/>
        <item x="2"/>
        <item x="0"/>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Review"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3:B7" firstHeaderRow="1" firstDataRow="1" firstDataCol="1"/>
  <pivotFields count="9">
    <pivotField showAll="0"/>
    <pivotField showAll="0"/>
    <pivotField showAll="0"/>
    <pivotField showAll="0"/>
    <pivotField numFmtId="10" showAll="0"/>
    <pivotField showAll="0"/>
    <pivotField showAll="0"/>
    <pivotField dataField="1" showAll="0">
      <items count="24">
        <item x="10"/>
        <item x="19"/>
        <item x="15"/>
        <item x="6"/>
        <item x="22"/>
        <item x="7"/>
        <item x="4"/>
        <item x="9"/>
        <item x="17"/>
        <item x="11"/>
        <item x="0"/>
        <item x="18"/>
        <item x="5"/>
        <item x="13"/>
        <item x="21"/>
        <item x="3"/>
        <item x="20"/>
        <item x="12"/>
        <item x="8"/>
        <item x="16"/>
        <item x="14"/>
        <item x="2"/>
        <item x="1"/>
        <item t="default"/>
      </items>
    </pivotField>
    <pivotField axis="axisRow" showAll="0">
      <items count="5">
        <item x="0"/>
        <item x="2"/>
        <item h="1" x="1"/>
        <item x="3"/>
        <item t="default"/>
      </items>
    </pivotField>
  </pivotFields>
  <rowFields count="1">
    <field x="8"/>
  </rowFields>
  <rowItems count="4">
    <i>
      <x/>
    </i>
    <i>
      <x v="1"/>
    </i>
    <i>
      <x v="3"/>
    </i>
    <i t="grand">
      <x/>
    </i>
  </rowItems>
  <colItems count="1">
    <i/>
  </colItems>
  <dataFields count="1">
    <dataField name="Average of Ratings" fld="7" subtotal="average" baseField="8" baseItem="0"/>
  </dataFields>
  <chartFormats count="1">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s_Category" sourceName="Ratings Category">
  <pivotTables>
    <pivotTable tabId="6" name="PivotTable4"/>
  </pivotTables>
  <data>
    <tabular pivotCacheId="2">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6" name="PivotTable4"/>
  </pivotTables>
  <data>
    <tabular pivotCacheId="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s Category 1" cache="Slicer_Ratings_Category" caption="Ratings Category" style="SlicerStyleLight2" rowHeight="234950"/>
  <slicer name="Discount Category" cache="Slicer_Discount_Category" caption="Discount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6"/>
  <sheetViews>
    <sheetView workbookViewId="0">
      <selection activeCell="C7" sqref="C7"/>
    </sheetView>
  </sheetViews>
  <sheetFormatPr defaultRowHeight="15.75" x14ac:dyDescent="0.25"/>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6"/>
  <sheetViews>
    <sheetView topLeftCell="B1" workbookViewId="0">
      <pane ySplit="1" topLeftCell="A2" activePane="bottomLeft" state="frozen"/>
      <selection pane="bottomLeft" activeCell="B6" sqref="B6"/>
    </sheetView>
  </sheetViews>
  <sheetFormatPr defaultRowHeight="15.75" x14ac:dyDescent="0.25"/>
  <cols>
    <col min="1" max="1" width="88.875" bestFit="1" customWidth="1"/>
    <col min="2" max="3" width="18.5" style="4" bestFit="1" customWidth="1"/>
    <col min="4" max="4" width="18.5" style="4" customWidth="1"/>
    <col min="5" max="5" width="8" style="6" bestFit="1" customWidth="1"/>
    <col min="6" max="6" width="16.625" bestFit="1" customWidth="1"/>
    <col min="7" max="7" width="6.75" bestFit="1" customWidth="1"/>
    <col min="8" max="8" width="11" bestFit="1" customWidth="1"/>
    <col min="9" max="9" width="15.375" bestFit="1" customWidth="1"/>
  </cols>
  <sheetData>
    <row r="1" spans="1:9" x14ac:dyDescent="0.25">
      <c r="A1" s="2" t="s">
        <v>0</v>
      </c>
      <c r="B1" s="3" t="s">
        <v>1</v>
      </c>
      <c r="C1" s="3" t="s">
        <v>2</v>
      </c>
      <c r="D1" s="3" t="s">
        <v>325</v>
      </c>
      <c r="E1" s="5" t="s">
        <v>3</v>
      </c>
      <c r="F1" s="2" t="s">
        <v>327</v>
      </c>
      <c r="G1" s="2" t="s">
        <v>4</v>
      </c>
      <c r="H1" s="2" t="s">
        <v>323</v>
      </c>
      <c r="I1" s="2" t="s">
        <v>326</v>
      </c>
    </row>
    <row r="2" spans="1:9" x14ac:dyDescent="0.25">
      <c r="A2" t="s">
        <v>71</v>
      </c>
      <c r="B2" s="4">
        <v>38</v>
      </c>
      <c r="C2" s="4">
        <v>80</v>
      </c>
      <c r="D2" s="4">
        <f t="shared" ref="D2:D33" si="0">(C2-B2)</f>
        <v>42</v>
      </c>
      <c r="E2" s="6">
        <v>0.53</v>
      </c>
      <c r="F2" s="1" t="str">
        <f t="shared" ref="F2:F33" si="1">IF(E2&lt;20%,"low",IF(E2&lt;=40%,"medium","high"))</f>
        <v>high</v>
      </c>
      <c r="G2">
        <v>13</v>
      </c>
      <c r="H2">
        <v>3.3</v>
      </c>
      <c r="I2" t="str">
        <f>IF(H2="not provided", "N/A", IF(H2&lt;3, "poor", IF(H2&lt;=4.4, "average", "excellent")))</f>
        <v>average</v>
      </c>
    </row>
    <row r="3" spans="1:9" x14ac:dyDescent="0.25">
      <c r="A3" t="s">
        <v>274</v>
      </c>
      <c r="B3" s="4">
        <v>105</v>
      </c>
      <c r="C3" s="4">
        <v>200</v>
      </c>
      <c r="D3" s="4">
        <f t="shared" si="0"/>
        <v>95</v>
      </c>
      <c r="E3" s="6">
        <v>0.48</v>
      </c>
      <c r="F3" s="1" t="str">
        <f t="shared" si="1"/>
        <v>high</v>
      </c>
      <c r="G3">
        <v>0</v>
      </c>
      <c r="H3" t="s">
        <v>324</v>
      </c>
      <c r="I3" t="str">
        <f t="shared" ref="I3:I66" si="2">IF(H3="not provided", "N/A", IF(H3&lt;3, "poor", IF(H3&lt;=4.4, "average", "excellent")))</f>
        <v>N/A</v>
      </c>
    </row>
    <row r="4" spans="1:9" x14ac:dyDescent="0.25">
      <c r="A4" t="s">
        <v>320</v>
      </c>
      <c r="B4" s="4">
        <v>169</v>
      </c>
      <c r="C4" s="4">
        <v>320</v>
      </c>
      <c r="D4" s="4">
        <f t="shared" si="0"/>
        <v>151</v>
      </c>
      <c r="E4" s="6">
        <v>0.47</v>
      </c>
      <c r="F4" s="1" t="str">
        <f t="shared" si="1"/>
        <v>high</v>
      </c>
      <c r="G4">
        <v>0</v>
      </c>
      <c r="H4" t="s">
        <v>324</v>
      </c>
      <c r="I4" t="str">
        <f t="shared" si="2"/>
        <v>N/A</v>
      </c>
    </row>
    <row r="5" spans="1:9" x14ac:dyDescent="0.25">
      <c r="A5" t="s">
        <v>120</v>
      </c>
      <c r="B5" s="4">
        <v>171</v>
      </c>
      <c r="C5" s="4">
        <v>360</v>
      </c>
      <c r="D5" s="4">
        <f t="shared" si="0"/>
        <v>189</v>
      </c>
      <c r="E5" s="6">
        <v>0.53</v>
      </c>
      <c r="F5" s="1" t="str">
        <f t="shared" si="1"/>
        <v>high</v>
      </c>
      <c r="G5">
        <v>2</v>
      </c>
      <c r="H5">
        <v>5</v>
      </c>
      <c r="I5" t="str">
        <f t="shared" si="2"/>
        <v>excellent</v>
      </c>
    </row>
    <row r="6" spans="1:9" x14ac:dyDescent="0.25">
      <c r="A6" t="s">
        <v>154</v>
      </c>
      <c r="B6" s="4">
        <v>176</v>
      </c>
      <c r="C6" s="4">
        <v>345</v>
      </c>
      <c r="D6" s="4">
        <f t="shared" si="0"/>
        <v>169</v>
      </c>
      <c r="E6" s="6">
        <v>0.49</v>
      </c>
      <c r="F6" s="1" t="str">
        <f t="shared" si="1"/>
        <v>high</v>
      </c>
      <c r="G6">
        <v>0</v>
      </c>
      <c r="H6" t="s">
        <v>324</v>
      </c>
      <c r="I6" t="str">
        <f t="shared" si="2"/>
        <v>N/A</v>
      </c>
    </row>
    <row r="7" spans="1:9" x14ac:dyDescent="0.25">
      <c r="A7" t="s">
        <v>102</v>
      </c>
      <c r="B7" s="4">
        <v>185</v>
      </c>
      <c r="C7" s="4">
        <v>382</v>
      </c>
      <c r="D7" s="4">
        <f t="shared" si="0"/>
        <v>197</v>
      </c>
      <c r="E7" s="6">
        <v>0.52</v>
      </c>
      <c r="F7" s="1" t="str">
        <f t="shared" si="1"/>
        <v>high</v>
      </c>
      <c r="G7">
        <v>9</v>
      </c>
      <c r="H7">
        <v>4.3</v>
      </c>
      <c r="I7" t="str">
        <f t="shared" si="2"/>
        <v>average</v>
      </c>
    </row>
    <row r="8" spans="1:9" x14ac:dyDescent="0.25">
      <c r="A8" t="s">
        <v>60</v>
      </c>
      <c r="B8" s="4">
        <v>195</v>
      </c>
      <c r="C8" s="4">
        <v>360</v>
      </c>
      <c r="D8" s="4">
        <f t="shared" si="0"/>
        <v>165</v>
      </c>
      <c r="E8" s="6">
        <v>0.46</v>
      </c>
      <c r="F8" s="1" t="str">
        <f t="shared" si="1"/>
        <v>high</v>
      </c>
      <c r="G8">
        <v>2</v>
      </c>
      <c r="H8">
        <v>5</v>
      </c>
      <c r="I8" t="str">
        <f t="shared" si="2"/>
        <v>excellent</v>
      </c>
    </row>
    <row r="9" spans="1:9" x14ac:dyDescent="0.25">
      <c r="A9" t="s">
        <v>304</v>
      </c>
      <c r="B9" s="4">
        <v>198</v>
      </c>
      <c r="C9" s="4">
        <v>260</v>
      </c>
      <c r="D9" s="4">
        <f t="shared" si="0"/>
        <v>62</v>
      </c>
      <c r="E9" s="6">
        <v>0.24</v>
      </c>
      <c r="F9" s="1" t="str">
        <f t="shared" si="1"/>
        <v>medium</v>
      </c>
      <c r="G9">
        <v>0</v>
      </c>
      <c r="H9" t="s">
        <v>324</v>
      </c>
      <c r="I9" t="str">
        <f t="shared" si="2"/>
        <v>N/A</v>
      </c>
    </row>
    <row r="10" spans="1:9" x14ac:dyDescent="0.25">
      <c r="A10" t="s">
        <v>154</v>
      </c>
      <c r="B10" s="4">
        <v>199</v>
      </c>
      <c r="C10" s="4">
        <v>504</v>
      </c>
      <c r="D10" s="4">
        <f t="shared" si="0"/>
        <v>305</v>
      </c>
      <c r="E10" s="6">
        <v>0.61</v>
      </c>
      <c r="F10" s="1" t="str">
        <f t="shared" si="1"/>
        <v>high</v>
      </c>
      <c r="G10">
        <v>0</v>
      </c>
      <c r="H10" t="s">
        <v>324</v>
      </c>
      <c r="I10" t="str">
        <f t="shared" si="2"/>
        <v>N/A</v>
      </c>
    </row>
    <row r="11" spans="1:9" x14ac:dyDescent="0.25">
      <c r="A11" t="s">
        <v>316</v>
      </c>
      <c r="B11" s="4">
        <v>199</v>
      </c>
      <c r="C11" s="4">
        <v>553</v>
      </c>
      <c r="D11" s="4">
        <f t="shared" si="0"/>
        <v>354</v>
      </c>
      <c r="E11" s="6">
        <v>0.64</v>
      </c>
      <c r="F11" s="1" t="str">
        <f t="shared" si="1"/>
        <v>high</v>
      </c>
      <c r="G11">
        <v>0</v>
      </c>
      <c r="H11" t="s">
        <v>324</v>
      </c>
      <c r="I11" t="str">
        <f t="shared" si="2"/>
        <v>N/A</v>
      </c>
    </row>
    <row r="12" spans="1:9" x14ac:dyDescent="0.25">
      <c r="A12" t="s">
        <v>240</v>
      </c>
      <c r="B12" s="4">
        <v>230</v>
      </c>
      <c r="C12" s="4">
        <v>450</v>
      </c>
      <c r="D12" s="4">
        <f t="shared" si="0"/>
        <v>220</v>
      </c>
      <c r="E12" s="6">
        <v>0.49</v>
      </c>
      <c r="F12" s="1" t="str">
        <f t="shared" si="1"/>
        <v>high</v>
      </c>
      <c r="G12">
        <v>0</v>
      </c>
      <c r="H12" t="s">
        <v>324</v>
      </c>
      <c r="I12" t="str">
        <f t="shared" si="2"/>
        <v>N/A</v>
      </c>
    </row>
    <row r="13" spans="1:9" x14ac:dyDescent="0.25">
      <c r="A13" t="s">
        <v>134</v>
      </c>
      <c r="B13" s="4">
        <v>238</v>
      </c>
      <c r="C13" s="4">
        <v>476</v>
      </c>
      <c r="D13" s="4">
        <f t="shared" si="0"/>
        <v>238</v>
      </c>
      <c r="E13" s="6">
        <v>0.5</v>
      </c>
      <c r="F13" s="1" t="str">
        <f t="shared" si="1"/>
        <v>high</v>
      </c>
      <c r="G13">
        <v>0</v>
      </c>
      <c r="H13" t="s">
        <v>324</v>
      </c>
      <c r="I13" t="str">
        <f t="shared" si="2"/>
        <v>N/A</v>
      </c>
    </row>
    <row r="14" spans="1:9" x14ac:dyDescent="0.25">
      <c r="A14" t="s">
        <v>284</v>
      </c>
      <c r="B14" s="4">
        <v>248</v>
      </c>
      <c r="C14" s="4">
        <v>486</v>
      </c>
      <c r="D14" s="4">
        <f t="shared" si="0"/>
        <v>238</v>
      </c>
      <c r="E14" s="6">
        <v>0.49</v>
      </c>
      <c r="F14" s="1" t="str">
        <f t="shared" si="1"/>
        <v>high</v>
      </c>
      <c r="G14">
        <v>0</v>
      </c>
      <c r="H14" t="s">
        <v>324</v>
      </c>
      <c r="I14" t="str">
        <f t="shared" si="2"/>
        <v>N/A</v>
      </c>
    </row>
    <row r="15" spans="1:9" x14ac:dyDescent="0.25">
      <c r="A15" t="s">
        <v>258</v>
      </c>
      <c r="B15" s="4">
        <v>274</v>
      </c>
      <c r="C15" s="4">
        <v>537</v>
      </c>
      <c r="D15" s="4">
        <f t="shared" si="0"/>
        <v>263</v>
      </c>
      <c r="E15" s="6">
        <v>0.49</v>
      </c>
      <c r="F15" s="1" t="str">
        <f t="shared" si="1"/>
        <v>high</v>
      </c>
      <c r="G15">
        <v>0</v>
      </c>
      <c r="H15" t="s">
        <v>324</v>
      </c>
      <c r="I15" t="str">
        <f t="shared" si="2"/>
        <v>N/A</v>
      </c>
    </row>
    <row r="16" spans="1:9" x14ac:dyDescent="0.25">
      <c r="A16" t="s">
        <v>157</v>
      </c>
      <c r="B16" s="4">
        <v>299</v>
      </c>
      <c r="C16" s="4">
        <v>600</v>
      </c>
      <c r="D16" s="4">
        <f t="shared" si="0"/>
        <v>301</v>
      </c>
      <c r="E16" s="6">
        <v>0.5</v>
      </c>
      <c r="F16" s="1" t="str">
        <f t="shared" si="1"/>
        <v>high</v>
      </c>
      <c r="G16">
        <v>0</v>
      </c>
      <c r="H16" t="s">
        <v>324</v>
      </c>
      <c r="I16" t="str">
        <f t="shared" si="2"/>
        <v>N/A</v>
      </c>
    </row>
    <row r="17" spans="1:9" x14ac:dyDescent="0.25">
      <c r="A17" t="s">
        <v>163</v>
      </c>
      <c r="B17" s="4">
        <v>299</v>
      </c>
      <c r="C17" s="4">
        <v>384</v>
      </c>
      <c r="D17" s="4">
        <f t="shared" si="0"/>
        <v>85</v>
      </c>
      <c r="E17" s="6">
        <v>0.22</v>
      </c>
      <c r="F17" s="1" t="str">
        <f t="shared" si="1"/>
        <v>medium</v>
      </c>
      <c r="G17">
        <v>0</v>
      </c>
      <c r="H17" t="s">
        <v>324</v>
      </c>
      <c r="I17" t="str">
        <f t="shared" si="2"/>
        <v>N/A</v>
      </c>
    </row>
    <row r="18" spans="1:9" x14ac:dyDescent="0.25">
      <c r="A18" t="s">
        <v>198</v>
      </c>
      <c r="B18" s="4">
        <v>325</v>
      </c>
      <c r="C18" s="4">
        <v>680</v>
      </c>
      <c r="D18" s="4">
        <f t="shared" si="0"/>
        <v>355</v>
      </c>
      <c r="E18" s="6">
        <v>0.52</v>
      </c>
      <c r="F18" s="1" t="str">
        <f t="shared" si="1"/>
        <v>high</v>
      </c>
      <c r="G18">
        <v>15</v>
      </c>
      <c r="H18">
        <v>2.7</v>
      </c>
      <c r="I18" t="str">
        <f t="shared" si="2"/>
        <v>poor</v>
      </c>
    </row>
    <row r="19" spans="1:9" x14ac:dyDescent="0.25">
      <c r="A19" t="s">
        <v>253</v>
      </c>
      <c r="B19" s="4">
        <v>330</v>
      </c>
      <c r="C19" s="4">
        <v>647</v>
      </c>
      <c r="D19" s="4">
        <f t="shared" si="0"/>
        <v>317</v>
      </c>
      <c r="E19" s="6">
        <v>0.49</v>
      </c>
      <c r="F19" s="1" t="str">
        <f t="shared" si="1"/>
        <v>high</v>
      </c>
      <c r="G19">
        <v>1</v>
      </c>
      <c r="H19">
        <v>4</v>
      </c>
      <c r="I19" t="str">
        <f t="shared" si="2"/>
        <v>average</v>
      </c>
    </row>
    <row r="20" spans="1:9" x14ac:dyDescent="0.25">
      <c r="A20" t="s">
        <v>56</v>
      </c>
      <c r="B20" s="4">
        <v>332</v>
      </c>
      <c r="C20" s="4">
        <v>684</v>
      </c>
      <c r="D20" s="4">
        <f t="shared" si="0"/>
        <v>352</v>
      </c>
      <c r="E20" s="6">
        <v>0.51</v>
      </c>
      <c r="F20" s="1" t="str">
        <f t="shared" si="1"/>
        <v>high</v>
      </c>
      <c r="G20">
        <v>2</v>
      </c>
      <c r="H20">
        <v>5</v>
      </c>
      <c r="I20" t="str">
        <f t="shared" si="2"/>
        <v>excellent</v>
      </c>
    </row>
    <row r="21" spans="1:9" x14ac:dyDescent="0.25">
      <c r="A21" t="s">
        <v>221</v>
      </c>
      <c r="B21" s="4">
        <v>345</v>
      </c>
      <c r="C21" s="4">
        <v>602</v>
      </c>
      <c r="D21" s="4">
        <f t="shared" si="0"/>
        <v>257</v>
      </c>
      <c r="E21" s="6">
        <v>0.43</v>
      </c>
      <c r="F21" s="1" t="str">
        <f t="shared" si="1"/>
        <v>high</v>
      </c>
      <c r="G21">
        <v>6</v>
      </c>
      <c r="H21">
        <v>2.2999999999999998</v>
      </c>
      <c r="I21" t="str">
        <f t="shared" si="2"/>
        <v>poor</v>
      </c>
    </row>
    <row r="22" spans="1:9" x14ac:dyDescent="0.25">
      <c r="A22" t="s">
        <v>215</v>
      </c>
      <c r="B22" s="4">
        <v>382</v>
      </c>
      <c r="C22" s="4">
        <v>700</v>
      </c>
      <c r="D22" s="4">
        <f t="shared" si="0"/>
        <v>318</v>
      </c>
      <c r="E22" s="6">
        <v>0.45</v>
      </c>
      <c r="F22" s="1" t="str">
        <f t="shared" si="1"/>
        <v>high</v>
      </c>
      <c r="G22">
        <v>17</v>
      </c>
      <c r="H22">
        <v>2.6</v>
      </c>
      <c r="I22" t="str">
        <f t="shared" si="2"/>
        <v>poor</v>
      </c>
    </row>
    <row r="23" spans="1:9" x14ac:dyDescent="0.25">
      <c r="A23" t="s">
        <v>122</v>
      </c>
      <c r="B23" s="4">
        <v>389</v>
      </c>
      <c r="C23" s="4">
        <v>656</v>
      </c>
      <c r="D23" s="4">
        <f t="shared" si="0"/>
        <v>267</v>
      </c>
      <c r="E23" s="6">
        <v>0.41</v>
      </c>
      <c r="F23" s="1" t="str">
        <f t="shared" si="1"/>
        <v>high</v>
      </c>
      <c r="G23">
        <v>36</v>
      </c>
      <c r="H23">
        <v>4.3</v>
      </c>
      <c r="I23" t="str">
        <f t="shared" si="2"/>
        <v>average</v>
      </c>
    </row>
    <row r="24" spans="1:9" x14ac:dyDescent="0.25">
      <c r="A24" t="s">
        <v>170</v>
      </c>
      <c r="B24" s="4">
        <v>399</v>
      </c>
      <c r="C24" s="4">
        <v>896</v>
      </c>
      <c r="D24" s="4">
        <f t="shared" si="0"/>
        <v>497</v>
      </c>
      <c r="E24" s="6">
        <v>0.55000000000000004</v>
      </c>
      <c r="F24" s="1" t="str">
        <f t="shared" si="1"/>
        <v>high</v>
      </c>
      <c r="G24">
        <v>0</v>
      </c>
      <c r="H24" t="s">
        <v>324</v>
      </c>
      <c r="I24" t="str">
        <f t="shared" si="2"/>
        <v>N/A</v>
      </c>
    </row>
    <row r="25" spans="1:9" x14ac:dyDescent="0.25">
      <c r="A25" t="s">
        <v>89</v>
      </c>
      <c r="B25" s="4">
        <v>420</v>
      </c>
      <c r="C25" s="4">
        <v>647</v>
      </c>
      <c r="D25" s="4">
        <f t="shared" si="0"/>
        <v>227</v>
      </c>
      <c r="E25" s="6">
        <v>0.35</v>
      </c>
      <c r="F25" s="1" t="str">
        <f t="shared" si="1"/>
        <v>medium</v>
      </c>
      <c r="G25">
        <v>49</v>
      </c>
      <c r="H25">
        <v>4.5999999999999996</v>
      </c>
      <c r="I25" t="str">
        <f t="shared" si="2"/>
        <v>excellent</v>
      </c>
    </row>
    <row r="26" spans="1:9" x14ac:dyDescent="0.25">
      <c r="A26" t="s">
        <v>194</v>
      </c>
      <c r="B26" s="4">
        <v>445</v>
      </c>
      <c r="C26" s="4">
        <v>873</v>
      </c>
      <c r="D26" s="4">
        <f t="shared" si="0"/>
        <v>428</v>
      </c>
      <c r="E26" s="6">
        <v>0.49</v>
      </c>
      <c r="F26" s="1" t="str">
        <f t="shared" si="1"/>
        <v>high</v>
      </c>
      <c r="G26">
        <v>69</v>
      </c>
      <c r="H26">
        <v>2.8</v>
      </c>
      <c r="I26" t="str">
        <f t="shared" si="2"/>
        <v>poor</v>
      </c>
    </row>
    <row r="27" spans="1:9" x14ac:dyDescent="0.25">
      <c r="A27" t="s">
        <v>318</v>
      </c>
      <c r="B27" s="4">
        <v>450</v>
      </c>
      <c r="C27" s="4">
        <v>900</v>
      </c>
      <c r="D27" s="4">
        <f t="shared" si="0"/>
        <v>450</v>
      </c>
      <c r="E27" s="6">
        <v>0.5</v>
      </c>
      <c r="F27" s="1" t="str">
        <f t="shared" si="1"/>
        <v>high</v>
      </c>
      <c r="G27">
        <v>1</v>
      </c>
      <c r="H27">
        <v>2</v>
      </c>
      <c r="I27" t="str">
        <f t="shared" si="2"/>
        <v>poor</v>
      </c>
    </row>
    <row r="28" spans="1:9" x14ac:dyDescent="0.25">
      <c r="A28" t="s">
        <v>186</v>
      </c>
      <c r="B28" s="4">
        <v>458</v>
      </c>
      <c r="C28" s="4">
        <v>986</v>
      </c>
      <c r="D28" s="4">
        <f t="shared" si="0"/>
        <v>528</v>
      </c>
      <c r="E28" s="6">
        <v>0.54</v>
      </c>
      <c r="F28" s="1" t="str">
        <f t="shared" si="1"/>
        <v>high</v>
      </c>
      <c r="G28">
        <v>10</v>
      </c>
      <c r="H28">
        <v>3</v>
      </c>
      <c r="I28" t="str">
        <f t="shared" si="2"/>
        <v>average</v>
      </c>
    </row>
    <row r="29" spans="1:9" x14ac:dyDescent="0.25">
      <c r="A29" t="s">
        <v>131</v>
      </c>
      <c r="B29" s="4">
        <v>475</v>
      </c>
      <c r="C29" s="4">
        <v>931</v>
      </c>
      <c r="D29" s="4">
        <f t="shared" si="0"/>
        <v>456</v>
      </c>
      <c r="E29" s="6">
        <v>0.49</v>
      </c>
      <c r="F29" s="1" t="str">
        <f t="shared" si="1"/>
        <v>high</v>
      </c>
      <c r="G29">
        <v>0</v>
      </c>
      <c r="H29" t="s">
        <v>324</v>
      </c>
      <c r="I29" t="str">
        <f t="shared" si="2"/>
        <v>N/A</v>
      </c>
    </row>
    <row r="30" spans="1:9" x14ac:dyDescent="0.25">
      <c r="A30" t="s">
        <v>170</v>
      </c>
      <c r="B30" s="4">
        <v>499</v>
      </c>
      <c r="C30" s="4">
        <v>900</v>
      </c>
      <c r="D30" s="4">
        <f t="shared" si="0"/>
        <v>401</v>
      </c>
      <c r="E30" s="6">
        <v>0.45</v>
      </c>
      <c r="F30" s="1" t="str">
        <f t="shared" si="1"/>
        <v>high</v>
      </c>
      <c r="G30">
        <v>0</v>
      </c>
      <c r="H30" t="s">
        <v>324</v>
      </c>
      <c r="I30" t="str">
        <f t="shared" si="2"/>
        <v>N/A</v>
      </c>
    </row>
    <row r="31" spans="1:9" x14ac:dyDescent="0.25">
      <c r="A31" t="s">
        <v>50</v>
      </c>
      <c r="B31" s="4">
        <v>501</v>
      </c>
      <c r="C31" s="4">
        <v>860</v>
      </c>
      <c r="D31" s="4">
        <f t="shared" si="0"/>
        <v>359</v>
      </c>
      <c r="E31" s="6">
        <v>0.42</v>
      </c>
      <c r="F31" s="1" t="str">
        <f t="shared" si="1"/>
        <v>high</v>
      </c>
      <c r="G31">
        <v>6</v>
      </c>
      <c r="H31">
        <v>4.5</v>
      </c>
      <c r="I31" t="str">
        <f t="shared" si="2"/>
        <v>excellent</v>
      </c>
    </row>
    <row r="32" spans="1:9" x14ac:dyDescent="0.25">
      <c r="A32" t="s">
        <v>224</v>
      </c>
      <c r="B32" s="4">
        <v>509</v>
      </c>
      <c r="C32" s="4">
        <v>899</v>
      </c>
      <c r="D32" s="4">
        <f t="shared" si="0"/>
        <v>390</v>
      </c>
      <c r="E32" s="6">
        <v>0.43</v>
      </c>
      <c r="F32" s="1" t="str">
        <f t="shared" si="1"/>
        <v>high</v>
      </c>
      <c r="G32">
        <v>5</v>
      </c>
      <c r="H32">
        <v>3</v>
      </c>
      <c r="I32" t="str">
        <f t="shared" si="2"/>
        <v>average</v>
      </c>
    </row>
    <row r="33" spans="1:9" x14ac:dyDescent="0.25">
      <c r="A33" t="s">
        <v>289</v>
      </c>
      <c r="B33" s="4">
        <v>525</v>
      </c>
      <c r="C33" s="4">
        <v>1029</v>
      </c>
      <c r="D33" s="4">
        <f t="shared" si="0"/>
        <v>504</v>
      </c>
      <c r="E33" s="6">
        <v>0.49</v>
      </c>
      <c r="F33" s="1" t="str">
        <f t="shared" si="1"/>
        <v>high</v>
      </c>
      <c r="G33">
        <v>0</v>
      </c>
      <c r="H33" t="s">
        <v>324</v>
      </c>
      <c r="I33" t="str">
        <f t="shared" si="2"/>
        <v>N/A</v>
      </c>
    </row>
    <row r="34" spans="1:9" x14ac:dyDescent="0.25">
      <c r="A34" t="s">
        <v>10</v>
      </c>
      <c r="B34" s="4">
        <v>527</v>
      </c>
      <c r="C34" s="4">
        <v>999</v>
      </c>
      <c r="D34" s="4">
        <f t="shared" ref="D34:D65" si="3">(C34-B34)</f>
        <v>472</v>
      </c>
      <c r="E34" s="6">
        <v>0.47</v>
      </c>
      <c r="F34" s="1" t="str">
        <f t="shared" ref="F34:F65" si="4">IF(E34&lt;20%,"low",IF(E34&lt;=40%,"medium","high"))</f>
        <v>high</v>
      </c>
      <c r="G34">
        <v>14</v>
      </c>
      <c r="H34">
        <v>4.0999999999999996</v>
      </c>
      <c r="I34" t="str">
        <f t="shared" si="2"/>
        <v>average</v>
      </c>
    </row>
    <row r="35" spans="1:9" x14ac:dyDescent="0.25">
      <c r="A35" t="s">
        <v>47</v>
      </c>
      <c r="B35" s="4">
        <v>552</v>
      </c>
      <c r="C35" s="4">
        <v>1035</v>
      </c>
      <c r="D35" s="4">
        <f t="shared" si="3"/>
        <v>483</v>
      </c>
      <c r="E35" s="6">
        <v>0.47</v>
      </c>
      <c r="F35" s="1" t="str">
        <f t="shared" si="4"/>
        <v>high</v>
      </c>
      <c r="G35">
        <v>12</v>
      </c>
      <c r="H35">
        <v>4.8</v>
      </c>
      <c r="I35" t="str">
        <f t="shared" si="2"/>
        <v>excellent</v>
      </c>
    </row>
    <row r="36" spans="1:9" x14ac:dyDescent="0.25">
      <c r="A36" t="s">
        <v>137</v>
      </c>
      <c r="B36" s="4">
        <v>610</v>
      </c>
      <c r="C36" s="4">
        <v>1060</v>
      </c>
      <c r="D36" s="4">
        <f t="shared" si="3"/>
        <v>450</v>
      </c>
      <c r="E36" s="6">
        <v>0.42</v>
      </c>
      <c r="F36" s="1" t="str">
        <f t="shared" si="4"/>
        <v>high</v>
      </c>
      <c r="G36">
        <v>0</v>
      </c>
      <c r="H36" t="s">
        <v>324</v>
      </c>
      <c r="I36" t="str">
        <f t="shared" si="2"/>
        <v>N/A</v>
      </c>
    </row>
    <row r="37" spans="1:9" x14ac:dyDescent="0.25">
      <c r="A37" t="s">
        <v>266</v>
      </c>
      <c r="B37" s="4">
        <v>630</v>
      </c>
      <c r="C37" s="4">
        <v>1100</v>
      </c>
      <c r="D37" s="4">
        <f t="shared" si="3"/>
        <v>470</v>
      </c>
      <c r="E37" s="6">
        <v>0.43</v>
      </c>
      <c r="F37" s="1" t="str">
        <f t="shared" si="4"/>
        <v>high</v>
      </c>
      <c r="G37">
        <v>0</v>
      </c>
      <c r="H37" t="s">
        <v>324</v>
      </c>
      <c r="I37" t="str">
        <f t="shared" si="2"/>
        <v>N/A</v>
      </c>
    </row>
    <row r="38" spans="1:9" x14ac:dyDescent="0.25">
      <c r="A38" t="s">
        <v>175</v>
      </c>
      <c r="B38" s="4">
        <v>657</v>
      </c>
      <c r="C38" s="4">
        <v>1288</v>
      </c>
      <c r="D38" s="4">
        <f t="shared" si="3"/>
        <v>631</v>
      </c>
      <c r="E38" s="6">
        <v>0.49</v>
      </c>
      <c r="F38" s="1" t="str">
        <f t="shared" si="4"/>
        <v>high</v>
      </c>
      <c r="G38">
        <v>0</v>
      </c>
      <c r="H38" t="s">
        <v>324</v>
      </c>
      <c r="I38" t="str">
        <f t="shared" si="2"/>
        <v>N/A</v>
      </c>
    </row>
    <row r="39" spans="1:9" x14ac:dyDescent="0.25">
      <c r="A39" t="s">
        <v>148</v>
      </c>
      <c r="B39" s="4">
        <v>671</v>
      </c>
      <c r="C39" s="4">
        <v>1316</v>
      </c>
      <c r="D39" s="4">
        <f t="shared" si="3"/>
        <v>645</v>
      </c>
      <c r="E39" s="6">
        <v>0.49</v>
      </c>
      <c r="F39" s="1" t="str">
        <f t="shared" si="4"/>
        <v>high</v>
      </c>
      <c r="G39">
        <v>0</v>
      </c>
      <c r="H39" t="s">
        <v>324</v>
      </c>
      <c r="I39" t="str">
        <f t="shared" si="2"/>
        <v>N/A</v>
      </c>
    </row>
    <row r="40" spans="1:9" x14ac:dyDescent="0.25">
      <c r="A40" t="s">
        <v>235</v>
      </c>
      <c r="B40" s="4">
        <v>690</v>
      </c>
      <c r="C40" s="4">
        <v>1200</v>
      </c>
      <c r="D40" s="4">
        <f t="shared" si="3"/>
        <v>510</v>
      </c>
      <c r="E40" s="6">
        <v>0.43</v>
      </c>
      <c r="F40" s="1" t="str">
        <f t="shared" si="4"/>
        <v>high</v>
      </c>
      <c r="G40">
        <v>0</v>
      </c>
      <c r="H40" t="s">
        <v>324</v>
      </c>
      <c r="I40" t="str">
        <f t="shared" si="2"/>
        <v>N/A</v>
      </c>
    </row>
    <row r="41" spans="1:9" x14ac:dyDescent="0.25">
      <c r="A41" t="s">
        <v>173</v>
      </c>
      <c r="B41" s="4">
        <v>699</v>
      </c>
      <c r="C41" s="4">
        <v>1343</v>
      </c>
      <c r="D41" s="4">
        <f t="shared" si="3"/>
        <v>644</v>
      </c>
      <c r="E41" s="6">
        <v>0.48</v>
      </c>
      <c r="F41" s="1" t="str">
        <f t="shared" si="4"/>
        <v>high</v>
      </c>
      <c r="G41">
        <v>0</v>
      </c>
      <c r="H41" t="s">
        <v>324</v>
      </c>
      <c r="I41" t="str">
        <f t="shared" si="2"/>
        <v>N/A</v>
      </c>
    </row>
    <row r="42" spans="1:9" x14ac:dyDescent="0.25">
      <c r="A42" t="s">
        <v>232</v>
      </c>
      <c r="B42" s="4">
        <v>790</v>
      </c>
      <c r="C42" s="4">
        <v>1485</v>
      </c>
      <c r="D42" s="4">
        <f t="shared" si="3"/>
        <v>695</v>
      </c>
      <c r="E42" s="6">
        <v>0.47</v>
      </c>
      <c r="F42" s="1" t="str">
        <f t="shared" si="4"/>
        <v>high</v>
      </c>
      <c r="G42">
        <v>0</v>
      </c>
      <c r="H42" t="s">
        <v>324</v>
      </c>
      <c r="I42" t="str">
        <f t="shared" si="2"/>
        <v>N/A</v>
      </c>
    </row>
    <row r="43" spans="1:9" x14ac:dyDescent="0.25">
      <c r="A43" t="s">
        <v>42</v>
      </c>
      <c r="B43" s="4">
        <v>799</v>
      </c>
      <c r="C43" s="4">
        <v>999</v>
      </c>
      <c r="D43" s="4">
        <f t="shared" si="3"/>
        <v>200</v>
      </c>
      <c r="E43" s="6">
        <v>0.2</v>
      </c>
      <c r="F43" s="1" t="str">
        <f t="shared" si="4"/>
        <v>medium</v>
      </c>
      <c r="G43">
        <v>12</v>
      </c>
      <c r="H43">
        <v>4.0999999999999996</v>
      </c>
      <c r="I43" t="str">
        <f t="shared" si="2"/>
        <v>average</v>
      </c>
    </row>
    <row r="44" spans="1:9" x14ac:dyDescent="0.25">
      <c r="A44" t="s">
        <v>168</v>
      </c>
      <c r="B44" s="4">
        <v>799</v>
      </c>
      <c r="C44" s="4">
        <v>1343</v>
      </c>
      <c r="D44" s="4">
        <f t="shared" si="3"/>
        <v>544</v>
      </c>
      <c r="E44" s="6">
        <v>0.41</v>
      </c>
      <c r="F44" s="1" t="str">
        <f t="shared" si="4"/>
        <v>high</v>
      </c>
      <c r="G44">
        <v>0</v>
      </c>
      <c r="H44" t="s">
        <v>324</v>
      </c>
      <c r="I44" t="str">
        <f t="shared" si="2"/>
        <v>N/A</v>
      </c>
    </row>
    <row r="45" spans="1:9" x14ac:dyDescent="0.25">
      <c r="A45" t="s">
        <v>175</v>
      </c>
      <c r="B45" s="4">
        <v>799</v>
      </c>
      <c r="C45" s="4">
        <v>1567</v>
      </c>
      <c r="D45" s="4">
        <f t="shared" si="3"/>
        <v>768</v>
      </c>
      <c r="E45" s="6">
        <v>0.49</v>
      </c>
      <c r="F45" s="1" t="str">
        <f t="shared" si="4"/>
        <v>high</v>
      </c>
      <c r="G45">
        <v>0</v>
      </c>
      <c r="H45" t="s">
        <v>324</v>
      </c>
      <c r="I45" t="str">
        <f t="shared" si="2"/>
        <v>N/A</v>
      </c>
    </row>
    <row r="46" spans="1:9" x14ac:dyDescent="0.25">
      <c r="A46" t="s">
        <v>261</v>
      </c>
      <c r="B46" s="4">
        <v>799</v>
      </c>
      <c r="C46" s="4">
        <v>900</v>
      </c>
      <c r="D46" s="4">
        <f t="shared" si="3"/>
        <v>101</v>
      </c>
      <c r="E46" s="6">
        <v>0.11</v>
      </c>
      <c r="F46" s="1" t="str">
        <f t="shared" si="4"/>
        <v>low</v>
      </c>
      <c r="G46">
        <v>0</v>
      </c>
      <c r="H46" t="s">
        <v>324</v>
      </c>
      <c r="I46" t="str">
        <f t="shared" si="2"/>
        <v>N/A</v>
      </c>
    </row>
    <row r="47" spans="1:9" x14ac:dyDescent="0.25">
      <c r="A47" t="s">
        <v>269</v>
      </c>
      <c r="B47" s="4">
        <v>850</v>
      </c>
      <c r="C47" s="4">
        <v>1700</v>
      </c>
      <c r="D47" s="4">
        <f t="shared" si="3"/>
        <v>850</v>
      </c>
      <c r="E47" s="6">
        <v>0.5</v>
      </c>
      <c r="F47" s="1" t="str">
        <f t="shared" si="4"/>
        <v>high</v>
      </c>
      <c r="G47">
        <v>0</v>
      </c>
      <c r="H47" t="s">
        <v>324</v>
      </c>
      <c r="I47" t="str">
        <f t="shared" si="2"/>
        <v>N/A</v>
      </c>
    </row>
    <row r="48" spans="1:9" x14ac:dyDescent="0.25">
      <c r="A48" t="s">
        <v>78</v>
      </c>
      <c r="B48" s="4">
        <v>880</v>
      </c>
      <c r="C48" s="4">
        <v>1350</v>
      </c>
      <c r="D48" s="4">
        <f t="shared" si="3"/>
        <v>470</v>
      </c>
      <c r="E48" s="6">
        <v>0.35</v>
      </c>
      <c r="F48" s="1" t="str">
        <f t="shared" si="4"/>
        <v>medium</v>
      </c>
      <c r="G48">
        <v>6</v>
      </c>
      <c r="H48">
        <v>4</v>
      </c>
      <c r="I48" t="str">
        <f t="shared" si="2"/>
        <v>average</v>
      </c>
    </row>
    <row r="49" spans="1:9" x14ac:dyDescent="0.25">
      <c r="A49" t="s">
        <v>277</v>
      </c>
      <c r="B49" s="4">
        <v>899</v>
      </c>
      <c r="C49" s="4">
        <v>1699</v>
      </c>
      <c r="D49" s="4">
        <f t="shared" si="3"/>
        <v>800</v>
      </c>
      <c r="E49" s="6">
        <v>0.47</v>
      </c>
      <c r="F49" s="1" t="str">
        <f t="shared" si="4"/>
        <v>high</v>
      </c>
      <c r="G49">
        <v>0</v>
      </c>
      <c r="H49" t="s">
        <v>324</v>
      </c>
      <c r="I49" t="str">
        <f t="shared" si="2"/>
        <v>N/A</v>
      </c>
    </row>
    <row r="50" spans="1:9" x14ac:dyDescent="0.25">
      <c r="A50" t="s">
        <v>6</v>
      </c>
      <c r="B50" s="4">
        <v>950</v>
      </c>
      <c r="C50" s="4">
        <v>1525</v>
      </c>
      <c r="D50" s="4">
        <f t="shared" si="3"/>
        <v>575</v>
      </c>
      <c r="E50" s="6">
        <v>0.38</v>
      </c>
      <c r="F50" s="1" t="str">
        <f t="shared" si="4"/>
        <v>medium</v>
      </c>
      <c r="G50">
        <v>2</v>
      </c>
      <c r="H50">
        <v>4.5</v>
      </c>
      <c r="I50" t="str">
        <f t="shared" si="2"/>
        <v>excellent</v>
      </c>
    </row>
    <row r="51" spans="1:9" x14ac:dyDescent="0.25">
      <c r="A51" t="s">
        <v>227</v>
      </c>
      <c r="B51" s="4">
        <v>968</v>
      </c>
      <c r="C51" s="4">
        <v>1814</v>
      </c>
      <c r="D51" s="4">
        <f t="shared" si="3"/>
        <v>846</v>
      </c>
      <c r="E51" s="6">
        <v>0.47</v>
      </c>
      <c r="F51" s="1" t="str">
        <f t="shared" si="4"/>
        <v>high</v>
      </c>
      <c r="G51">
        <v>6</v>
      </c>
      <c r="H51">
        <v>2.2000000000000002</v>
      </c>
      <c r="I51" t="str">
        <f t="shared" si="2"/>
        <v>poor</v>
      </c>
    </row>
    <row r="52" spans="1:9" x14ac:dyDescent="0.25">
      <c r="A52" t="s">
        <v>245</v>
      </c>
      <c r="B52" s="4">
        <v>979</v>
      </c>
      <c r="C52" s="4">
        <v>1920</v>
      </c>
      <c r="D52" s="4">
        <f t="shared" si="3"/>
        <v>941</v>
      </c>
      <c r="E52" s="6">
        <v>0.49</v>
      </c>
      <c r="F52" s="1" t="str">
        <f t="shared" si="4"/>
        <v>high</v>
      </c>
      <c r="G52">
        <v>1</v>
      </c>
      <c r="H52">
        <v>5</v>
      </c>
      <c r="I52" t="str">
        <f t="shared" si="2"/>
        <v>excellent</v>
      </c>
    </row>
    <row r="53" spans="1:9" x14ac:dyDescent="0.25">
      <c r="A53" t="s">
        <v>105</v>
      </c>
      <c r="B53" s="4">
        <v>980</v>
      </c>
      <c r="C53" s="4">
        <v>1490</v>
      </c>
      <c r="D53" s="4">
        <f t="shared" si="3"/>
        <v>510</v>
      </c>
      <c r="E53" s="6">
        <v>0.34</v>
      </c>
      <c r="F53" s="1" t="str">
        <f t="shared" si="4"/>
        <v>medium</v>
      </c>
      <c r="G53">
        <v>12</v>
      </c>
      <c r="H53">
        <v>4.7</v>
      </c>
      <c r="I53" t="str">
        <f t="shared" si="2"/>
        <v>excellent</v>
      </c>
    </row>
    <row r="54" spans="1:9" x14ac:dyDescent="0.25">
      <c r="A54" t="s">
        <v>33</v>
      </c>
      <c r="B54" s="4">
        <v>988</v>
      </c>
      <c r="C54" s="4">
        <v>1580</v>
      </c>
      <c r="D54" s="4">
        <f t="shared" si="3"/>
        <v>592</v>
      </c>
      <c r="E54" s="6">
        <v>0.37</v>
      </c>
      <c r="F54" s="1" t="str">
        <f t="shared" si="4"/>
        <v>medium</v>
      </c>
      <c r="G54">
        <v>2</v>
      </c>
      <c r="H54">
        <v>4</v>
      </c>
      <c r="I54" t="str">
        <f t="shared" si="2"/>
        <v>average</v>
      </c>
    </row>
    <row r="55" spans="1:9" x14ac:dyDescent="0.25">
      <c r="A55" t="s">
        <v>44</v>
      </c>
      <c r="B55" s="4">
        <v>990</v>
      </c>
      <c r="C55" s="4">
        <v>1500</v>
      </c>
      <c r="D55" s="4">
        <f t="shared" si="3"/>
        <v>510</v>
      </c>
      <c r="E55" s="6">
        <v>0.34</v>
      </c>
      <c r="F55" s="1" t="str">
        <f t="shared" si="4"/>
        <v>medium</v>
      </c>
      <c r="G55">
        <v>39</v>
      </c>
      <c r="H55">
        <v>4.7</v>
      </c>
      <c r="I55" t="str">
        <f t="shared" si="2"/>
        <v>excellent</v>
      </c>
    </row>
    <row r="56" spans="1:9" x14ac:dyDescent="0.25">
      <c r="A56" t="s">
        <v>206</v>
      </c>
      <c r="B56" s="4">
        <v>990</v>
      </c>
      <c r="C56" s="4">
        <v>1814</v>
      </c>
      <c r="D56" s="4">
        <f t="shared" si="3"/>
        <v>824</v>
      </c>
      <c r="E56" s="6">
        <v>0.45</v>
      </c>
      <c r="F56" s="1" t="str">
        <f t="shared" si="4"/>
        <v>high</v>
      </c>
      <c r="G56">
        <v>6</v>
      </c>
      <c r="H56">
        <v>2.2000000000000002</v>
      </c>
      <c r="I56" t="str">
        <f t="shared" si="2"/>
        <v>poor</v>
      </c>
    </row>
    <row r="57" spans="1:9" x14ac:dyDescent="0.25">
      <c r="A57" t="s">
        <v>68</v>
      </c>
      <c r="B57" s="4">
        <v>998</v>
      </c>
      <c r="C57" s="4">
        <v>1966</v>
      </c>
      <c r="D57" s="4">
        <f t="shared" si="3"/>
        <v>968</v>
      </c>
      <c r="E57" s="6">
        <v>0.49</v>
      </c>
      <c r="F57" s="1" t="str">
        <f t="shared" si="4"/>
        <v>high</v>
      </c>
      <c r="G57">
        <v>44</v>
      </c>
      <c r="H57">
        <v>4.5999999999999996</v>
      </c>
      <c r="I57" t="str">
        <f t="shared" si="2"/>
        <v>excellent</v>
      </c>
    </row>
    <row r="58" spans="1:9" x14ac:dyDescent="0.25">
      <c r="A58" t="s">
        <v>143</v>
      </c>
      <c r="B58" s="4">
        <v>999</v>
      </c>
      <c r="C58" s="4">
        <v>2000</v>
      </c>
      <c r="D58" s="4">
        <f t="shared" si="3"/>
        <v>1001</v>
      </c>
      <c r="E58" s="6">
        <v>0.5</v>
      </c>
      <c r="F58" s="1" t="str">
        <f t="shared" si="4"/>
        <v>high</v>
      </c>
      <c r="G58">
        <v>0</v>
      </c>
      <c r="H58" t="s">
        <v>324</v>
      </c>
      <c r="I58" t="str">
        <f t="shared" si="2"/>
        <v>N/A</v>
      </c>
    </row>
    <row r="59" spans="1:9" x14ac:dyDescent="0.25">
      <c r="A59" t="s">
        <v>209</v>
      </c>
      <c r="B59" s="4">
        <v>1000</v>
      </c>
      <c r="C59" s="4">
        <v>2000</v>
      </c>
      <c r="D59" s="4">
        <f t="shared" si="3"/>
        <v>1000</v>
      </c>
      <c r="E59" s="6">
        <v>0.5</v>
      </c>
      <c r="F59" s="1" t="str">
        <f t="shared" si="4"/>
        <v>high</v>
      </c>
      <c r="G59">
        <v>7</v>
      </c>
      <c r="H59">
        <v>2.2999999999999998</v>
      </c>
      <c r="I59" t="str">
        <f t="shared" si="2"/>
        <v>poor</v>
      </c>
    </row>
    <row r="60" spans="1:9" x14ac:dyDescent="0.25">
      <c r="A60" t="s">
        <v>292</v>
      </c>
      <c r="B60" s="4">
        <v>1080</v>
      </c>
      <c r="C60" s="4">
        <v>1874</v>
      </c>
      <c r="D60" s="4">
        <f t="shared" si="3"/>
        <v>794</v>
      </c>
      <c r="E60" s="6">
        <v>0.42</v>
      </c>
      <c r="F60" s="1" t="str">
        <f t="shared" si="4"/>
        <v>high</v>
      </c>
      <c r="G60">
        <v>0</v>
      </c>
      <c r="H60" t="s">
        <v>324</v>
      </c>
      <c r="I60" t="str">
        <f t="shared" si="2"/>
        <v>N/A</v>
      </c>
    </row>
    <row r="61" spans="1:9" x14ac:dyDescent="0.25">
      <c r="A61" t="s">
        <v>307</v>
      </c>
      <c r="B61" s="4">
        <v>1150</v>
      </c>
      <c r="C61" s="4">
        <v>1737</v>
      </c>
      <c r="D61" s="4">
        <f t="shared" si="3"/>
        <v>587</v>
      </c>
      <c r="E61" s="6">
        <v>0.34</v>
      </c>
      <c r="F61" s="1" t="str">
        <f t="shared" si="4"/>
        <v>medium</v>
      </c>
      <c r="G61">
        <v>0</v>
      </c>
      <c r="H61" t="s">
        <v>324</v>
      </c>
      <c r="I61" t="str">
        <f t="shared" si="2"/>
        <v>N/A</v>
      </c>
    </row>
    <row r="62" spans="1:9" x14ac:dyDescent="0.25">
      <c r="A62" t="s">
        <v>243</v>
      </c>
      <c r="B62" s="4">
        <v>1189</v>
      </c>
      <c r="C62" s="4">
        <v>2199</v>
      </c>
      <c r="D62" s="4">
        <f t="shared" si="3"/>
        <v>1010</v>
      </c>
      <c r="E62" s="6">
        <v>0.46</v>
      </c>
      <c r="F62" s="1" t="str">
        <f t="shared" si="4"/>
        <v>high</v>
      </c>
      <c r="G62">
        <v>1</v>
      </c>
      <c r="H62">
        <v>3</v>
      </c>
      <c r="I62" t="str">
        <f t="shared" si="2"/>
        <v>average</v>
      </c>
    </row>
    <row r="63" spans="1:9" x14ac:dyDescent="0.25">
      <c r="A63" t="s">
        <v>145</v>
      </c>
      <c r="B63" s="4">
        <v>1190</v>
      </c>
      <c r="C63" s="4">
        <v>1785</v>
      </c>
      <c r="D63" s="4">
        <f t="shared" si="3"/>
        <v>595</v>
      </c>
      <c r="E63" s="6">
        <v>0.33</v>
      </c>
      <c r="F63" s="1" t="str">
        <f t="shared" si="4"/>
        <v>medium</v>
      </c>
      <c r="G63">
        <v>0</v>
      </c>
      <c r="H63" t="s">
        <v>324</v>
      </c>
      <c r="I63" t="str">
        <f t="shared" si="2"/>
        <v>N/A</v>
      </c>
    </row>
    <row r="64" spans="1:9" x14ac:dyDescent="0.25">
      <c r="A64" t="s">
        <v>310</v>
      </c>
      <c r="B64" s="4">
        <v>1190</v>
      </c>
      <c r="C64" s="4">
        <v>1810</v>
      </c>
      <c r="D64" s="4">
        <f t="shared" si="3"/>
        <v>620</v>
      </c>
      <c r="E64" s="6">
        <v>0.34</v>
      </c>
      <c r="F64" s="1" t="str">
        <f t="shared" si="4"/>
        <v>medium</v>
      </c>
      <c r="G64">
        <v>0</v>
      </c>
      <c r="H64" t="s">
        <v>324</v>
      </c>
      <c r="I64" t="str">
        <f t="shared" si="2"/>
        <v>N/A</v>
      </c>
    </row>
    <row r="65" spans="1:9" x14ac:dyDescent="0.25">
      <c r="A65" t="s">
        <v>151</v>
      </c>
      <c r="B65" s="4">
        <v>1200</v>
      </c>
      <c r="C65" s="4">
        <v>1950</v>
      </c>
      <c r="D65" s="4">
        <f t="shared" si="3"/>
        <v>750</v>
      </c>
      <c r="E65" s="6">
        <v>0.38</v>
      </c>
      <c r="F65" s="1" t="str">
        <f t="shared" si="4"/>
        <v>medium</v>
      </c>
      <c r="G65">
        <v>0</v>
      </c>
      <c r="H65" t="s">
        <v>324</v>
      </c>
      <c r="I65" t="str">
        <f t="shared" si="2"/>
        <v>N/A</v>
      </c>
    </row>
    <row r="66" spans="1:9" x14ac:dyDescent="0.25">
      <c r="A66" t="s">
        <v>278</v>
      </c>
      <c r="B66" s="4">
        <v>1200</v>
      </c>
      <c r="C66" s="4">
        <v>2400</v>
      </c>
      <c r="D66" s="4">
        <f t="shared" ref="D66:D97" si="5">(C66-B66)</f>
        <v>1200</v>
      </c>
      <c r="E66" s="6">
        <v>0.5</v>
      </c>
      <c r="F66" s="1" t="str">
        <f t="shared" ref="F66:F97" si="6">IF(E66&lt;20%,"low",IF(E66&lt;=40%,"medium","high"))</f>
        <v>high</v>
      </c>
      <c r="G66">
        <v>0</v>
      </c>
      <c r="H66" t="s">
        <v>324</v>
      </c>
      <c r="I66" t="str">
        <f t="shared" si="2"/>
        <v>N/A</v>
      </c>
    </row>
    <row r="67" spans="1:9" x14ac:dyDescent="0.25">
      <c r="A67" t="s">
        <v>202</v>
      </c>
      <c r="B67" s="4">
        <v>1220</v>
      </c>
      <c r="C67" s="4">
        <v>1555</v>
      </c>
      <c r="D67" s="4">
        <f t="shared" si="5"/>
        <v>335</v>
      </c>
      <c r="E67" s="6">
        <v>0.22</v>
      </c>
      <c r="F67" s="1" t="str">
        <f t="shared" si="6"/>
        <v>medium</v>
      </c>
      <c r="G67">
        <v>16</v>
      </c>
      <c r="H67">
        <v>2.9</v>
      </c>
      <c r="I67" t="str">
        <f t="shared" ref="I67:I113" si="7">IF(H67="not provided", "N/A", IF(H67&lt;3, "poor", IF(H67&lt;=4.4, "average", "excellent")))</f>
        <v>poor</v>
      </c>
    </row>
    <row r="68" spans="1:9" x14ac:dyDescent="0.25">
      <c r="A68" t="s">
        <v>35</v>
      </c>
      <c r="B68" s="4">
        <v>1274</v>
      </c>
      <c r="C68" s="4">
        <v>2800</v>
      </c>
      <c r="D68" s="4">
        <f t="shared" si="5"/>
        <v>1526</v>
      </c>
      <c r="E68" s="6">
        <v>0.55000000000000004</v>
      </c>
      <c r="F68" s="1" t="str">
        <f t="shared" si="6"/>
        <v>high</v>
      </c>
      <c r="G68">
        <v>5</v>
      </c>
      <c r="H68">
        <v>4.8</v>
      </c>
      <c r="I68" t="str">
        <f t="shared" si="7"/>
        <v>excellent</v>
      </c>
    </row>
    <row r="69" spans="1:9" x14ac:dyDescent="0.25">
      <c r="A69" t="s">
        <v>272</v>
      </c>
      <c r="B69" s="4">
        <v>1300</v>
      </c>
      <c r="C69" s="4">
        <v>2500</v>
      </c>
      <c r="D69" s="4">
        <f t="shared" si="5"/>
        <v>1200</v>
      </c>
      <c r="E69" s="6">
        <v>0.48</v>
      </c>
      <c r="F69" s="1" t="str">
        <f t="shared" si="6"/>
        <v>high</v>
      </c>
      <c r="G69">
        <v>0</v>
      </c>
      <c r="H69" t="s">
        <v>324</v>
      </c>
      <c r="I69" t="str">
        <f t="shared" si="7"/>
        <v>N/A</v>
      </c>
    </row>
    <row r="70" spans="1:9" x14ac:dyDescent="0.25">
      <c r="A70" t="s">
        <v>95</v>
      </c>
      <c r="B70" s="4">
        <v>1350</v>
      </c>
      <c r="C70" s="4">
        <v>1990</v>
      </c>
      <c r="D70" s="4">
        <f t="shared" si="5"/>
        <v>640</v>
      </c>
      <c r="E70" s="6">
        <v>0.32</v>
      </c>
      <c r="F70" s="1" t="str">
        <f t="shared" si="6"/>
        <v>medium</v>
      </c>
      <c r="G70">
        <v>13</v>
      </c>
      <c r="H70">
        <v>3.8</v>
      </c>
      <c r="I70" t="str">
        <f t="shared" si="7"/>
        <v>average</v>
      </c>
    </row>
    <row r="71" spans="1:9" x14ac:dyDescent="0.25">
      <c r="A71" t="s">
        <v>298</v>
      </c>
      <c r="B71" s="4">
        <v>1420</v>
      </c>
      <c r="C71" s="4">
        <v>2420</v>
      </c>
      <c r="D71" s="4">
        <f t="shared" si="5"/>
        <v>1000</v>
      </c>
      <c r="E71" s="6">
        <v>0.41</v>
      </c>
      <c r="F71" s="1" t="str">
        <f t="shared" si="6"/>
        <v>high</v>
      </c>
      <c r="G71">
        <v>0</v>
      </c>
      <c r="H71" t="s">
        <v>324</v>
      </c>
      <c r="I71" t="str">
        <f t="shared" si="7"/>
        <v>N/A</v>
      </c>
    </row>
    <row r="72" spans="1:9" x14ac:dyDescent="0.25">
      <c r="A72" t="s">
        <v>165</v>
      </c>
      <c r="B72" s="4">
        <v>1459</v>
      </c>
      <c r="C72" s="4">
        <v>1499</v>
      </c>
      <c r="D72" s="4">
        <f t="shared" si="5"/>
        <v>40</v>
      </c>
      <c r="E72" s="6">
        <v>0.03</v>
      </c>
      <c r="F72" s="1" t="str">
        <f t="shared" si="6"/>
        <v>low</v>
      </c>
      <c r="G72">
        <v>0</v>
      </c>
      <c r="H72" t="s">
        <v>324</v>
      </c>
      <c r="I72" t="str">
        <f t="shared" si="7"/>
        <v>N/A</v>
      </c>
    </row>
    <row r="73" spans="1:9" x14ac:dyDescent="0.25">
      <c r="A73" t="s">
        <v>248</v>
      </c>
      <c r="B73" s="4">
        <v>1460</v>
      </c>
      <c r="C73" s="4">
        <v>2290</v>
      </c>
      <c r="D73" s="4">
        <f t="shared" si="5"/>
        <v>830</v>
      </c>
      <c r="E73" s="6">
        <v>0.36</v>
      </c>
      <c r="F73" s="1" t="str">
        <f t="shared" si="6"/>
        <v>medium</v>
      </c>
      <c r="G73">
        <v>0</v>
      </c>
      <c r="H73" t="s">
        <v>324</v>
      </c>
      <c r="I73" t="str">
        <f t="shared" si="7"/>
        <v>N/A</v>
      </c>
    </row>
    <row r="74" spans="1:9" x14ac:dyDescent="0.25">
      <c r="A74" t="s">
        <v>282</v>
      </c>
      <c r="B74" s="4">
        <v>1462</v>
      </c>
      <c r="C74" s="4">
        <v>1499</v>
      </c>
      <c r="D74" s="4">
        <f t="shared" si="5"/>
        <v>37</v>
      </c>
      <c r="E74" s="6">
        <v>0.02</v>
      </c>
      <c r="F74" s="1" t="str">
        <f t="shared" si="6"/>
        <v>low</v>
      </c>
      <c r="G74">
        <v>0</v>
      </c>
      <c r="H74" t="s">
        <v>324</v>
      </c>
      <c r="I74" t="str">
        <f t="shared" si="7"/>
        <v>N/A</v>
      </c>
    </row>
    <row r="75" spans="1:9" x14ac:dyDescent="0.25">
      <c r="A75" t="s">
        <v>256</v>
      </c>
      <c r="B75" s="4">
        <v>1466</v>
      </c>
      <c r="C75" s="4">
        <v>1699</v>
      </c>
      <c r="D75" s="4">
        <f t="shared" si="5"/>
        <v>233</v>
      </c>
      <c r="E75" s="6">
        <v>0.14000000000000001</v>
      </c>
      <c r="F75" s="1" t="str">
        <f t="shared" si="6"/>
        <v>low</v>
      </c>
      <c r="G75">
        <v>0</v>
      </c>
      <c r="H75" t="s">
        <v>324</v>
      </c>
      <c r="I75" t="str">
        <f t="shared" si="7"/>
        <v>N/A</v>
      </c>
    </row>
    <row r="76" spans="1:9" x14ac:dyDescent="0.25">
      <c r="A76" t="s">
        <v>264</v>
      </c>
      <c r="B76" s="4">
        <v>1468</v>
      </c>
      <c r="C76" s="4">
        <v>1699</v>
      </c>
      <c r="D76" s="4">
        <f t="shared" si="5"/>
        <v>231</v>
      </c>
      <c r="E76" s="6">
        <v>0.14000000000000001</v>
      </c>
      <c r="F76" s="1" t="str">
        <f t="shared" si="6"/>
        <v>low</v>
      </c>
      <c r="G76">
        <v>0</v>
      </c>
      <c r="H76" t="s">
        <v>324</v>
      </c>
      <c r="I76" t="str">
        <f t="shared" si="7"/>
        <v>N/A</v>
      </c>
    </row>
    <row r="77" spans="1:9" x14ac:dyDescent="0.25">
      <c r="A77" t="s">
        <v>280</v>
      </c>
      <c r="B77" s="4">
        <v>1526</v>
      </c>
      <c r="C77" s="4">
        <v>1660</v>
      </c>
      <c r="D77" s="4">
        <f t="shared" si="5"/>
        <v>134</v>
      </c>
      <c r="E77" s="6">
        <v>0.08</v>
      </c>
      <c r="F77" s="1" t="str">
        <f t="shared" si="6"/>
        <v>low</v>
      </c>
      <c r="G77">
        <v>0</v>
      </c>
      <c r="H77" t="s">
        <v>324</v>
      </c>
      <c r="I77" t="str">
        <f t="shared" si="7"/>
        <v>N/A</v>
      </c>
    </row>
    <row r="78" spans="1:9" x14ac:dyDescent="0.25">
      <c r="A78" t="s">
        <v>229</v>
      </c>
      <c r="B78" s="4">
        <v>1570</v>
      </c>
      <c r="C78" s="4">
        <v>2988</v>
      </c>
      <c r="D78" s="4">
        <f t="shared" si="5"/>
        <v>1418</v>
      </c>
      <c r="E78" s="6">
        <v>0.47</v>
      </c>
      <c r="F78" s="1" t="str">
        <f t="shared" si="6"/>
        <v>high</v>
      </c>
      <c r="G78">
        <v>7</v>
      </c>
      <c r="H78">
        <v>2.1</v>
      </c>
      <c r="I78" t="str">
        <f t="shared" si="7"/>
        <v>poor</v>
      </c>
    </row>
    <row r="79" spans="1:9" x14ac:dyDescent="0.25">
      <c r="A79" t="s">
        <v>18</v>
      </c>
      <c r="B79" s="4">
        <v>1580</v>
      </c>
      <c r="C79" s="4">
        <v>2499</v>
      </c>
      <c r="D79" s="4">
        <f t="shared" si="5"/>
        <v>919</v>
      </c>
      <c r="E79" s="6">
        <v>0.37</v>
      </c>
      <c r="F79" s="1" t="str">
        <f t="shared" si="6"/>
        <v>medium</v>
      </c>
      <c r="G79">
        <v>7</v>
      </c>
      <c r="H79">
        <v>4.7</v>
      </c>
      <c r="I79" t="str">
        <f t="shared" si="7"/>
        <v>excellent</v>
      </c>
    </row>
    <row r="80" spans="1:9" x14ac:dyDescent="0.25">
      <c r="A80" t="s">
        <v>38</v>
      </c>
      <c r="B80" s="4">
        <v>1600</v>
      </c>
      <c r="C80" s="4">
        <v>2929</v>
      </c>
      <c r="D80" s="4">
        <f t="shared" si="5"/>
        <v>1329</v>
      </c>
      <c r="E80" s="6">
        <v>0.45</v>
      </c>
      <c r="F80" s="1" t="str">
        <f t="shared" si="6"/>
        <v>high</v>
      </c>
      <c r="G80">
        <v>5</v>
      </c>
      <c r="H80">
        <v>3.8</v>
      </c>
      <c r="I80" t="str">
        <f t="shared" si="7"/>
        <v>average</v>
      </c>
    </row>
    <row r="81" spans="1:9" x14ac:dyDescent="0.25">
      <c r="A81" t="s">
        <v>117</v>
      </c>
      <c r="B81" s="4">
        <v>1620</v>
      </c>
      <c r="C81" s="4">
        <v>2690</v>
      </c>
      <c r="D81" s="4">
        <f t="shared" si="5"/>
        <v>1070</v>
      </c>
      <c r="E81" s="6">
        <v>0.4</v>
      </c>
      <c r="F81" s="1" t="str">
        <f t="shared" si="6"/>
        <v>medium</v>
      </c>
      <c r="G81">
        <v>1</v>
      </c>
      <c r="H81">
        <v>5</v>
      </c>
      <c r="I81" t="str">
        <f t="shared" si="7"/>
        <v>excellent</v>
      </c>
    </row>
    <row r="82" spans="1:9" x14ac:dyDescent="0.25">
      <c r="A82" t="s">
        <v>81</v>
      </c>
      <c r="B82" s="4">
        <v>1650</v>
      </c>
      <c r="C82" s="4">
        <v>2150</v>
      </c>
      <c r="D82" s="4">
        <f t="shared" si="5"/>
        <v>500</v>
      </c>
      <c r="E82" s="6">
        <v>0.23</v>
      </c>
      <c r="F82" s="1" t="str">
        <f t="shared" si="6"/>
        <v>medium</v>
      </c>
      <c r="G82">
        <v>14</v>
      </c>
      <c r="H82">
        <v>4.4000000000000004</v>
      </c>
      <c r="I82" t="str">
        <f t="shared" si="7"/>
        <v>average</v>
      </c>
    </row>
    <row r="83" spans="1:9" x14ac:dyDescent="0.25">
      <c r="A83" t="s">
        <v>312</v>
      </c>
      <c r="B83" s="4">
        <v>1658</v>
      </c>
      <c r="C83" s="4">
        <v>1699</v>
      </c>
      <c r="D83" s="4">
        <f t="shared" si="5"/>
        <v>41</v>
      </c>
      <c r="E83" s="6">
        <v>0.02</v>
      </c>
      <c r="F83" s="1" t="str">
        <f t="shared" si="6"/>
        <v>low</v>
      </c>
      <c r="G83">
        <v>0</v>
      </c>
      <c r="H83" t="s">
        <v>324</v>
      </c>
      <c r="I83" t="str">
        <f t="shared" si="7"/>
        <v>N/A</v>
      </c>
    </row>
    <row r="84" spans="1:9" x14ac:dyDescent="0.25">
      <c r="A84" t="s">
        <v>160</v>
      </c>
      <c r="B84" s="4">
        <v>1660</v>
      </c>
      <c r="C84" s="4">
        <v>1699</v>
      </c>
      <c r="D84" s="4">
        <f t="shared" si="5"/>
        <v>39</v>
      </c>
      <c r="E84" s="6">
        <v>0.02</v>
      </c>
      <c r="F84" s="1" t="str">
        <f t="shared" si="6"/>
        <v>low</v>
      </c>
      <c r="G84">
        <v>0</v>
      </c>
      <c r="H84" t="s">
        <v>324</v>
      </c>
      <c r="I84" t="str">
        <f t="shared" si="7"/>
        <v>N/A</v>
      </c>
    </row>
    <row r="85" spans="1:9" x14ac:dyDescent="0.25">
      <c r="A85" t="s">
        <v>251</v>
      </c>
      <c r="B85" s="4">
        <v>1666</v>
      </c>
      <c r="C85" s="4">
        <v>1699</v>
      </c>
      <c r="D85" s="4">
        <f t="shared" si="5"/>
        <v>33</v>
      </c>
      <c r="E85" s="6">
        <v>0.02</v>
      </c>
      <c r="F85" s="1" t="str">
        <f t="shared" si="6"/>
        <v>low</v>
      </c>
      <c r="G85">
        <v>0</v>
      </c>
      <c r="H85" t="s">
        <v>324</v>
      </c>
      <c r="I85" t="str">
        <f t="shared" si="7"/>
        <v>N/A</v>
      </c>
    </row>
    <row r="86" spans="1:9" x14ac:dyDescent="0.25">
      <c r="A86" t="s">
        <v>53</v>
      </c>
      <c r="B86" s="4">
        <v>1680</v>
      </c>
      <c r="C86" s="4">
        <v>2499</v>
      </c>
      <c r="D86" s="4">
        <f t="shared" si="5"/>
        <v>819</v>
      </c>
      <c r="E86" s="6">
        <v>0.33</v>
      </c>
      <c r="F86" s="1" t="str">
        <f t="shared" si="6"/>
        <v>medium</v>
      </c>
      <c r="G86">
        <v>9</v>
      </c>
      <c r="H86">
        <v>4.2</v>
      </c>
      <c r="I86" t="str">
        <f t="shared" si="7"/>
        <v>average</v>
      </c>
    </row>
    <row r="87" spans="1:9" x14ac:dyDescent="0.25">
      <c r="A87" t="s">
        <v>237</v>
      </c>
      <c r="B87" s="4">
        <v>1732</v>
      </c>
      <c r="C87" s="4">
        <v>1799</v>
      </c>
      <c r="D87" s="4">
        <f t="shared" si="5"/>
        <v>67</v>
      </c>
      <c r="E87" s="6">
        <v>0.04</v>
      </c>
      <c r="F87" s="1" t="str">
        <f t="shared" si="6"/>
        <v>low</v>
      </c>
      <c r="G87">
        <v>0</v>
      </c>
      <c r="H87" t="s">
        <v>324</v>
      </c>
      <c r="I87" t="str">
        <f t="shared" si="7"/>
        <v>N/A</v>
      </c>
    </row>
    <row r="88" spans="1:9" x14ac:dyDescent="0.25">
      <c r="A88" t="s">
        <v>22</v>
      </c>
      <c r="B88" s="4">
        <v>1740</v>
      </c>
      <c r="C88" s="4">
        <v>2356</v>
      </c>
      <c r="D88" s="4">
        <f t="shared" si="5"/>
        <v>616</v>
      </c>
      <c r="E88" s="6">
        <v>0.26</v>
      </c>
      <c r="F88" s="1" t="str">
        <f t="shared" si="6"/>
        <v>medium</v>
      </c>
      <c r="G88">
        <v>5</v>
      </c>
      <c r="H88">
        <v>4.8</v>
      </c>
      <c r="I88" t="str">
        <f t="shared" si="7"/>
        <v>excellent</v>
      </c>
    </row>
    <row r="89" spans="1:9" x14ac:dyDescent="0.25">
      <c r="A89" t="s">
        <v>97</v>
      </c>
      <c r="B89" s="4">
        <v>1758</v>
      </c>
      <c r="C89" s="4">
        <v>2499</v>
      </c>
      <c r="D89" s="4">
        <f t="shared" si="5"/>
        <v>741</v>
      </c>
      <c r="E89" s="6">
        <v>0.3</v>
      </c>
      <c r="F89" s="1" t="str">
        <f t="shared" si="6"/>
        <v>medium</v>
      </c>
      <c r="G89">
        <v>20</v>
      </c>
      <c r="H89">
        <v>4.0999999999999996</v>
      </c>
      <c r="I89" t="str">
        <f t="shared" si="7"/>
        <v>average</v>
      </c>
    </row>
    <row r="90" spans="1:9" x14ac:dyDescent="0.25">
      <c r="A90" t="s">
        <v>314</v>
      </c>
      <c r="B90" s="4">
        <v>1768</v>
      </c>
      <c r="C90" s="4">
        <v>1799</v>
      </c>
      <c r="D90" s="4">
        <f t="shared" si="5"/>
        <v>31</v>
      </c>
      <c r="E90" s="6">
        <v>0.02</v>
      </c>
      <c r="F90" s="1" t="str">
        <f t="shared" si="6"/>
        <v>low</v>
      </c>
      <c r="G90">
        <v>0</v>
      </c>
      <c r="H90" t="s">
        <v>324</v>
      </c>
      <c r="I90" t="str">
        <f t="shared" si="7"/>
        <v>N/A</v>
      </c>
    </row>
    <row r="91" spans="1:9" x14ac:dyDescent="0.25">
      <c r="A91" t="s">
        <v>125</v>
      </c>
      <c r="B91" s="4">
        <v>1800</v>
      </c>
      <c r="C91" s="4">
        <v>2700</v>
      </c>
      <c r="D91" s="4">
        <f t="shared" si="5"/>
        <v>900</v>
      </c>
      <c r="E91" s="6">
        <v>0.38</v>
      </c>
      <c r="F91" s="1" t="str">
        <f t="shared" si="6"/>
        <v>medium</v>
      </c>
      <c r="G91">
        <v>2</v>
      </c>
      <c r="H91">
        <v>4.5</v>
      </c>
      <c r="I91" t="str">
        <f t="shared" si="7"/>
        <v>excellent</v>
      </c>
    </row>
    <row r="92" spans="1:9" x14ac:dyDescent="0.25">
      <c r="A92" t="s">
        <v>108</v>
      </c>
      <c r="B92" s="4">
        <v>1820</v>
      </c>
      <c r="C92" s="4">
        <v>3490</v>
      </c>
      <c r="D92" s="4">
        <f t="shared" si="5"/>
        <v>1670</v>
      </c>
      <c r="E92" s="6">
        <v>0.48</v>
      </c>
      <c r="F92" s="1" t="str">
        <f t="shared" si="6"/>
        <v>high</v>
      </c>
      <c r="G92">
        <v>9</v>
      </c>
      <c r="H92">
        <v>4.3</v>
      </c>
      <c r="I92" t="str">
        <f t="shared" si="7"/>
        <v>average</v>
      </c>
    </row>
    <row r="93" spans="1:9" x14ac:dyDescent="0.25">
      <c r="A93" t="s">
        <v>75</v>
      </c>
      <c r="B93" s="4">
        <v>1860</v>
      </c>
      <c r="C93" s="4">
        <v>3220</v>
      </c>
      <c r="D93" s="4">
        <f t="shared" si="5"/>
        <v>1360</v>
      </c>
      <c r="E93" s="6">
        <v>0.42</v>
      </c>
      <c r="F93" s="1" t="str">
        <f t="shared" si="6"/>
        <v>high</v>
      </c>
      <c r="G93">
        <v>0</v>
      </c>
      <c r="H93" t="s">
        <v>324</v>
      </c>
      <c r="I93" t="str">
        <f t="shared" si="7"/>
        <v>N/A</v>
      </c>
    </row>
    <row r="94" spans="1:9" x14ac:dyDescent="0.25">
      <c r="A94" t="s">
        <v>301</v>
      </c>
      <c r="B94" s="4">
        <v>1875</v>
      </c>
      <c r="C94" s="4">
        <v>1899</v>
      </c>
      <c r="D94" s="4">
        <f t="shared" si="5"/>
        <v>24</v>
      </c>
      <c r="E94" s="6">
        <v>0.01</v>
      </c>
      <c r="F94" s="1" t="str">
        <f t="shared" si="6"/>
        <v>low</v>
      </c>
      <c r="G94">
        <v>0</v>
      </c>
      <c r="H94" t="s">
        <v>324</v>
      </c>
      <c r="I94" t="str">
        <f t="shared" si="7"/>
        <v>N/A</v>
      </c>
    </row>
    <row r="95" spans="1:9" x14ac:dyDescent="0.25">
      <c r="A95" t="s">
        <v>111</v>
      </c>
      <c r="B95" s="4">
        <v>1940</v>
      </c>
      <c r="C95" s="4">
        <v>2650</v>
      </c>
      <c r="D95" s="4">
        <f t="shared" si="5"/>
        <v>710</v>
      </c>
      <c r="E95" s="6">
        <v>0.27</v>
      </c>
      <c r="F95" s="1" t="str">
        <f t="shared" si="6"/>
        <v>medium</v>
      </c>
      <c r="G95">
        <v>20</v>
      </c>
      <c r="H95">
        <v>4.7</v>
      </c>
      <c r="I95" t="str">
        <f t="shared" si="7"/>
        <v>excellent</v>
      </c>
    </row>
    <row r="96" spans="1:9" x14ac:dyDescent="0.25">
      <c r="A96" t="s">
        <v>114</v>
      </c>
      <c r="B96" s="4">
        <v>1980</v>
      </c>
      <c r="C96" s="4">
        <v>2699</v>
      </c>
      <c r="D96" s="4">
        <f t="shared" si="5"/>
        <v>719</v>
      </c>
      <c r="E96" s="6">
        <v>0.27</v>
      </c>
      <c r="F96" s="1" t="str">
        <f t="shared" si="6"/>
        <v>medium</v>
      </c>
      <c r="G96">
        <v>32</v>
      </c>
      <c r="H96">
        <v>4.5</v>
      </c>
      <c r="I96" t="str">
        <f t="shared" si="7"/>
        <v>excellent</v>
      </c>
    </row>
    <row r="97" spans="1:9" x14ac:dyDescent="0.25">
      <c r="A97" t="s">
        <v>63</v>
      </c>
      <c r="B97" s="4">
        <v>2025</v>
      </c>
      <c r="C97" s="4">
        <v>3971</v>
      </c>
      <c r="D97" s="4">
        <f t="shared" si="5"/>
        <v>1946</v>
      </c>
      <c r="E97" s="6">
        <v>0.49</v>
      </c>
      <c r="F97" s="1" t="str">
        <f t="shared" si="6"/>
        <v>high</v>
      </c>
      <c r="G97">
        <v>3</v>
      </c>
      <c r="H97">
        <v>5</v>
      </c>
      <c r="I97" t="str">
        <f t="shared" si="7"/>
        <v>excellent</v>
      </c>
    </row>
    <row r="98" spans="1:9" x14ac:dyDescent="0.25">
      <c r="A98" t="s">
        <v>85</v>
      </c>
      <c r="B98" s="4">
        <v>2048</v>
      </c>
      <c r="C98" s="4">
        <v>4500</v>
      </c>
      <c r="D98" s="4">
        <f t="shared" ref="D98:D129" si="8">(C98-B98)</f>
        <v>2452</v>
      </c>
      <c r="E98" s="6">
        <v>0.54</v>
      </c>
      <c r="F98" s="1" t="str">
        <f t="shared" ref="F98:F129" si="9">IF(E98&lt;20%,"low",IF(E98&lt;=40%,"medium","high"))</f>
        <v>high</v>
      </c>
      <c r="G98">
        <v>7</v>
      </c>
      <c r="H98">
        <v>4.3</v>
      </c>
      <c r="I98" t="str">
        <f t="shared" si="7"/>
        <v>average</v>
      </c>
    </row>
    <row r="99" spans="1:9" x14ac:dyDescent="0.25">
      <c r="A99" t="s">
        <v>190</v>
      </c>
      <c r="B99" s="4">
        <v>2115</v>
      </c>
      <c r="C99" s="4">
        <v>4700</v>
      </c>
      <c r="D99" s="4">
        <f t="shared" si="8"/>
        <v>2585</v>
      </c>
      <c r="E99" s="6">
        <v>0.55000000000000004</v>
      </c>
      <c r="F99" s="1" t="str">
        <f t="shared" si="9"/>
        <v>high</v>
      </c>
      <c r="G99">
        <v>13</v>
      </c>
      <c r="H99">
        <v>2.1</v>
      </c>
      <c r="I99" t="str">
        <f t="shared" si="7"/>
        <v>poor</v>
      </c>
    </row>
    <row r="100" spans="1:9" x14ac:dyDescent="0.25">
      <c r="A100" t="s">
        <v>140</v>
      </c>
      <c r="B100" s="4">
        <v>2132</v>
      </c>
      <c r="C100" s="4">
        <v>2169</v>
      </c>
      <c r="D100" s="4">
        <f t="shared" si="8"/>
        <v>37</v>
      </c>
      <c r="E100" s="6">
        <v>0.02</v>
      </c>
      <c r="F100" s="1" t="str">
        <f t="shared" si="9"/>
        <v>low</v>
      </c>
      <c r="G100">
        <v>0</v>
      </c>
      <c r="H100" t="s">
        <v>324</v>
      </c>
      <c r="I100" t="str">
        <f t="shared" si="7"/>
        <v>N/A</v>
      </c>
    </row>
    <row r="101" spans="1:9" x14ac:dyDescent="0.25">
      <c r="A101" t="s">
        <v>182</v>
      </c>
      <c r="B101" s="4">
        <v>2170</v>
      </c>
      <c r="C101" s="4">
        <v>2500</v>
      </c>
      <c r="D101" s="4">
        <f t="shared" si="8"/>
        <v>330</v>
      </c>
      <c r="E101" s="6">
        <v>0.13</v>
      </c>
      <c r="F101" s="1" t="str">
        <f t="shared" si="9"/>
        <v>low</v>
      </c>
      <c r="G101">
        <v>6</v>
      </c>
      <c r="H101">
        <v>2.5</v>
      </c>
      <c r="I101" t="str">
        <f t="shared" si="7"/>
        <v>poor</v>
      </c>
    </row>
    <row r="102" spans="1:9" x14ac:dyDescent="0.25">
      <c r="A102" t="s">
        <v>14</v>
      </c>
      <c r="B102" s="4">
        <v>2199</v>
      </c>
      <c r="C102" s="4">
        <v>2923</v>
      </c>
      <c r="D102" s="4">
        <f t="shared" si="8"/>
        <v>724</v>
      </c>
      <c r="E102" s="6">
        <v>0.25</v>
      </c>
      <c r="F102" s="1" t="str">
        <f t="shared" si="9"/>
        <v>medium</v>
      </c>
      <c r="G102">
        <v>24</v>
      </c>
      <c r="H102">
        <v>4.5999999999999996</v>
      </c>
      <c r="I102" t="str">
        <f t="shared" si="7"/>
        <v>excellent</v>
      </c>
    </row>
    <row r="103" spans="1:9" x14ac:dyDescent="0.25">
      <c r="A103" t="s">
        <v>99</v>
      </c>
      <c r="B103" s="4">
        <v>2200</v>
      </c>
      <c r="C103" s="4">
        <v>4080</v>
      </c>
      <c r="D103" s="4">
        <f t="shared" si="8"/>
        <v>1880</v>
      </c>
      <c r="E103" s="6">
        <v>0.46</v>
      </c>
      <c r="F103" s="1" t="str">
        <f t="shared" si="9"/>
        <v>high</v>
      </c>
      <c r="G103">
        <v>0</v>
      </c>
      <c r="H103" t="s">
        <v>324</v>
      </c>
      <c r="I103" t="str">
        <f t="shared" si="7"/>
        <v>N/A</v>
      </c>
    </row>
    <row r="104" spans="1:9" x14ac:dyDescent="0.25">
      <c r="A104" t="s">
        <v>218</v>
      </c>
      <c r="B104" s="4">
        <v>2300</v>
      </c>
      <c r="C104" s="4">
        <v>3240</v>
      </c>
      <c r="D104" s="4">
        <f t="shared" si="8"/>
        <v>940</v>
      </c>
      <c r="E104" s="6">
        <v>0.28999999999999998</v>
      </c>
      <c r="F104" s="1" t="str">
        <f t="shared" si="9"/>
        <v>medium</v>
      </c>
      <c r="G104">
        <v>5</v>
      </c>
      <c r="H104">
        <v>3</v>
      </c>
      <c r="I104" t="str">
        <f t="shared" si="7"/>
        <v>average</v>
      </c>
    </row>
    <row r="105" spans="1:9" x14ac:dyDescent="0.25">
      <c r="A105" t="s">
        <v>30</v>
      </c>
      <c r="B105" s="4">
        <v>2319</v>
      </c>
      <c r="C105" s="4">
        <v>3032</v>
      </c>
      <c r="D105" s="4">
        <f t="shared" si="8"/>
        <v>713</v>
      </c>
      <c r="E105" s="6">
        <v>0.24</v>
      </c>
      <c r="F105" s="1" t="str">
        <f t="shared" si="9"/>
        <v>medium</v>
      </c>
      <c r="G105">
        <v>55</v>
      </c>
      <c r="H105">
        <v>4.5999999999999996</v>
      </c>
      <c r="I105" t="str">
        <f t="shared" si="7"/>
        <v>excellent</v>
      </c>
    </row>
    <row r="106" spans="1:9" x14ac:dyDescent="0.25">
      <c r="A106" t="s">
        <v>128</v>
      </c>
      <c r="B106" s="4">
        <v>2750</v>
      </c>
      <c r="C106" s="4">
        <v>4471</v>
      </c>
      <c r="D106" s="4">
        <f t="shared" si="8"/>
        <v>1721</v>
      </c>
      <c r="E106" s="6">
        <v>0.38</v>
      </c>
      <c r="F106" s="1" t="str">
        <f t="shared" si="9"/>
        <v>medium</v>
      </c>
      <c r="G106">
        <v>0</v>
      </c>
      <c r="H106" t="s">
        <v>324</v>
      </c>
      <c r="I106" t="str">
        <f t="shared" si="7"/>
        <v>N/A</v>
      </c>
    </row>
    <row r="107" spans="1:9" x14ac:dyDescent="0.25">
      <c r="A107" t="s">
        <v>177</v>
      </c>
      <c r="B107" s="4">
        <v>2799</v>
      </c>
      <c r="C107" s="4">
        <v>3810</v>
      </c>
      <c r="D107" s="4">
        <f t="shared" si="8"/>
        <v>1011</v>
      </c>
      <c r="E107" s="6">
        <v>0.27</v>
      </c>
      <c r="F107" s="1" t="str">
        <f t="shared" si="9"/>
        <v>medium</v>
      </c>
      <c r="G107">
        <v>0</v>
      </c>
      <c r="H107" t="s">
        <v>324</v>
      </c>
      <c r="I107" t="str">
        <f t="shared" si="7"/>
        <v>N/A</v>
      </c>
    </row>
    <row r="108" spans="1:9" x14ac:dyDescent="0.25">
      <c r="A108" t="s">
        <v>92</v>
      </c>
      <c r="B108" s="4">
        <v>2880</v>
      </c>
      <c r="C108" s="4">
        <v>3520</v>
      </c>
      <c r="D108" s="4">
        <f t="shared" si="8"/>
        <v>640</v>
      </c>
      <c r="E108" s="6">
        <v>0.18</v>
      </c>
      <c r="F108" s="1" t="str">
        <f t="shared" si="9"/>
        <v>low</v>
      </c>
      <c r="G108">
        <v>12</v>
      </c>
      <c r="H108">
        <v>3.8</v>
      </c>
      <c r="I108" t="str">
        <f t="shared" si="7"/>
        <v>average</v>
      </c>
    </row>
    <row r="109" spans="1:9" x14ac:dyDescent="0.25">
      <c r="A109" t="s">
        <v>26</v>
      </c>
      <c r="B109" s="4">
        <v>2999</v>
      </c>
      <c r="C109" s="4">
        <v>3290</v>
      </c>
      <c r="D109" s="4">
        <f t="shared" si="8"/>
        <v>291</v>
      </c>
      <c r="E109" s="6">
        <v>0.09</v>
      </c>
      <c r="F109" s="1" t="str">
        <f t="shared" si="9"/>
        <v>low</v>
      </c>
      <c r="G109">
        <v>15</v>
      </c>
      <c r="H109">
        <v>4</v>
      </c>
      <c r="I109" t="str">
        <f t="shared" si="7"/>
        <v>average</v>
      </c>
    </row>
    <row r="110" spans="1:9" x14ac:dyDescent="0.25">
      <c r="A110" t="s">
        <v>66</v>
      </c>
      <c r="B110" s="4">
        <v>2999</v>
      </c>
      <c r="C110" s="4">
        <v>3699</v>
      </c>
      <c r="D110" s="4">
        <f t="shared" si="8"/>
        <v>700</v>
      </c>
      <c r="E110" s="6">
        <v>0.19</v>
      </c>
      <c r="F110" s="1" t="str">
        <f t="shared" si="9"/>
        <v>low</v>
      </c>
      <c r="G110">
        <v>5</v>
      </c>
      <c r="H110">
        <v>4.5999999999999996</v>
      </c>
      <c r="I110" t="str">
        <f t="shared" si="7"/>
        <v>excellent</v>
      </c>
    </row>
    <row r="111" spans="1:9" x14ac:dyDescent="0.25">
      <c r="A111" t="s">
        <v>287</v>
      </c>
      <c r="B111" s="4">
        <v>3546</v>
      </c>
      <c r="C111" s="4">
        <v>3699</v>
      </c>
      <c r="D111" s="4">
        <f t="shared" si="8"/>
        <v>153</v>
      </c>
      <c r="E111" s="6">
        <v>0.04</v>
      </c>
      <c r="F111" s="1" t="str">
        <f t="shared" si="9"/>
        <v>low</v>
      </c>
      <c r="G111">
        <v>0</v>
      </c>
      <c r="H111" t="s">
        <v>324</v>
      </c>
      <c r="I111" t="str">
        <f t="shared" si="7"/>
        <v>N/A</v>
      </c>
    </row>
    <row r="112" spans="1:9" x14ac:dyDescent="0.25">
      <c r="A112" t="s">
        <v>295</v>
      </c>
      <c r="B112" s="4">
        <v>3640</v>
      </c>
      <c r="C112" s="4">
        <v>4588</v>
      </c>
      <c r="D112" s="4">
        <f t="shared" si="8"/>
        <v>948</v>
      </c>
      <c r="E112" s="6">
        <v>0.21</v>
      </c>
      <c r="F112" s="1" t="str">
        <f t="shared" si="9"/>
        <v>medium</v>
      </c>
      <c r="G112">
        <v>1</v>
      </c>
      <c r="H112">
        <v>5</v>
      </c>
      <c r="I112" t="str">
        <f t="shared" si="7"/>
        <v>excellent</v>
      </c>
    </row>
    <row r="113" spans="1:9" x14ac:dyDescent="0.25">
      <c r="A113" t="s">
        <v>212</v>
      </c>
      <c r="B113" s="4">
        <v>3750</v>
      </c>
      <c r="C113" s="4">
        <v>6143</v>
      </c>
      <c r="D113" s="4">
        <f t="shared" si="8"/>
        <v>2393</v>
      </c>
      <c r="E113" s="6">
        <v>0.39</v>
      </c>
      <c r="F113" s="1" t="str">
        <f t="shared" si="9"/>
        <v>medium</v>
      </c>
      <c r="G113">
        <v>5</v>
      </c>
      <c r="H113">
        <v>3</v>
      </c>
      <c r="I113" t="str">
        <f t="shared" si="7"/>
        <v>average</v>
      </c>
    </row>
    <row r="114" spans="1:9" x14ac:dyDescent="0.25">
      <c r="B114"/>
      <c r="C114"/>
      <c r="D114"/>
      <c r="E114"/>
    </row>
    <row r="115" spans="1:9" x14ac:dyDescent="0.25">
      <c r="B115"/>
      <c r="C115"/>
      <c r="D115"/>
      <c r="E115"/>
    </row>
    <row r="116" spans="1:9" x14ac:dyDescent="0.25">
      <c r="B116"/>
      <c r="C116"/>
      <c r="D116"/>
      <c r="E116"/>
    </row>
  </sheetData>
  <autoFilter ref="B1:B116">
    <sortState ref="A2:I116">
      <sortCondition ref="B1:B11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
  <sheetViews>
    <sheetView topLeftCell="B1" workbookViewId="0">
      <selection activeCell="B3" sqref="B3"/>
    </sheetView>
  </sheetViews>
  <sheetFormatPr defaultRowHeight="15.75" x14ac:dyDescent="0.25"/>
  <cols>
    <col min="1" max="1" width="22.25" customWidth="1"/>
    <col min="2" max="2" width="18.375" customWidth="1"/>
    <col min="3" max="3" width="26.125" customWidth="1"/>
    <col min="4" max="4" width="18.375" style="6" customWidth="1"/>
    <col min="5" max="5" width="17.125" customWidth="1"/>
    <col min="6" max="6" width="17.125" bestFit="1" customWidth="1"/>
  </cols>
  <sheetData>
    <row r="3" spans="1:5" x14ac:dyDescent="0.25">
      <c r="A3" t="s">
        <v>328</v>
      </c>
      <c r="B3" t="s">
        <v>329</v>
      </c>
      <c r="C3" t="s">
        <v>330</v>
      </c>
      <c r="D3" s="6" t="s">
        <v>332</v>
      </c>
      <c r="E3" t="s">
        <v>331</v>
      </c>
    </row>
    <row r="4" spans="1:5" x14ac:dyDescent="0.25">
      <c r="A4" s="4">
        <v>1186.8928571428571</v>
      </c>
      <c r="B4" s="4">
        <v>1811.1071428571429</v>
      </c>
      <c r="C4" s="4">
        <v>624.21428571428567</v>
      </c>
      <c r="D4" s="6">
        <v>0.36776785714285715</v>
      </c>
      <c r="E4" s="4">
        <v>3.8894736842105258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 sqref="B3"/>
    </sheetView>
  </sheetViews>
  <sheetFormatPr defaultRowHeight="15.75" x14ac:dyDescent="0.25"/>
  <cols>
    <col min="1" max="1" width="11" bestFit="1" customWidth="1"/>
    <col min="2" max="2" width="16.25" bestFit="1" customWidth="1"/>
  </cols>
  <sheetData>
    <row r="3" spans="1:2" x14ac:dyDescent="0.25">
      <c r="A3" s="8" t="s">
        <v>333</v>
      </c>
      <c r="B3" t="s">
        <v>334</v>
      </c>
    </row>
    <row r="4" spans="1:2" x14ac:dyDescent="0.25">
      <c r="A4" s="7" t="s">
        <v>335</v>
      </c>
      <c r="B4" s="4">
        <v>3.6133333333333324</v>
      </c>
    </row>
    <row r="5" spans="1:2" x14ac:dyDescent="0.25">
      <c r="A5" s="7" t="s">
        <v>336</v>
      </c>
      <c r="B5" s="4">
        <v>3.8</v>
      </c>
    </row>
    <row r="6" spans="1:2" x14ac:dyDescent="0.25">
      <c r="A6" s="7" t="s">
        <v>337</v>
      </c>
      <c r="B6" s="4">
        <v>4.286363636363637</v>
      </c>
    </row>
    <row r="7" spans="1:2" x14ac:dyDescent="0.25">
      <c r="A7" s="7" t="s">
        <v>338</v>
      </c>
      <c r="B7" s="4">
        <v>3.8894736842105253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 sqref="B3"/>
    </sheetView>
  </sheetViews>
  <sheetFormatPr defaultRowHeight="15.75" x14ac:dyDescent="0.25"/>
  <cols>
    <col min="1" max="1" width="11" bestFit="1" customWidth="1"/>
    <col min="2" max="2" width="15.75" bestFit="1" customWidth="1"/>
  </cols>
  <sheetData>
    <row r="3" spans="1:2" x14ac:dyDescent="0.25">
      <c r="A3" s="8" t="s">
        <v>333</v>
      </c>
      <c r="B3" t="s">
        <v>339</v>
      </c>
    </row>
    <row r="4" spans="1:2" x14ac:dyDescent="0.25">
      <c r="A4" s="7" t="s">
        <v>340</v>
      </c>
      <c r="B4" s="4">
        <v>22</v>
      </c>
    </row>
    <row r="5" spans="1:2" x14ac:dyDescent="0.25">
      <c r="A5" s="7" t="s">
        <v>341</v>
      </c>
      <c r="B5" s="4">
        <v>23</v>
      </c>
    </row>
    <row r="6" spans="1:2" x14ac:dyDescent="0.25">
      <c r="A6" s="7" t="s">
        <v>342</v>
      </c>
      <c r="B6" s="4">
        <v>52</v>
      </c>
    </row>
    <row r="7" spans="1:2" x14ac:dyDescent="0.25">
      <c r="A7" s="7" t="s">
        <v>343</v>
      </c>
      <c r="B7" s="4">
        <v>12</v>
      </c>
    </row>
    <row r="8" spans="1:2" x14ac:dyDescent="0.25">
      <c r="A8" s="7" t="s">
        <v>338</v>
      </c>
      <c r="B8" s="4">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B3" sqref="B3"/>
    </sheetView>
  </sheetViews>
  <sheetFormatPr defaultRowHeight="15.75" x14ac:dyDescent="0.25"/>
  <cols>
    <col min="1" max="1" width="11" bestFit="1" customWidth="1"/>
    <col min="2" max="2" width="15" bestFit="1" customWidth="1"/>
  </cols>
  <sheetData>
    <row r="3" spans="1:2" x14ac:dyDescent="0.25">
      <c r="A3" s="8" t="s">
        <v>333</v>
      </c>
      <c r="B3" t="s">
        <v>344</v>
      </c>
    </row>
    <row r="4" spans="1:2" x14ac:dyDescent="0.25">
      <c r="A4" s="7">
        <v>2</v>
      </c>
      <c r="B4" s="4">
        <v>1</v>
      </c>
    </row>
    <row r="5" spans="1:2" x14ac:dyDescent="0.25">
      <c r="A5" s="7">
        <v>2.1</v>
      </c>
      <c r="B5" s="4">
        <v>2</v>
      </c>
    </row>
    <row r="6" spans="1:2" x14ac:dyDescent="0.25">
      <c r="A6" s="7">
        <v>2.2000000000000002</v>
      </c>
      <c r="B6" s="4">
        <v>2</v>
      </c>
    </row>
    <row r="7" spans="1:2" x14ac:dyDescent="0.25">
      <c r="A7" s="7">
        <v>2.2999999999999998</v>
      </c>
      <c r="B7" s="4">
        <v>2</v>
      </c>
    </row>
    <row r="8" spans="1:2" x14ac:dyDescent="0.25">
      <c r="A8" s="7">
        <v>2.5</v>
      </c>
      <c r="B8" s="4">
        <v>1</v>
      </c>
    </row>
    <row r="9" spans="1:2" x14ac:dyDescent="0.25">
      <c r="A9" s="7">
        <v>2.6</v>
      </c>
      <c r="B9" s="4">
        <v>1</v>
      </c>
    </row>
    <row r="10" spans="1:2" x14ac:dyDescent="0.25">
      <c r="A10" s="7">
        <v>2.7</v>
      </c>
      <c r="B10" s="4">
        <v>1</v>
      </c>
    </row>
    <row r="11" spans="1:2" x14ac:dyDescent="0.25">
      <c r="A11" s="7">
        <v>2.8</v>
      </c>
      <c r="B11" s="4">
        <v>1</v>
      </c>
    </row>
    <row r="12" spans="1:2" x14ac:dyDescent="0.25">
      <c r="A12" s="7">
        <v>2.9</v>
      </c>
      <c r="B12" s="4">
        <v>1</v>
      </c>
    </row>
    <row r="13" spans="1:2" x14ac:dyDescent="0.25">
      <c r="A13" s="7">
        <v>3</v>
      </c>
      <c r="B13" s="4">
        <v>5</v>
      </c>
    </row>
    <row r="14" spans="1:2" x14ac:dyDescent="0.25">
      <c r="A14" s="7">
        <v>3.3</v>
      </c>
      <c r="B14" s="4">
        <v>1</v>
      </c>
    </row>
    <row r="15" spans="1:2" x14ac:dyDescent="0.25">
      <c r="A15" s="7">
        <v>3.8</v>
      </c>
      <c r="B15" s="4">
        <v>3</v>
      </c>
    </row>
    <row r="16" spans="1:2" x14ac:dyDescent="0.25">
      <c r="A16" s="7">
        <v>4</v>
      </c>
      <c r="B16" s="4">
        <v>4</v>
      </c>
    </row>
    <row r="17" spans="1:2" x14ac:dyDescent="0.25">
      <c r="A17" s="7">
        <v>4.0999999999999996</v>
      </c>
      <c r="B17" s="4">
        <v>3</v>
      </c>
    </row>
    <row r="18" spans="1:2" x14ac:dyDescent="0.25">
      <c r="A18" s="7">
        <v>4.2</v>
      </c>
      <c r="B18" s="4">
        <v>1</v>
      </c>
    </row>
    <row r="19" spans="1:2" x14ac:dyDescent="0.25">
      <c r="A19" s="7">
        <v>4.3</v>
      </c>
      <c r="B19" s="4">
        <v>4</v>
      </c>
    </row>
    <row r="20" spans="1:2" x14ac:dyDescent="0.25">
      <c r="A20" s="7">
        <v>4.4000000000000004</v>
      </c>
      <c r="B20" s="4">
        <v>1</v>
      </c>
    </row>
    <row r="21" spans="1:2" x14ac:dyDescent="0.25">
      <c r="A21" s="7">
        <v>4.5</v>
      </c>
      <c r="B21" s="4">
        <v>4</v>
      </c>
    </row>
    <row r="22" spans="1:2" x14ac:dyDescent="0.25">
      <c r="A22" s="7">
        <v>4.5999999999999996</v>
      </c>
      <c r="B22" s="4">
        <v>5</v>
      </c>
    </row>
    <row r="23" spans="1:2" x14ac:dyDescent="0.25">
      <c r="A23" s="7">
        <v>4.7</v>
      </c>
      <c r="B23" s="4">
        <v>4</v>
      </c>
    </row>
    <row r="24" spans="1:2" x14ac:dyDescent="0.25">
      <c r="A24" s="7">
        <v>4.8</v>
      </c>
      <c r="B24" s="4">
        <v>3</v>
      </c>
    </row>
    <row r="25" spans="1:2" x14ac:dyDescent="0.25">
      <c r="A25" s="7">
        <v>5</v>
      </c>
      <c r="B25" s="4">
        <v>7</v>
      </c>
    </row>
    <row r="26" spans="1:2" x14ac:dyDescent="0.25">
      <c r="A26" s="7" t="s">
        <v>342</v>
      </c>
      <c r="B26" s="4">
        <v>52</v>
      </c>
    </row>
    <row r="27" spans="1:2" x14ac:dyDescent="0.25">
      <c r="A27" s="7" t="s">
        <v>338</v>
      </c>
      <c r="B27" s="4">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abSelected="1" workbookViewId="0">
      <selection activeCell="L16" sqref="L16"/>
    </sheetView>
  </sheetViews>
  <sheetFormatPr defaultRowHeight="15.75" x14ac:dyDescent="0.25"/>
  <cols>
    <col min="1" max="1" width="12.375" customWidth="1"/>
    <col min="2" max="2" width="17.125" customWidth="1"/>
  </cols>
  <sheetData>
    <row r="3" spans="1:2" x14ac:dyDescent="0.25">
      <c r="A3" s="8" t="s">
        <v>333</v>
      </c>
      <c r="B3" t="s">
        <v>331</v>
      </c>
    </row>
    <row r="4" spans="1:2" x14ac:dyDescent="0.25">
      <c r="A4" s="7" t="s">
        <v>345</v>
      </c>
      <c r="B4" s="4">
        <v>3.8090909090909091</v>
      </c>
    </row>
    <row r="5" spans="1:2" x14ac:dyDescent="0.25">
      <c r="A5" s="7" t="s">
        <v>346</v>
      </c>
      <c r="B5" s="4">
        <v>4.7478260869565219</v>
      </c>
    </row>
    <row r="6" spans="1:2" x14ac:dyDescent="0.25">
      <c r="A6" s="7" t="s">
        <v>347</v>
      </c>
      <c r="B6" s="4">
        <v>2.3916666666666666</v>
      </c>
    </row>
    <row r="7" spans="1:2" x14ac:dyDescent="0.25">
      <c r="A7" s="7" t="s">
        <v>338</v>
      </c>
      <c r="B7" s="4">
        <v>3.8894736842105258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Excel_jumia (3)</vt:lpstr>
      <vt:lpstr>Transformed</vt:lpstr>
      <vt:lpstr>Average Table</vt:lpstr>
      <vt:lpstr>Average Rating</vt:lpstr>
      <vt:lpstr>Product Distribution</vt:lpstr>
      <vt:lpstr>No of Reviews</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WillyMyles</dc:creator>
  <cp:lastModifiedBy>USER</cp:lastModifiedBy>
  <dcterms:created xsi:type="dcterms:W3CDTF">2026-01-29T08:42:03Z</dcterms:created>
  <dcterms:modified xsi:type="dcterms:W3CDTF">2026-02-01T21:43:50Z</dcterms:modified>
</cp:coreProperties>
</file>