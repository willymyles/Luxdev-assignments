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20325" windowHeight="9495" firstSheet="10" activeTab="13"/>
  </bookViews>
  <sheets>
    <sheet name="Data" sheetId="1" r:id="rId1"/>
    <sheet name="Brief" sheetId="2" r:id="rId2"/>
    <sheet name="Working data" sheetId="3" r:id="rId3"/>
    <sheet name="Standardized Dimensions" sheetId="18" r:id="rId4"/>
    <sheet name="pivot 1" sheetId="5" r:id="rId5"/>
    <sheet name="Classified SKU" sheetId="6" r:id="rId6"/>
    <sheet name="pivot chart" sheetId="12" r:id="rId7"/>
    <sheet name="Sales per Region" sheetId="14" r:id="rId8"/>
    <sheet name="Sales Person Productivity" sheetId="16" r:id="rId9"/>
    <sheet name="Channel Mix &amp; Cannibalization" sheetId="17" r:id="rId10"/>
    <sheet name="PriceCompliance" sheetId="20" r:id="rId11"/>
    <sheet name="Service Proxy" sheetId="21" r:id="rId12"/>
    <sheet name="Staging Charts" sheetId="22" r:id="rId13"/>
    <sheet name="Dashboard Visualization" sheetId="4" r:id="rId14"/>
    <sheet name="Read ME" sheetId="19" r:id="rId15"/>
  </sheets>
  <externalReferences>
    <externalReference r:id="rId16"/>
  </externalReferences>
  <definedNames>
    <definedName name="_xlnm._FilterDatabase" localSheetId="2" hidden="1">'Working data'!$A$1:$X$1</definedName>
    <definedName name="_xlchart.0" hidden="1">[1]StagingTable!$P$1</definedName>
    <definedName name="_xlchart.1" hidden="1">[1]StagingTable!$P$2:$P$637</definedName>
    <definedName name="Slicer_Country">#N/A</definedName>
  </definedNames>
  <calcPr calcId="162913"/>
  <pivotCaches>
    <pivotCache cacheId="4" r:id="rId17"/>
    <pivotCache cacheId="6" r:id="rId18"/>
    <pivotCache cacheId="0"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D633" i="18" l="1"/>
  <c r="C633" i="18"/>
  <c r="B633" i="18"/>
  <c r="A633" i="18"/>
  <c r="D632" i="18"/>
  <c r="C632" i="18"/>
  <c r="B632" i="18"/>
  <c r="A632" i="18"/>
  <c r="D631" i="18"/>
  <c r="C631" i="18"/>
  <c r="B631" i="18"/>
  <c r="A631" i="18"/>
  <c r="D630" i="18"/>
  <c r="C630" i="18"/>
  <c r="B630" i="18"/>
  <c r="A630" i="18"/>
  <c r="D629" i="18"/>
  <c r="C629" i="18"/>
  <c r="B629" i="18"/>
  <c r="A629" i="18"/>
  <c r="D628" i="18"/>
  <c r="C628" i="18"/>
  <c r="B628" i="18"/>
  <c r="A628" i="18"/>
  <c r="D627" i="18"/>
  <c r="C627" i="18"/>
  <c r="B627" i="18"/>
  <c r="A627" i="18"/>
  <c r="D626" i="18"/>
  <c r="C626" i="18"/>
  <c r="B626" i="18"/>
  <c r="A626" i="18"/>
  <c r="D625" i="18"/>
  <c r="C625" i="18"/>
  <c r="B625" i="18"/>
  <c r="A625" i="18"/>
  <c r="D624" i="18"/>
  <c r="C624" i="18"/>
  <c r="B624" i="18"/>
  <c r="A624" i="18"/>
  <c r="D623" i="18"/>
  <c r="C623" i="18"/>
  <c r="B623" i="18"/>
  <c r="A623" i="18"/>
  <c r="D622" i="18"/>
  <c r="C622" i="18"/>
  <c r="B622" i="18"/>
  <c r="A622" i="18"/>
  <c r="D621" i="18"/>
  <c r="C621" i="18"/>
  <c r="B621" i="18"/>
  <c r="A621" i="18"/>
  <c r="D620" i="18"/>
  <c r="C620" i="18"/>
  <c r="B620" i="18"/>
  <c r="A620" i="18"/>
  <c r="D619" i="18"/>
  <c r="C619" i="18"/>
  <c r="B619" i="18"/>
  <c r="A619" i="18"/>
  <c r="D618" i="18"/>
  <c r="C618" i="18"/>
  <c r="B618" i="18"/>
  <c r="A618" i="18"/>
  <c r="D617" i="18"/>
  <c r="C617" i="18"/>
  <c r="B617" i="18"/>
  <c r="A617" i="18"/>
  <c r="D616" i="18"/>
  <c r="C616" i="18"/>
  <c r="B616" i="18"/>
  <c r="A616" i="18"/>
  <c r="D615" i="18"/>
  <c r="C615" i="18"/>
  <c r="B615" i="18"/>
  <c r="A615" i="18"/>
  <c r="D614" i="18"/>
  <c r="C614" i="18"/>
  <c r="B614" i="18"/>
  <c r="A614" i="18"/>
  <c r="D613" i="18"/>
  <c r="C613" i="18"/>
  <c r="B613" i="18"/>
  <c r="A613" i="18"/>
  <c r="D612" i="18"/>
  <c r="C612" i="18"/>
  <c r="B612" i="18"/>
  <c r="A612" i="18"/>
  <c r="D611" i="18"/>
  <c r="C611" i="18"/>
  <c r="B611" i="18"/>
  <c r="A611" i="18"/>
  <c r="D610" i="18"/>
  <c r="C610" i="18"/>
  <c r="B610" i="18"/>
  <c r="A610" i="18"/>
  <c r="D609" i="18"/>
  <c r="C609" i="18"/>
  <c r="B609" i="18"/>
  <c r="A609" i="18"/>
  <c r="D608" i="18"/>
  <c r="C608" i="18"/>
  <c r="B608" i="18"/>
  <c r="A608" i="18"/>
  <c r="D607" i="18"/>
  <c r="C607" i="18"/>
  <c r="B607" i="18"/>
  <c r="A607" i="18"/>
  <c r="D606" i="18"/>
  <c r="C606" i="18"/>
  <c r="B606" i="18"/>
  <c r="A606" i="18"/>
  <c r="D605" i="18"/>
  <c r="C605" i="18"/>
  <c r="B605" i="18"/>
  <c r="A605" i="18"/>
  <c r="D604" i="18"/>
  <c r="C604" i="18"/>
  <c r="B604" i="18"/>
  <c r="A604" i="18"/>
  <c r="D603" i="18"/>
  <c r="C603" i="18"/>
  <c r="B603" i="18"/>
  <c r="A603" i="18"/>
  <c r="D602" i="18"/>
  <c r="C602" i="18"/>
  <c r="B602" i="18"/>
  <c r="A602" i="18"/>
  <c r="D601" i="18"/>
  <c r="C601" i="18"/>
  <c r="B601" i="18"/>
  <c r="A601" i="18"/>
  <c r="D600" i="18"/>
  <c r="C600" i="18"/>
  <c r="B600" i="18"/>
  <c r="A600" i="18"/>
  <c r="D599" i="18"/>
  <c r="C599" i="18"/>
  <c r="B599" i="18"/>
  <c r="A599" i="18"/>
  <c r="D598" i="18"/>
  <c r="C598" i="18"/>
  <c r="B598" i="18"/>
  <c r="A598" i="18"/>
  <c r="D597" i="18"/>
  <c r="C597" i="18"/>
  <c r="B597" i="18"/>
  <c r="A597" i="18"/>
  <c r="D596" i="18"/>
  <c r="C596" i="18"/>
  <c r="B596" i="18"/>
  <c r="A596" i="18"/>
  <c r="D595" i="18"/>
  <c r="C595" i="18"/>
  <c r="B595" i="18"/>
  <c r="A595" i="18"/>
  <c r="D594" i="18"/>
  <c r="C594" i="18"/>
  <c r="B594" i="18"/>
  <c r="A594" i="18"/>
  <c r="D593" i="18"/>
  <c r="C593" i="18"/>
  <c r="B593" i="18"/>
  <c r="A593" i="18"/>
  <c r="D592" i="18"/>
  <c r="C592" i="18"/>
  <c r="B592" i="18"/>
  <c r="A592" i="18"/>
  <c r="D591" i="18"/>
  <c r="C591" i="18"/>
  <c r="B591" i="18"/>
  <c r="A591" i="18"/>
  <c r="D590" i="18"/>
  <c r="C590" i="18"/>
  <c r="B590" i="18"/>
  <c r="A590" i="18"/>
  <c r="D589" i="18"/>
  <c r="C589" i="18"/>
  <c r="B589" i="18"/>
  <c r="A589" i="18"/>
  <c r="D588" i="18"/>
  <c r="C588" i="18"/>
  <c r="B588" i="18"/>
  <c r="A588" i="18"/>
  <c r="D587" i="18"/>
  <c r="C587" i="18"/>
  <c r="B587" i="18"/>
  <c r="A587" i="18"/>
  <c r="D586" i="18"/>
  <c r="C586" i="18"/>
  <c r="B586" i="18"/>
  <c r="A586" i="18"/>
  <c r="D585" i="18"/>
  <c r="C585" i="18"/>
  <c r="B585" i="18"/>
  <c r="A585" i="18"/>
  <c r="D584" i="18"/>
  <c r="C584" i="18"/>
  <c r="B584" i="18"/>
  <c r="A584" i="18"/>
  <c r="D583" i="18"/>
  <c r="C583" i="18"/>
  <c r="B583" i="18"/>
  <c r="A583" i="18"/>
  <c r="D582" i="18"/>
  <c r="C582" i="18"/>
  <c r="B582" i="18"/>
  <c r="A582" i="18"/>
  <c r="D581" i="18"/>
  <c r="C581" i="18"/>
  <c r="B581" i="18"/>
  <c r="A581" i="18"/>
  <c r="D580" i="18"/>
  <c r="C580" i="18"/>
  <c r="B580" i="18"/>
  <c r="A580" i="18"/>
  <c r="D579" i="18"/>
  <c r="C579" i="18"/>
  <c r="B579" i="18"/>
  <c r="A579" i="18"/>
  <c r="D578" i="18"/>
  <c r="C578" i="18"/>
  <c r="B578" i="18"/>
  <c r="A578" i="18"/>
  <c r="D577" i="18"/>
  <c r="C577" i="18"/>
  <c r="B577" i="18"/>
  <c r="A577" i="18"/>
  <c r="D576" i="18"/>
  <c r="C576" i="18"/>
  <c r="B576" i="18"/>
  <c r="A576" i="18"/>
  <c r="D575" i="18"/>
  <c r="C575" i="18"/>
  <c r="B575" i="18"/>
  <c r="A575" i="18"/>
  <c r="D574" i="18"/>
  <c r="C574" i="18"/>
  <c r="B574" i="18"/>
  <c r="A574" i="18"/>
  <c r="D573" i="18"/>
  <c r="C573" i="18"/>
  <c r="B573" i="18"/>
  <c r="A573" i="18"/>
  <c r="D572" i="18"/>
  <c r="C572" i="18"/>
  <c r="B572" i="18"/>
  <c r="A572" i="18"/>
  <c r="D571" i="18"/>
  <c r="C571" i="18"/>
  <c r="B571" i="18"/>
  <c r="A571" i="18"/>
  <c r="D570" i="18"/>
  <c r="C570" i="18"/>
  <c r="B570" i="18"/>
  <c r="A570" i="18"/>
  <c r="D569" i="18"/>
  <c r="C569" i="18"/>
  <c r="B569" i="18"/>
  <c r="A569" i="18"/>
  <c r="D568" i="18"/>
  <c r="C568" i="18"/>
  <c r="B568" i="18"/>
  <c r="A568" i="18"/>
  <c r="D567" i="18"/>
  <c r="C567" i="18"/>
  <c r="B567" i="18"/>
  <c r="A567" i="18"/>
  <c r="D566" i="18"/>
  <c r="C566" i="18"/>
  <c r="B566" i="18"/>
  <c r="A566" i="18"/>
  <c r="D565" i="18"/>
  <c r="C565" i="18"/>
  <c r="B565" i="18"/>
  <c r="A565" i="18"/>
  <c r="D564" i="18"/>
  <c r="C564" i="18"/>
  <c r="B564" i="18"/>
  <c r="A564" i="18"/>
  <c r="D563" i="18"/>
  <c r="C563" i="18"/>
  <c r="B563" i="18"/>
  <c r="A563" i="18"/>
  <c r="D562" i="18"/>
  <c r="C562" i="18"/>
  <c r="B562" i="18"/>
  <c r="A562" i="18"/>
  <c r="D561" i="18"/>
  <c r="C561" i="18"/>
  <c r="B561" i="18"/>
  <c r="A561" i="18"/>
  <c r="D560" i="18"/>
  <c r="C560" i="18"/>
  <c r="B560" i="18"/>
  <c r="A560" i="18"/>
  <c r="D559" i="18"/>
  <c r="C559" i="18"/>
  <c r="B559" i="18"/>
  <c r="A559" i="18"/>
  <c r="D558" i="18"/>
  <c r="C558" i="18"/>
  <c r="B558" i="18"/>
  <c r="A558" i="18"/>
  <c r="D557" i="18"/>
  <c r="C557" i="18"/>
  <c r="B557" i="18"/>
  <c r="A557" i="18"/>
  <c r="D556" i="18"/>
  <c r="C556" i="18"/>
  <c r="B556" i="18"/>
  <c r="A556" i="18"/>
  <c r="D555" i="18"/>
  <c r="C555" i="18"/>
  <c r="B555" i="18"/>
  <c r="A555" i="18"/>
  <c r="D554" i="18"/>
  <c r="C554" i="18"/>
  <c r="B554" i="18"/>
  <c r="A554" i="18"/>
  <c r="D553" i="18"/>
  <c r="C553" i="18"/>
  <c r="B553" i="18"/>
  <c r="A553" i="18"/>
  <c r="D552" i="18"/>
  <c r="C552" i="18"/>
  <c r="B552" i="18"/>
  <c r="A552" i="18"/>
  <c r="D551" i="18"/>
  <c r="C551" i="18"/>
  <c r="B551" i="18"/>
  <c r="A551" i="18"/>
  <c r="D550" i="18"/>
  <c r="C550" i="18"/>
  <c r="B550" i="18"/>
  <c r="A550" i="18"/>
  <c r="D549" i="18"/>
  <c r="C549" i="18"/>
  <c r="B549" i="18"/>
  <c r="A549" i="18"/>
  <c r="D548" i="18"/>
  <c r="C548" i="18"/>
  <c r="B548" i="18"/>
  <c r="A548" i="18"/>
  <c r="D547" i="18"/>
  <c r="C547" i="18"/>
  <c r="B547" i="18"/>
  <c r="A547" i="18"/>
  <c r="D546" i="18"/>
  <c r="C546" i="18"/>
  <c r="B546" i="18"/>
  <c r="A546" i="18"/>
  <c r="D545" i="18"/>
  <c r="C545" i="18"/>
  <c r="B545" i="18"/>
  <c r="A545" i="18"/>
  <c r="D544" i="18"/>
  <c r="C544" i="18"/>
  <c r="B544" i="18"/>
  <c r="A544" i="18"/>
  <c r="D543" i="18"/>
  <c r="C543" i="18"/>
  <c r="B543" i="18"/>
  <c r="A543" i="18"/>
  <c r="D542" i="18"/>
  <c r="C542" i="18"/>
  <c r="B542" i="18"/>
  <c r="A542" i="18"/>
  <c r="D541" i="18"/>
  <c r="C541" i="18"/>
  <c r="B541" i="18"/>
  <c r="A541" i="18"/>
  <c r="D540" i="18"/>
  <c r="C540" i="18"/>
  <c r="B540" i="18"/>
  <c r="A540" i="18"/>
  <c r="D539" i="18"/>
  <c r="C539" i="18"/>
  <c r="B539" i="18"/>
  <c r="A539" i="18"/>
  <c r="D538" i="18"/>
  <c r="C538" i="18"/>
  <c r="B538" i="18"/>
  <c r="A538" i="18"/>
  <c r="D537" i="18"/>
  <c r="C537" i="18"/>
  <c r="B537" i="18"/>
  <c r="A537" i="18"/>
  <c r="D536" i="18"/>
  <c r="C536" i="18"/>
  <c r="B536" i="18"/>
  <c r="A536" i="18"/>
  <c r="D535" i="18"/>
  <c r="C535" i="18"/>
  <c r="B535" i="18"/>
  <c r="A535" i="18"/>
  <c r="D534" i="18"/>
  <c r="C534" i="18"/>
  <c r="B534" i="18"/>
  <c r="A534" i="18"/>
  <c r="D533" i="18"/>
  <c r="C533" i="18"/>
  <c r="B533" i="18"/>
  <c r="A533" i="18"/>
  <c r="D532" i="18"/>
  <c r="C532" i="18"/>
  <c r="B532" i="18"/>
  <c r="A532" i="18"/>
  <c r="D531" i="18"/>
  <c r="C531" i="18"/>
  <c r="B531" i="18"/>
  <c r="A531" i="18"/>
  <c r="D530" i="18"/>
  <c r="C530" i="18"/>
  <c r="B530" i="18"/>
  <c r="A530" i="18"/>
  <c r="D529" i="18"/>
  <c r="C529" i="18"/>
  <c r="B529" i="18"/>
  <c r="A529" i="18"/>
  <c r="D528" i="18"/>
  <c r="C528" i="18"/>
  <c r="B528" i="18"/>
  <c r="A528" i="18"/>
  <c r="D527" i="18"/>
  <c r="C527" i="18"/>
  <c r="B527" i="18"/>
  <c r="A527" i="18"/>
  <c r="D526" i="18"/>
  <c r="C526" i="18"/>
  <c r="B526" i="18"/>
  <c r="A526" i="18"/>
  <c r="D525" i="18"/>
  <c r="C525" i="18"/>
  <c r="B525" i="18"/>
  <c r="A525" i="18"/>
  <c r="D524" i="18"/>
  <c r="C524" i="18"/>
  <c r="B524" i="18"/>
  <c r="A524" i="18"/>
  <c r="D523" i="18"/>
  <c r="C523" i="18"/>
  <c r="B523" i="18"/>
  <c r="A523" i="18"/>
  <c r="D522" i="18"/>
  <c r="C522" i="18"/>
  <c r="B522" i="18"/>
  <c r="A522" i="18"/>
  <c r="D521" i="18"/>
  <c r="C521" i="18"/>
  <c r="B521" i="18"/>
  <c r="A521" i="18"/>
  <c r="D520" i="18"/>
  <c r="C520" i="18"/>
  <c r="B520" i="18"/>
  <c r="A520" i="18"/>
  <c r="D519" i="18"/>
  <c r="C519" i="18"/>
  <c r="B519" i="18"/>
  <c r="A519" i="18"/>
  <c r="D518" i="18"/>
  <c r="C518" i="18"/>
  <c r="B518" i="18"/>
  <c r="A518" i="18"/>
  <c r="D517" i="18"/>
  <c r="C517" i="18"/>
  <c r="B517" i="18"/>
  <c r="A517" i="18"/>
  <c r="D516" i="18"/>
  <c r="C516" i="18"/>
  <c r="B516" i="18"/>
  <c r="A516" i="18"/>
  <c r="D515" i="18"/>
  <c r="C515" i="18"/>
  <c r="B515" i="18"/>
  <c r="A515" i="18"/>
  <c r="D514" i="18"/>
  <c r="C514" i="18"/>
  <c r="B514" i="18"/>
  <c r="A514" i="18"/>
  <c r="D513" i="18"/>
  <c r="C513" i="18"/>
  <c r="B513" i="18"/>
  <c r="A513" i="18"/>
  <c r="D512" i="18"/>
  <c r="C512" i="18"/>
  <c r="B512" i="18"/>
  <c r="A512" i="18"/>
  <c r="D511" i="18"/>
  <c r="C511" i="18"/>
  <c r="B511" i="18"/>
  <c r="A511" i="18"/>
  <c r="D510" i="18"/>
  <c r="C510" i="18"/>
  <c r="B510" i="18"/>
  <c r="A510" i="18"/>
  <c r="D509" i="18"/>
  <c r="C509" i="18"/>
  <c r="B509" i="18"/>
  <c r="A509" i="18"/>
  <c r="D508" i="18"/>
  <c r="C508" i="18"/>
  <c r="B508" i="18"/>
  <c r="A508" i="18"/>
  <c r="D507" i="18"/>
  <c r="C507" i="18"/>
  <c r="B507" i="18"/>
  <c r="A507" i="18"/>
  <c r="D506" i="18"/>
  <c r="C506" i="18"/>
  <c r="B506" i="18"/>
  <c r="A506" i="18"/>
  <c r="D505" i="18"/>
  <c r="C505" i="18"/>
  <c r="B505" i="18"/>
  <c r="A505" i="18"/>
  <c r="D504" i="18"/>
  <c r="C504" i="18"/>
  <c r="B504" i="18"/>
  <c r="A504" i="18"/>
  <c r="D503" i="18"/>
  <c r="C503" i="18"/>
  <c r="B503" i="18"/>
  <c r="A503" i="18"/>
  <c r="D502" i="18"/>
  <c r="C502" i="18"/>
  <c r="B502" i="18"/>
  <c r="A502" i="18"/>
  <c r="D501" i="18"/>
  <c r="C501" i="18"/>
  <c r="B501" i="18"/>
  <c r="A501" i="18"/>
  <c r="D500" i="18"/>
  <c r="C500" i="18"/>
  <c r="B500" i="18"/>
  <c r="A500" i="18"/>
  <c r="D499" i="18"/>
  <c r="C499" i="18"/>
  <c r="B499" i="18"/>
  <c r="A499" i="18"/>
  <c r="D498" i="18"/>
  <c r="C498" i="18"/>
  <c r="B498" i="18"/>
  <c r="A498" i="18"/>
  <c r="D497" i="18"/>
  <c r="C497" i="18"/>
  <c r="B497" i="18"/>
  <c r="A497" i="18"/>
  <c r="D496" i="18"/>
  <c r="C496" i="18"/>
  <c r="B496" i="18"/>
  <c r="A496" i="18"/>
  <c r="D495" i="18"/>
  <c r="C495" i="18"/>
  <c r="B495" i="18"/>
  <c r="A495" i="18"/>
  <c r="D494" i="18"/>
  <c r="C494" i="18"/>
  <c r="B494" i="18"/>
  <c r="A494" i="18"/>
  <c r="D493" i="18"/>
  <c r="C493" i="18"/>
  <c r="B493" i="18"/>
  <c r="A493" i="18"/>
  <c r="D492" i="18"/>
  <c r="C492" i="18"/>
  <c r="B492" i="18"/>
  <c r="A492" i="18"/>
  <c r="D491" i="18"/>
  <c r="C491" i="18"/>
  <c r="B491" i="18"/>
  <c r="A491" i="18"/>
  <c r="D490" i="18"/>
  <c r="C490" i="18"/>
  <c r="B490" i="18"/>
  <c r="A490" i="18"/>
  <c r="D489" i="18"/>
  <c r="C489" i="18"/>
  <c r="B489" i="18"/>
  <c r="A489" i="18"/>
  <c r="D488" i="18"/>
  <c r="C488" i="18"/>
  <c r="B488" i="18"/>
  <c r="A488" i="18"/>
  <c r="D487" i="18"/>
  <c r="C487" i="18"/>
  <c r="B487" i="18"/>
  <c r="A487" i="18"/>
  <c r="D486" i="18"/>
  <c r="C486" i="18"/>
  <c r="B486" i="18"/>
  <c r="A486" i="18"/>
  <c r="D485" i="18"/>
  <c r="C485" i="18"/>
  <c r="B485" i="18"/>
  <c r="A485" i="18"/>
  <c r="D484" i="18"/>
  <c r="C484" i="18"/>
  <c r="B484" i="18"/>
  <c r="A484" i="18"/>
  <c r="D483" i="18"/>
  <c r="C483" i="18"/>
  <c r="B483" i="18"/>
  <c r="A483" i="18"/>
  <c r="D482" i="18"/>
  <c r="C482" i="18"/>
  <c r="B482" i="18"/>
  <c r="A482" i="18"/>
  <c r="D481" i="18"/>
  <c r="C481" i="18"/>
  <c r="B481" i="18"/>
  <c r="A481" i="18"/>
  <c r="D480" i="18"/>
  <c r="C480" i="18"/>
  <c r="B480" i="18"/>
  <c r="A480" i="18"/>
  <c r="D479" i="18"/>
  <c r="C479" i="18"/>
  <c r="B479" i="18"/>
  <c r="A479" i="18"/>
  <c r="D478" i="18"/>
  <c r="C478" i="18"/>
  <c r="B478" i="18"/>
  <c r="A478" i="18"/>
  <c r="D477" i="18"/>
  <c r="C477" i="18"/>
  <c r="B477" i="18"/>
  <c r="A477" i="18"/>
  <c r="D476" i="18"/>
  <c r="C476" i="18"/>
  <c r="B476" i="18"/>
  <c r="A476" i="18"/>
  <c r="D475" i="18"/>
  <c r="C475" i="18"/>
  <c r="B475" i="18"/>
  <c r="A475" i="18"/>
  <c r="D474" i="18"/>
  <c r="C474" i="18"/>
  <c r="B474" i="18"/>
  <c r="A474" i="18"/>
  <c r="D473" i="18"/>
  <c r="C473" i="18"/>
  <c r="B473" i="18"/>
  <c r="A473" i="18"/>
  <c r="D472" i="18"/>
  <c r="C472" i="18"/>
  <c r="B472" i="18"/>
  <c r="A472" i="18"/>
  <c r="D471" i="18"/>
  <c r="C471" i="18"/>
  <c r="B471" i="18"/>
  <c r="A471" i="18"/>
  <c r="D470" i="18"/>
  <c r="C470" i="18"/>
  <c r="B470" i="18"/>
  <c r="A470" i="18"/>
  <c r="D469" i="18"/>
  <c r="C469" i="18"/>
  <c r="B469" i="18"/>
  <c r="A469" i="18"/>
  <c r="D468" i="18"/>
  <c r="C468" i="18"/>
  <c r="B468" i="18"/>
  <c r="A468" i="18"/>
  <c r="D467" i="18"/>
  <c r="C467" i="18"/>
  <c r="B467" i="18"/>
  <c r="A467" i="18"/>
  <c r="D466" i="18"/>
  <c r="C466" i="18"/>
  <c r="B466" i="18"/>
  <c r="A466" i="18"/>
  <c r="D465" i="18"/>
  <c r="C465" i="18"/>
  <c r="B465" i="18"/>
  <c r="A465" i="18"/>
  <c r="D464" i="18"/>
  <c r="C464" i="18"/>
  <c r="B464" i="18"/>
  <c r="A464" i="18"/>
  <c r="D463" i="18"/>
  <c r="C463" i="18"/>
  <c r="B463" i="18"/>
  <c r="A463" i="18"/>
  <c r="D462" i="18"/>
  <c r="C462" i="18"/>
  <c r="B462" i="18"/>
  <c r="A462" i="18"/>
  <c r="D461" i="18"/>
  <c r="C461" i="18"/>
  <c r="B461" i="18"/>
  <c r="A461" i="18"/>
  <c r="D460" i="18"/>
  <c r="C460" i="18"/>
  <c r="B460" i="18"/>
  <c r="A460" i="18"/>
  <c r="D459" i="18"/>
  <c r="C459" i="18"/>
  <c r="B459" i="18"/>
  <c r="A459" i="18"/>
  <c r="D458" i="18"/>
  <c r="C458" i="18"/>
  <c r="B458" i="18"/>
  <c r="A458" i="18"/>
  <c r="D457" i="18"/>
  <c r="C457" i="18"/>
  <c r="B457" i="18"/>
  <c r="A457" i="18"/>
  <c r="D456" i="18"/>
  <c r="C456" i="18"/>
  <c r="B456" i="18"/>
  <c r="A456" i="18"/>
  <c r="D455" i="18"/>
  <c r="C455" i="18"/>
  <c r="B455" i="18"/>
  <c r="A455" i="18"/>
  <c r="D454" i="18"/>
  <c r="C454" i="18"/>
  <c r="B454" i="18"/>
  <c r="A454" i="18"/>
  <c r="D453" i="18"/>
  <c r="C453" i="18"/>
  <c r="B453" i="18"/>
  <c r="A453" i="18"/>
  <c r="D452" i="18"/>
  <c r="C452" i="18"/>
  <c r="B452" i="18"/>
  <c r="A452" i="18"/>
  <c r="D451" i="18"/>
  <c r="C451" i="18"/>
  <c r="B451" i="18"/>
  <c r="A451" i="18"/>
  <c r="D450" i="18"/>
  <c r="C450" i="18"/>
  <c r="B450" i="18"/>
  <c r="A450" i="18"/>
  <c r="D449" i="18"/>
  <c r="C449" i="18"/>
  <c r="B449" i="18"/>
  <c r="A449" i="18"/>
  <c r="D448" i="18"/>
  <c r="C448" i="18"/>
  <c r="B448" i="18"/>
  <c r="A448" i="18"/>
  <c r="D447" i="18"/>
  <c r="C447" i="18"/>
  <c r="B447" i="18"/>
  <c r="A447" i="18"/>
  <c r="D446" i="18"/>
  <c r="C446" i="18"/>
  <c r="B446" i="18"/>
  <c r="A446" i="18"/>
  <c r="D445" i="18"/>
  <c r="C445" i="18"/>
  <c r="B445" i="18"/>
  <c r="A445" i="18"/>
  <c r="D444" i="18"/>
  <c r="C444" i="18"/>
  <c r="B444" i="18"/>
  <c r="A444" i="18"/>
  <c r="D443" i="18"/>
  <c r="C443" i="18"/>
  <c r="B443" i="18"/>
  <c r="A443" i="18"/>
  <c r="D442" i="18"/>
  <c r="C442" i="18"/>
  <c r="B442" i="18"/>
  <c r="A442" i="18"/>
  <c r="D441" i="18"/>
  <c r="C441" i="18"/>
  <c r="B441" i="18"/>
  <c r="A441" i="18"/>
  <c r="D440" i="18"/>
  <c r="C440" i="18"/>
  <c r="B440" i="18"/>
  <c r="A440" i="18"/>
  <c r="D439" i="18"/>
  <c r="C439" i="18"/>
  <c r="B439" i="18"/>
  <c r="A439" i="18"/>
  <c r="D438" i="18"/>
  <c r="C438" i="18"/>
  <c r="B438" i="18"/>
  <c r="A438" i="18"/>
  <c r="D437" i="18"/>
  <c r="C437" i="18"/>
  <c r="B437" i="18"/>
  <c r="A437" i="18"/>
  <c r="D436" i="18"/>
  <c r="C436" i="18"/>
  <c r="B436" i="18"/>
  <c r="A436" i="18"/>
  <c r="D435" i="18"/>
  <c r="C435" i="18"/>
  <c r="B435" i="18"/>
  <c r="A435" i="18"/>
  <c r="D434" i="18"/>
  <c r="C434" i="18"/>
  <c r="B434" i="18"/>
  <c r="A434" i="18"/>
  <c r="D433" i="18"/>
  <c r="C433" i="18"/>
  <c r="B433" i="18"/>
  <c r="A433" i="18"/>
  <c r="D432" i="18"/>
  <c r="C432" i="18"/>
  <c r="B432" i="18"/>
  <c r="A432" i="18"/>
  <c r="D431" i="18"/>
  <c r="C431" i="18"/>
  <c r="B431" i="18"/>
  <c r="A431" i="18"/>
  <c r="D430" i="18"/>
  <c r="C430" i="18"/>
  <c r="B430" i="18"/>
  <c r="A430" i="18"/>
  <c r="D429" i="18"/>
  <c r="C429" i="18"/>
  <c r="B429" i="18"/>
  <c r="A429" i="18"/>
  <c r="D428" i="18"/>
  <c r="C428" i="18"/>
  <c r="B428" i="18"/>
  <c r="A428" i="18"/>
  <c r="D427" i="18"/>
  <c r="C427" i="18"/>
  <c r="B427" i="18"/>
  <c r="A427" i="18"/>
  <c r="D426" i="18"/>
  <c r="C426" i="18"/>
  <c r="B426" i="18"/>
  <c r="A426" i="18"/>
  <c r="D425" i="18"/>
  <c r="C425" i="18"/>
  <c r="B425" i="18"/>
  <c r="A425" i="18"/>
  <c r="D424" i="18"/>
  <c r="C424" i="18"/>
  <c r="B424" i="18"/>
  <c r="A424" i="18"/>
  <c r="D423" i="18"/>
  <c r="C423" i="18"/>
  <c r="B423" i="18"/>
  <c r="A423" i="18"/>
  <c r="D422" i="18"/>
  <c r="C422" i="18"/>
  <c r="B422" i="18"/>
  <c r="A422" i="18"/>
  <c r="D421" i="18"/>
  <c r="C421" i="18"/>
  <c r="B421" i="18"/>
  <c r="A421" i="18"/>
  <c r="D420" i="18"/>
  <c r="C420" i="18"/>
  <c r="B420" i="18"/>
  <c r="A420" i="18"/>
  <c r="D419" i="18"/>
  <c r="C419" i="18"/>
  <c r="B419" i="18"/>
  <c r="A419" i="18"/>
  <c r="D418" i="18"/>
  <c r="C418" i="18"/>
  <c r="B418" i="18"/>
  <c r="A418" i="18"/>
  <c r="D417" i="18"/>
  <c r="C417" i="18"/>
  <c r="B417" i="18"/>
  <c r="A417" i="18"/>
  <c r="D416" i="18"/>
  <c r="C416" i="18"/>
  <c r="B416" i="18"/>
  <c r="A416" i="18"/>
  <c r="D415" i="18"/>
  <c r="C415" i="18"/>
  <c r="B415" i="18"/>
  <c r="A415" i="18"/>
  <c r="D414" i="18"/>
  <c r="C414" i="18"/>
  <c r="B414" i="18"/>
  <c r="A414" i="18"/>
  <c r="D413" i="18"/>
  <c r="C413" i="18"/>
  <c r="B413" i="18"/>
  <c r="A413" i="18"/>
  <c r="D412" i="18"/>
  <c r="C412" i="18"/>
  <c r="B412" i="18"/>
  <c r="A412" i="18"/>
  <c r="D411" i="18"/>
  <c r="C411" i="18"/>
  <c r="B411" i="18"/>
  <c r="A411" i="18"/>
  <c r="D410" i="18"/>
  <c r="C410" i="18"/>
  <c r="B410" i="18"/>
  <c r="A410" i="18"/>
  <c r="D409" i="18"/>
  <c r="C409" i="18"/>
  <c r="B409" i="18"/>
  <c r="A409" i="18"/>
  <c r="D408" i="18"/>
  <c r="C408" i="18"/>
  <c r="B408" i="18"/>
  <c r="A408" i="18"/>
  <c r="D407" i="18"/>
  <c r="C407" i="18"/>
  <c r="B407" i="18"/>
  <c r="A407" i="18"/>
  <c r="D406" i="18"/>
  <c r="C406" i="18"/>
  <c r="B406" i="18"/>
  <c r="A406" i="18"/>
  <c r="D405" i="18"/>
  <c r="C405" i="18"/>
  <c r="B405" i="18"/>
  <c r="A405" i="18"/>
  <c r="D404" i="18"/>
  <c r="C404" i="18"/>
  <c r="B404" i="18"/>
  <c r="A404" i="18"/>
  <c r="D403" i="18"/>
  <c r="C403" i="18"/>
  <c r="B403" i="18"/>
  <c r="A403" i="18"/>
  <c r="D402" i="18"/>
  <c r="C402" i="18"/>
  <c r="B402" i="18"/>
  <c r="A402" i="18"/>
  <c r="D401" i="18"/>
  <c r="C401" i="18"/>
  <c r="B401" i="18"/>
  <c r="A401" i="18"/>
  <c r="D400" i="18"/>
  <c r="C400" i="18"/>
  <c r="B400" i="18"/>
  <c r="A400" i="18"/>
  <c r="D399" i="18"/>
  <c r="C399" i="18"/>
  <c r="B399" i="18"/>
  <c r="A399" i="18"/>
  <c r="D398" i="18"/>
  <c r="C398" i="18"/>
  <c r="B398" i="18"/>
  <c r="A398" i="18"/>
  <c r="D397" i="18"/>
  <c r="C397" i="18"/>
  <c r="B397" i="18"/>
  <c r="A397" i="18"/>
  <c r="D396" i="18"/>
  <c r="C396" i="18"/>
  <c r="B396" i="18"/>
  <c r="A396" i="18"/>
  <c r="D395" i="18"/>
  <c r="C395" i="18"/>
  <c r="B395" i="18"/>
  <c r="A395" i="18"/>
  <c r="D394" i="18"/>
  <c r="C394" i="18"/>
  <c r="B394" i="18"/>
  <c r="A394" i="18"/>
  <c r="D393" i="18"/>
  <c r="C393" i="18"/>
  <c r="B393" i="18"/>
  <c r="A393" i="18"/>
  <c r="D392" i="18"/>
  <c r="C392" i="18"/>
  <c r="B392" i="18"/>
  <c r="A392" i="18"/>
  <c r="D391" i="18"/>
  <c r="C391" i="18"/>
  <c r="B391" i="18"/>
  <c r="A391" i="18"/>
  <c r="D390" i="18"/>
  <c r="C390" i="18"/>
  <c r="B390" i="18"/>
  <c r="A390" i="18"/>
  <c r="D389" i="18"/>
  <c r="C389" i="18"/>
  <c r="B389" i="18"/>
  <c r="A389" i="18"/>
  <c r="D388" i="18"/>
  <c r="C388" i="18"/>
  <c r="B388" i="18"/>
  <c r="A388" i="18"/>
  <c r="D387" i="18"/>
  <c r="C387" i="18"/>
  <c r="B387" i="18"/>
  <c r="A387" i="18"/>
  <c r="D386" i="18"/>
  <c r="C386" i="18"/>
  <c r="B386" i="18"/>
  <c r="A386" i="18"/>
  <c r="D385" i="18"/>
  <c r="C385" i="18"/>
  <c r="B385" i="18"/>
  <c r="A385" i="18"/>
  <c r="D384" i="18"/>
  <c r="C384" i="18"/>
  <c r="B384" i="18"/>
  <c r="A384" i="18"/>
  <c r="D383" i="18"/>
  <c r="C383" i="18"/>
  <c r="B383" i="18"/>
  <c r="A383" i="18"/>
  <c r="D382" i="18"/>
  <c r="C382" i="18"/>
  <c r="B382" i="18"/>
  <c r="A382" i="18"/>
  <c r="D381" i="18"/>
  <c r="C381" i="18"/>
  <c r="B381" i="18"/>
  <c r="A381" i="18"/>
  <c r="D380" i="18"/>
  <c r="C380" i="18"/>
  <c r="B380" i="18"/>
  <c r="A380" i="18"/>
  <c r="D379" i="18"/>
  <c r="C379" i="18"/>
  <c r="B379" i="18"/>
  <c r="A379" i="18"/>
  <c r="D378" i="18"/>
  <c r="C378" i="18"/>
  <c r="B378" i="18"/>
  <c r="A378" i="18"/>
  <c r="D377" i="18"/>
  <c r="C377" i="18"/>
  <c r="B377" i="18"/>
  <c r="A377" i="18"/>
  <c r="D376" i="18"/>
  <c r="C376" i="18"/>
  <c r="B376" i="18"/>
  <c r="A376" i="18"/>
  <c r="D375" i="18"/>
  <c r="C375" i="18"/>
  <c r="B375" i="18"/>
  <c r="A375" i="18"/>
  <c r="D374" i="18"/>
  <c r="C374" i="18"/>
  <c r="B374" i="18"/>
  <c r="A374" i="18"/>
  <c r="D373" i="18"/>
  <c r="C373" i="18"/>
  <c r="B373" i="18"/>
  <c r="A373" i="18"/>
  <c r="D372" i="18"/>
  <c r="C372" i="18"/>
  <c r="B372" i="18"/>
  <c r="A372" i="18"/>
  <c r="D371" i="18"/>
  <c r="C371" i="18"/>
  <c r="B371" i="18"/>
  <c r="A371" i="18"/>
  <c r="D370" i="18"/>
  <c r="C370" i="18"/>
  <c r="B370" i="18"/>
  <c r="A370" i="18"/>
  <c r="D369" i="18"/>
  <c r="C369" i="18"/>
  <c r="B369" i="18"/>
  <c r="A369" i="18"/>
  <c r="D368" i="18"/>
  <c r="C368" i="18"/>
  <c r="B368" i="18"/>
  <c r="A368" i="18"/>
  <c r="D367" i="18"/>
  <c r="C367" i="18"/>
  <c r="B367" i="18"/>
  <c r="A367" i="18"/>
  <c r="D366" i="18"/>
  <c r="C366" i="18"/>
  <c r="B366" i="18"/>
  <c r="A366" i="18"/>
  <c r="D365" i="18"/>
  <c r="C365" i="18"/>
  <c r="B365" i="18"/>
  <c r="A365" i="18"/>
  <c r="D364" i="18"/>
  <c r="C364" i="18"/>
  <c r="B364" i="18"/>
  <c r="A364" i="18"/>
  <c r="D363" i="18"/>
  <c r="C363" i="18"/>
  <c r="B363" i="18"/>
  <c r="A363" i="18"/>
  <c r="D362" i="18"/>
  <c r="C362" i="18"/>
  <c r="B362" i="18"/>
  <c r="A362" i="18"/>
  <c r="D361" i="18"/>
  <c r="C361" i="18"/>
  <c r="B361" i="18"/>
  <c r="A361" i="18"/>
  <c r="D360" i="18"/>
  <c r="C360" i="18"/>
  <c r="B360" i="18"/>
  <c r="A360" i="18"/>
  <c r="D359" i="18"/>
  <c r="C359" i="18"/>
  <c r="B359" i="18"/>
  <c r="A359" i="18"/>
  <c r="D358" i="18"/>
  <c r="C358" i="18"/>
  <c r="B358" i="18"/>
  <c r="A358" i="18"/>
  <c r="D357" i="18"/>
  <c r="C357" i="18"/>
  <c r="B357" i="18"/>
  <c r="A357" i="18"/>
  <c r="D356" i="18"/>
  <c r="C356" i="18"/>
  <c r="B356" i="18"/>
  <c r="A356" i="18"/>
  <c r="D355" i="18"/>
  <c r="C355" i="18"/>
  <c r="B355" i="18"/>
  <c r="A355" i="18"/>
  <c r="D354" i="18"/>
  <c r="C354" i="18"/>
  <c r="B354" i="18"/>
  <c r="A354" i="18"/>
  <c r="D353" i="18"/>
  <c r="C353" i="18"/>
  <c r="B353" i="18"/>
  <c r="A353" i="18"/>
  <c r="D352" i="18"/>
  <c r="C352" i="18"/>
  <c r="B352" i="18"/>
  <c r="A352" i="18"/>
  <c r="D351" i="18"/>
  <c r="C351" i="18"/>
  <c r="B351" i="18"/>
  <c r="A351" i="18"/>
  <c r="D350" i="18"/>
  <c r="C350" i="18"/>
  <c r="B350" i="18"/>
  <c r="A350" i="18"/>
  <c r="D349" i="18"/>
  <c r="C349" i="18"/>
  <c r="B349" i="18"/>
  <c r="A349" i="18"/>
  <c r="D348" i="18"/>
  <c r="C348" i="18"/>
  <c r="B348" i="18"/>
  <c r="A348" i="18"/>
  <c r="D347" i="18"/>
  <c r="C347" i="18"/>
  <c r="B347" i="18"/>
  <c r="A347" i="18"/>
  <c r="D346" i="18"/>
  <c r="C346" i="18"/>
  <c r="B346" i="18"/>
  <c r="A346" i="18"/>
  <c r="D345" i="18"/>
  <c r="C345" i="18"/>
  <c r="B345" i="18"/>
  <c r="A345" i="18"/>
  <c r="D344" i="18"/>
  <c r="C344" i="18"/>
  <c r="B344" i="18"/>
  <c r="A344" i="18"/>
  <c r="D343" i="18"/>
  <c r="C343" i="18"/>
  <c r="B343" i="18"/>
  <c r="A343" i="18"/>
  <c r="D342" i="18"/>
  <c r="C342" i="18"/>
  <c r="B342" i="18"/>
  <c r="A342" i="18"/>
  <c r="D341" i="18"/>
  <c r="C341" i="18"/>
  <c r="B341" i="18"/>
  <c r="A341" i="18"/>
  <c r="D340" i="18"/>
  <c r="C340" i="18"/>
  <c r="B340" i="18"/>
  <c r="A340" i="18"/>
  <c r="D339" i="18"/>
  <c r="C339" i="18"/>
  <c r="B339" i="18"/>
  <c r="A339" i="18"/>
  <c r="D338" i="18"/>
  <c r="C338" i="18"/>
  <c r="B338" i="18"/>
  <c r="A338" i="18"/>
  <c r="D337" i="18"/>
  <c r="C337" i="18"/>
  <c r="B337" i="18"/>
  <c r="A337" i="18"/>
  <c r="D336" i="18"/>
  <c r="C336" i="18"/>
  <c r="B336" i="18"/>
  <c r="A336" i="18"/>
  <c r="D335" i="18"/>
  <c r="C335" i="18"/>
  <c r="B335" i="18"/>
  <c r="A335" i="18"/>
  <c r="D334" i="18"/>
  <c r="C334" i="18"/>
  <c r="B334" i="18"/>
  <c r="A334" i="18"/>
  <c r="D333" i="18"/>
  <c r="C333" i="18"/>
  <c r="B333" i="18"/>
  <c r="A333" i="18"/>
  <c r="D332" i="18"/>
  <c r="C332" i="18"/>
  <c r="B332" i="18"/>
  <c r="A332" i="18"/>
  <c r="D331" i="18"/>
  <c r="C331" i="18"/>
  <c r="B331" i="18"/>
  <c r="A331" i="18"/>
  <c r="D330" i="18"/>
  <c r="C330" i="18"/>
  <c r="B330" i="18"/>
  <c r="A330" i="18"/>
  <c r="D329" i="18"/>
  <c r="C329" i="18"/>
  <c r="B329" i="18"/>
  <c r="A329" i="18"/>
  <c r="D328" i="18"/>
  <c r="C328" i="18"/>
  <c r="B328" i="18"/>
  <c r="A328" i="18"/>
  <c r="D327" i="18"/>
  <c r="C327" i="18"/>
  <c r="B327" i="18"/>
  <c r="A327" i="18"/>
  <c r="D326" i="18"/>
  <c r="C326" i="18"/>
  <c r="B326" i="18"/>
  <c r="A326" i="18"/>
  <c r="D325" i="18"/>
  <c r="C325" i="18"/>
  <c r="B325" i="18"/>
  <c r="A325" i="18"/>
  <c r="D324" i="18"/>
  <c r="C324" i="18"/>
  <c r="B324" i="18"/>
  <c r="A324" i="18"/>
  <c r="D323" i="18"/>
  <c r="C323" i="18"/>
  <c r="B323" i="18"/>
  <c r="A323" i="18"/>
  <c r="D322" i="18"/>
  <c r="C322" i="18"/>
  <c r="B322" i="18"/>
  <c r="A322" i="18"/>
  <c r="D321" i="18"/>
  <c r="C321" i="18"/>
  <c r="B321" i="18"/>
  <c r="A321" i="18"/>
  <c r="D320" i="18"/>
  <c r="C320" i="18"/>
  <c r="B320" i="18"/>
  <c r="A320" i="18"/>
  <c r="D319" i="18"/>
  <c r="C319" i="18"/>
  <c r="B319" i="18"/>
  <c r="A319" i="18"/>
  <c r="D318" i="18"/>
  <c r="C318" i="18"/>
  <c r="B318" i="18"/>
  <c r="A318" i="18"/>
  <c r="D317" i="18"/>
  <c r="C317" i="18"/>
  <c r="B317" i="18"/>
  <c r="A317" i="18"/>
  <c r="D316" i="18"/>
  <c r="C316" i="18"/>
  <c r="B316" i="18"/>
  <c r="A316" i="18"/>
  <c r="D315" i="18"/>
  <c r="C315" i="18"/>
  <c r="B315" i="18"/>
  <c r="A315" i="18"/>
  <c r="D314" i="18"/>
  <c r="C314" i="18"/>
  <c r="B314" i="18"/>
  <c r="A314" i="18"/>
  <c r="D313" i="18"/>
  <c r="C313" i="18"/>
  <c r="B313" i="18"/>
  <c r="A313" i="18"/>
  <c r="D312" i="18"/>
  <c r="C312" i="18"/>
  <c r="B312" i="18"/>
  <c r="A312" i="18"/>
  <c r="D311" i="18"/>
  <c r="C311" i="18"/>
  <c r="B311" i="18"/>
  <c r="A311" i="18"/>
  <c r="D310" i="18"/>
  <c r="C310" i="18"/>
  <c r="B310" i="18"/>
  <c r="A310" i="18"/>
  <c r="D309" i="18"/>
  <c r="C309" i="18"/>
  <c r="B309" i="18"/>
  <c r="A309" i="18"/>
  <c r="D308" i="18"/>
  <c r="C308" i="18"/>
  <c r="B308" i="18"/>
  <c r="A308" i="18"/>
  <c r="D307" i="18"/>
  <c r="C307" i="18"/>
  <c r="B307" i="18"/>
  <c r="A307" i="18"/>
  <c r="D306" i="18"/>
  <c r="C306" i="18"/>
  <c r="B306" i="18"/>
  <c r="A306" i="18"/>
  <c r="D305" i="18"/>
  <c r="C305" i="18"/>
  <c r="B305" i="18"/>
  <c r="A305" i="18"/>
  <c r="D304" i="18"/>
  <c r="C304" i="18"/>
  <c r="B304" i="18"/>
  <c r="A304" i="18"/>
  <c r="D303" i="18"/>
  <c r="C303" i="18"/>
  <c r="B303" i="18"/>
  <c r="A303" i="18"/>
  <c r="D302" i="18"/>
  <c r="C302" i="18"/>
  <c r="B302" i="18"/>
  <c r="A302" i="18"/>
  <c r="D301" i="18"/>
  <c r="C301" i="18"/>
  <c r="B301" i="18"/>
  <c r="A301" i="18"/>
  <c r="D300" i="18"/>
  <c r="C300" i="18"/>
  <c r="B300" i="18"/>
  <c r="A300" i="18"/>
  <c r="D299" i="18"/>
  <c r="C299" i="18"/>
  <c r="B299" i="18"/>
  <c r="A299" i="18"/>
  <c r="D298" i="18"/>
  <c r="C298" i="18"/>
  <c r="B298" i="18"/>
  <c r="A298" i="18"/>
  <c r="D297" i="18"/>
  <c r="C297" i="18"/>
  <c r="B297" i="18"/>
  <c r="A297" i="18"/>
  <c r="D296" i="18"/>
  <c r="C296" i="18"/>
  <c r="B296" i="18"/>
  <c r="A296" i="18"/>
  <c r="D295" i="18"/>
  <c r="C295" i="18"/>
  <c r="B295" i="18"/>
  <c r="A295" i="18"/>
  <c r="D294" i="18"/>
  <c r="C294" i="18"/>
  <c r="B294" i="18"/>
  <c r="A294" i="18"/>
  <c r="D293" i="18"/>
  <c r="C293" i="18"/>
  <c r="B293" i="18"/>
  <c r="A293" i="18"/>
  <c r="D292" i="18"/>
  <c r="C292" i="18"/>
  <c r="B292" i="18"/>
  <c r="A292" i="18"/>
  <c r="D291" i="18"/>
  <c r="C291" i="18"/>
  <c r="B291" i="18"/>
  <c r="A291" i="18"/>
  <c r="D290" i="18"/>
  <c r="C290" i="18"/>
  <c r="B290" i="18"/>
  <c r="A290" i="18"/>
  <c r="D289" i="18"/>
  <c r="C289" i="18"/>
  <c r="B289" i="18"/>
  <c r="A289" i="18"/>
  <c r="D288" i="18"/>
  <c r="C288" i="18"/>
  <c r="B288" i="18"/>
  <c r="A288" i="18"/>
  <c r="D287" i="18"/>
  <c r="C287" i="18"/>
  <c r="B287" i="18"/>
  <c r="A287" i="18"/>
  <c r="D286" i="18"/>
  <c r="C286" i="18"/>
  <c r="B286" i="18"/>
  <c r="A286" i="18"/>
  <c r="D285" i="18"/>
  <c r="C285" i="18"/>
  <c r="B285" i="18"/>
  <c r="A285" i="18"/>
  <c r="D284" i="18"/>
  <c r="C284" i="18"/>
  <c r="B284" i="18"/>
  <c r="A284" i="18"/>
  <c r="D283" i="18"/>
  <c r="C283" i="18"/>
  <c r="B283" i="18"/>
  <c r="A283" i="18"/>
  <c r="D282" i="18"/>
  <c r="C282" i="18"/>
  <c r="B282" i="18"/>
  <c r="A282" i="18"/>
  <c r="D281" i="18"/>
  <c r="C281" i="18"/>
  <c r="B281" i="18"/>
  <c r="A281" i="18"/>
  <c r="D280" i="18"/>
  <c r="C280" i="18"/>
  <c r="B280" i="18"/>
  <c r="A280" i="18"/>
  <c r="D279" i="18"/>
  <c r="C279" i="18"/>
  <c r="B279" i="18"/>
  <c r="A279" i="18"/>
  <c r="D278" i="18"/>
  <c r="C278" i="18"/>
  <c r="B278" i="18"/>
  <c r="A278" i="18"/>
  <c r="D277" i="18"/>
  <c r="C277" i="18"/>
  <c r="B277" i="18"/>
  <c r="A277" i="18"/>
  <c r="D276" i="18"/>
  <c r="C276" i="18"/>
  <c r="B276" i="18"/>
  <c r="A276" i="18"/>
  <c r="D275" i="18"/>
  <c r="C275" i="18"/>
  <c r="B275" i="18"/>
  <c r="A275" i="18"/>
  <c r="D274" i="18"/>
  <c r="C274" i="18"/>
  <c r="B274" i="18"/>
  <c r="A274" i="18"/>
  <c r="D273" i="18"/>
  <c r="C273" i="18"/>
  <c r="B273" i="18"/>
  <c r="A273" i="18"/>
  <c r="D272" i="18"/>
  <c r="C272" i="18"/>
  <c r="B272" i="18"/>
  <c r="A272" i="18"/>
  <c r="D271" i="18"/>
  <c r="C271" i="18"/>
  <c r="B271" i="18"/>
  <c r="A271" i="18"/>
  <c r="D270" i="18"/>
  <c r="C270" i="18"/>
  <c r="B270" i="18"/>
  <c r="A270" i="18"/>
  <c r="D269" i="18"/>
  <c r="C269" i="18"/>
  <c r="B269" i="18"/>
  <c r="A269" i="18"/>
  <c r="D268" i="18"/>
  <c r="C268" i="18"/>
  <c r="B268" i="18"/>
  <c r="A268" i="18"/>
  <c r="D267" i="18"/>
  <c r="C267" i="18"/>
  <c r="B267" i="18"/>
  <c r="A267" i="18"/>
  <c r="D266" i="18"/>
  <c r="C266" i="18"/>
  <c r="B266" i="18"/>
  <c r="A266" i="18"/>
  <c r="D265" i="18"/>
  <c r="C265" i="18"/>
  <c r="B265" i="18"/>
  <c r="A265" i="18"/>
  <c r="D264" i="18"/>
  <c r="C264" i="18"/>
  <c r="B264" i="18"/>
  <c r="A264" i="18"/>
  <c r="D263" i="18"/>
  <c r="C263" i="18"/>
  <c r="B263" i="18"/>
  <c r="A263" i="18"/>
  <c r="D262" i="18"/>
  <c r="C262" i="18"/>
  <c r="B262" i="18"/>
  <c r="A262" i="18"/>
  <c r="D261" i="18"/>
  <c r="C261" i="18"/>
  <c r="B261" i="18"/>
  <c r="A261" i="18"/>
  <c r="D260" i="18"/>
  <c r="C260" i="18"/>
  <c r="B260" i="18"/>
  <c r="A260" i="18"/>
  <c r="D259" i="18"/>
  <c r="C259" i="18"/>
  <c r="B259" i="18"/>
  <c r="A259" i="18"/>
  <c r="D258" i="18"/>
  <c r="C258" i="18"/>
  <c r="B258" i="18"/>
  <c r="A258" i="18"/>
  <c r="D257" i="18"/>
  <c r="C257" i="18"/>
  <c r="B257" i="18"/>
  <c r="A257" i="18"/>
  <c r="D256" i="18"/>
  <c r="C256" i="18"/>
  <c r="B256" i="18"/>
  <c r="A256" i="18"/>
  <c r="D255" i="18"/>
  <c r="C255" i="18"/>
  <c r="B255" i="18"/>
  <c r="A255" i="18"/>
  <c r="D254" i="18"/>
  <c r="C254" i="18"/>
  <c r="B254" i="18"/>
  <c r="A254" i="18"/>
  <c r="D253" i="18"/>
  <c r="C253" i="18"/>
  <c r="B253" i="18"/>
  <c r="A253" i="18"/>
  <c r="D252" i="18"/>
  <c r="C252" i="18"/>
  <c r="B252" i="18"/>
  <c r="A252" i="18"/>
  <c r="D251" i="18"/>
  <c r="C251" i="18"/>
  <c r="B251" i="18"/>
  <c r="A251" i="18"/>
  <c r="D250" i="18"/>
  <c r="C250" i="18"/>
  <c r="B250" i="18"/>
  <c r="A250" i="18"/>
  <c r="D249" i="18"/>
  <c r="C249" i="18"/>
  <c r="B249" i="18"/>
  <c r="A249" i="18"/>
  <c r="D248" i="18"/>
  <c r="C248" i="18"/>
  <c r="B248" i="18"/>
  <c r="A248" i="18"/>
  <c r="D247" i="18"/>
  <c r="C247" i="18"/>
  <c r="B247" i="18"/>
  <c r="A247" i="18"/>
  <c r="D246" i="18"/>
  <c r="C246" i="18"/>
  <c r="B246" i="18"/>
  <c r="A246" i="18"/>
  <c r="D245" i="18"/>
  <c r="C245" i="18"/>
  <c r="B245" i="18"/>
  <c r="A245" i="18"/>
  <c r="D244" i="18"/>
  <c r="C244" i="18"/>
  <c r="B244" i="18"/>
  <c r="A244" i="18"/>
  <c r="D243" i="18"/>
  <c r="C243" i="18"/>
  <c r="B243" i="18"/>
  <c r="A243" i="18"/>
  <c r="D242" i="18"/>
  <c r="C242" i="18"/>
  <c r="B242" i="18"/>
  <c r="A242" i="18"/>
  <c r="D241" i="18"/>
  <c r="C241" i="18"/>
  <c r="B241" i="18"/>
  <c r="A241" i="18"/>
  <c r="D240" i="18"/>
  <c r="C240" i="18"/>
  <c r="B240" i="18"/>
  <c r="A240" i="18"/>
  <c r="D239" i="18"/>
  <c r="C239" i="18"/>
  <c r="B239" i="18"/>
  <c r="A239" i="18"/>
  <c r="D238" i="18"/>
  <c r="C238" i="18"/>
  <c r="B238" i="18"/>
  <c r="A238" i="18"/>
  <c r="D237" i="18"/>
  <c r="C237" i="18"/>
  <c r="B237" i="18"/>
  <c r="A237" i="18"/>
  <c r="D236" i="18"/>
  <c r="C236" i="18"/>
  <c r="B236" i="18"/>
  <c r="A236" i="18"/>
  <c r="D235" i="18"/>
  <c r="C235" i="18"/>
  <c r="B235" i="18"/>
  <c r="A235" i="18"/>
  <c r="D234" i="18"/>
  <c r="C234" i="18"/>
  <c r="B234" i="18"/>
  <c r="A234" i="18"/>
  <c r="D233" i="18"/>
  <c r="C233" i="18"/>
  <c r="B233" i="18"/>
  <c r="A233" i="18"/>
  <c r="D232" i="18"/>
  <c r="C232" i="18"/>
  <c r="B232" i="18"/>
  <c r="A232" i="18"/>
  <c r="D231" i="18"/>
  <c r="C231" i="18"/>
  <c r="B231" i="18"/>
  <c r="A231" i="18"/>
  <c r="D230" i="18"/>
  <c r="C230" i="18"/>
  <c r="B230" i="18"/>
  <c r="A230" i="18"/>
  <c r="D229" i="18"/>
  <c r="C229" i="18"/>
  <c r="B229" i="18"/>
  <c r="A229" i="18"/>
  <c r="D228" i="18"/>
  <c r="C228" i="18"/>
  <c r="B228" i="18"/>
  <c r="A228" i="18"/>
  <c r="D227" i="18"/>
  <c r="C227" i="18"/>
  <c r="B227" i="18"/>
  <c r="A227" i="18"/>
  <c r="D226" i="18"/>
  <c r="C226" i="18"/>
  <c r="B226" i="18"/>
  <c r="A226" i="18"/>
  <c r="D225" i="18"/>
  <c r="C225" i="18"/>
  <c r="B225" i="18"/>
  <c r="A225" i="18"/>
  <c r="D224" i="18"/>
  <c r="C224" i="18"/>
  <c r="B224" i="18"/>
  <c r="A224" i="18"/>
  <c r="D223" i="18"/>
  <c r="C223" i="18"/>
  <c r="B223" i="18"/>
  <c r="A223" i="18"/>
  <c r="D222" i="18"/>
  <c r="C222" i="18"/>
  <c r="B222" i="18"/>
  <c r="A222" i="18"/>
  <c r="D221" i="18"/>
  <c r="C221" i="18"/>
  <c r="B221" i="18"/>
  <c r="A221" i="18"/>
  <c r="D220" i="18"/>
  <c r="C220" i="18"/>
  <c r="B220" i="18"/>
  <c r="A220" i="18"/>
  <c r="D219" i="18"/>
  <c r="C219" i="18"/>
  <c r="B219" i="18"/>
  <c r="A219" i="18"/>
  <c r="D218" i="18"/>
  <c r="C218" i="18"/>
  <c r="B218" i="18"/>
  <c r="A218" i="18"/>
  <c r="D217" i="18"/>
  <c r="C217" i="18"/>
  <c r="B217" i="18"/>
  <c r="A217" i="18"/>
  <c r="D216" i="18"/>
  <c r="C216" i="18"/>
  <c r="B216" i="18"/>
  <c r="A216" i="18"/>
  <c r="D215" i="18"/>
  <c r="C215" i="18"/>
  <c r="B215" i="18"/>
  <c r="A215" i="18"/>
  <c r="D214" i="18"/>
  <c r="C214" i="18"/>
  <c r="B214" i="18"/>
  <c r="A214" i="18"/>
  <c r="D213" i="18"/>
  <c r="C213" i="18"/>
  <c r="B213" i="18"/>
  <c r="A213" i="18"/>
  <c r="D212" i="18"/>
  <c r="C212" i="18"/>
  <c r="B212" i="18"/>
  <c r="A212" i="18"/>
  <c r="D211" i="18"/>
  <c r="C211" i="18"/>
  <c r="B211" i="18"/>
  <c r="A211" i="18"/>
  <c r="D210" i="18"/>
  <c r="C210" i="18"/>
  <c r="B210" i="18"/>
  <c r="A210" i="18"/>
  <c r="D209" i="18"/>
  <c r="C209" i="18"/>
  <c r="B209" i="18"/>
  <c r="A209" i="18"/>
  <c r="D208" i="18"/>
  <c r="C208" i="18"/>
  <c r="B208" i="18"/>
  <c r="A208" i="18"/>
  <c r="D207" i="18"/>
  <c r="C207" i="18"/>
  <c r="B207" i="18"/>
  <c r="A207" i="18"/>
  <c r="D206" i="18"/>
  <c r="C206" i="18"/>
  <c r="B206" i="18"/>
  <c r="A206" i="18"/>
  <c r="D205" i="18"/>
  <c r="C205" i="18"/>
  <c r="B205" i="18"/>
  <c r="A205" i="18"/>
  <c r="D204" i="18"/>
  <c r="C204" i="18"/>
  <c r="B204" i="18"/>
  <c r="A204" i="18"/>
  <c r="D203" i="18"/>
  <c r="C203" i="18"/>
  <c r="B203" i="18"/>
  <c r="A203" i="18"/>
  <c r="D202" i="18"/>
  <c r="C202" i="18"/>
  <c r="B202" i="18"/>
  <c r="A202" i="18"/>
  <c r="D201" i="18"/>
  <c r="C201" i="18"/>
  <c r="B201" i="18"/>
  <c r="A201" i="18"/>
  <c r="D200" i="18"/>
  <c r="C200" i="18"/>
  <c r="B200" i="18"/>
  <c r="A200" i="18"/>
  <c r="D199" i="18"/>
  <c r="C199" i="18"/>
  <c r="B199" i="18"/>
  <c r="A199" i="18"/>
  <c r="D198" i="18"/>
  <c r="C198" i="18"/>
  <c r="B198" i="18"/>
  <c r="A198" i="18"/>
  <c r="D197" i="18"/>
  <c r="C197" i="18"/>
  <c r="B197" i="18"/>
  <c r="A197" i="18"/>
  <c r="D196" i="18"/>
  <c r="C196" i="18"/>
  <c r="B196" i="18"/>
  <c r="A196" i="18"/>
  <c r="D195" i="18"/>
  <c r="C195" i="18"/>
  <c r="B195" i="18"/>
  <c r="A195" i="18"/>
  <c r="D194" i="18"/>
  <c r="C194" i="18"/>
  <c r="B194" i="18"/>
  <c r="A194" i="18"/>
  <c r="D193" i="18"/>
  <c r="C193" i="18"/>
  <c r="B193" i="18"/>
  <c r="A193" i="18"/>
  <c r="D192" i="18"/>
  <c r="C192" i="18"/>
  <c r="B192" i="18"/>
  <c r="A192" i="18"/>
  <c r="D191" i="18"/>
  <c r="C191" i="18"/>
  <c r="B191" i="18"/>
  <c r="A191" i="18"/>
  <c r="D190" i="18"/>
  <c r="C190" i="18"/>
  <c r="B190" i="18"/>
  <c r="A190" i="18"/>
  <c r="D189" i="18"/>
  <c r="C189" i="18"/>
  <c r="B189" i="18"/>
  <c r="A189" i="18"/>
  <c r="D188" i="18"/>
  <c r="C188" i="18"/>
  <c r="B188" i="18"/>
  <c r="A188" i="18"/>
  <c r="D187" i="18"/>
  <c r="C187" i="18"/>
  <c r="B187" i="18"/>
  <c r="A187" i="18"/>
  <c r="D186" i="18"/>
  <c r="C186" i="18"/>
  <c r="B186" i="18"/>
  <c r="A186" i="18"/>
  <c r="D185" i="18"/>
  <c r="C185" i="18"/>
  <c r="B185" i="18"/>
  <c r="A185" i="18"/>
  <c r="D184" i="18"/>
  <c r="C184" i="18"/>
  <c r="B184" i="18"/>
  <c r="A184" i="18"/>
  <c r="D183" i="18"/>
  <c r="C183" i="18"/>
  <c r="B183" i="18"/>
  <c r="A183" i="18"/>
  <c r="D182" i="18"/>
  <c r="C182" i="18"/>
  <c r="B182" i="18"/>
  <c r="A182" i="18"/>
  <c r="D181" i="18"/>
  <c r="C181" i="18"/>
  <c r="B181" i="18"/>
  <c r="A181" i="18"/>
  <c r="D180" i="18"/>
  <c r="C180" i="18"/>
  <c r="B180" i="18"/>
  <c r="A180" i="18"/>
  <c r="D179" i="18"/>
  <c r="C179" i="18"/>
  <c r="B179" i="18"/>
  <c r="A179" i="18"/>
  <c r="D178" i="18"/>
  <c r="C178" i="18"/>
  <c r="B178" i="18"/>
  <c r="A178" i="18"/>
  <c r="D177" i="18"/>
  <c r="C177" i="18"/>
  <c r="B177" i="18"/>
  <c r="A177" i="18"/>
  <c r="D176" i="18"/>
  <c r="C176" i="18"/>
  <c r="B176" i="18"/>
  <c r="A176" i="18"/>
  <c r="D175" i="18"/>
  <c r="C175" i="18"/>
  <c r="B175" i="18"/>
  <c r="A175" i="18"/>
  <c r="D174" i="18"/>
  <c r="C174" i="18"/>
  <c r="B174" i="18"/>
  <c r="A174" i="18"/>
  <c r="D173" i="18"/>
  <c r="C173" i="18"/>
  <c r="B173" i="18"/>
  <c r="A173" i="18"/>
  <c r="D172" i="18"/>
  <c r="C172" i="18"/>
  <c r="B172" i="18"/>
  <c r="A172" i="18"/>
  <c r="D171" i="18"/>
  <c r="C171" i="18"/>
  <c r="B171" i="18"/>
  <c r="A171" i="18"/>
  <c r="D170" i="18"/>
  <c r="C170" i="18"/>
  <c r="B170" i="18"/>
  <c r="A170" i="18"/>
  <c r="D169" i="18"/>
  <c r="C169" i="18"/>
  <c r="B169" i="18"/>
  <c r="A169" i="18"/>
  <c r="D168" i="18"/>
  <c r="C168" i="18"/>
  <c r="B168" i="18"/>
  <c r="A168" i="18"/>
  <c r="D167" i="18"/>
  <c r="C167" i="18"/>
  <c r="B167" i="18"/>
  <c r="A167" i="18"/>
  <c r="D166" i="18"/>
  <c r="C166" i="18"/>
  <c r="B166" i="18"/>
  <c r="A166" i="18"/>
  <c r="D165" i="18"/>
  <c r="C165" i="18"/>
  <c r="B165" i="18"/>
  <c r="A165" i="18"/>
  <c r="D164" i="18"/>
  <c r="C164" i="18"/>
  <c r="B164" i="18"/>
  <c r="A164" i="18"/>
  <c r="D163" i="18"/>
  <c r="C163" i="18"/>
  <c r="B163" i="18"/>
  <c r="A163" i="18"/>
  <c r="D162" i="18"/>
  <c r="C162" i="18"/>
  <c r="B162" i="18"/>
  <c r="A162" i="18"/>
  <c r="D161" i="18"/>
  <c r="C161" i="18"/>
  <c r="B161" i="18"/>
  <c r="A161" i="18"/>
  <c r="D160" i="18"/>
  <c r="C160" i="18"/>
  <c r="B160" i="18"/>
  <c r="A160" i="18"/>
  <c r="D159" i="18"/>
  <c r="C159" i="18"/>
  <c r="B159" i="18"/>
  <c r="A159" i="18"/>
  <c r="D158" i="18"/>
  <c r="C158" i="18"/>
  <c r="B158" i="18"/>
  <c r="A158" i="18"/>
  <c r="D157" i="18"/>
  <c r="C157" i="18"/>
  <c r="B157" i="18"/>
  <c r="A157" i="18"/>
  <c r="D156" i="18"/>
  <c r="C156" i="18"/>
  <c r="B156" i="18"/>
  <c r="A156" i="18"/>
  <c r="D155" i="18"/>
  <c r="C155" i="18"/>
  <c r="B155" i="18"/>
  <c r="A155" i="18"/>
  <c r="D154" i="18"/>
  <c r="C154" i="18"/>
  <c r="B154" i="18"/>
  <c r="A154" i="18"/>
  <c r="D153" i="18"/>
  <c r="C153" i="18"/>
  <c r="B153" i="18"/>
  <c r="A153" i="18"/>
  <c r="D152" i="18"/>
  <c r="C152" i="18"/>
  <c r="B152" i="18"/>
  <c r="A152" i="18"/>
  <c r="D151" i="18"/>
  <c r="C151" i="18"/>
  <c r="B151" i="18"/>
  <c r="A151" i="18"/>
  <c r="D150" i="18"/>
  <c r="C150" i="18"/>
  <c r="B150" i="18"/>
  <c r="A150" i="18"/>
  <c r="D149" i="18"/>
  <c r="C149" i="18"/>
  <c r="B149" i="18"/>
  <c r="A149" i="18"/>
  <c r="D148" i="18"/>
  <c r="C148" i="18"/>
  <c r="B148" i="18"/>
  <c r="A148" i="18"/>
  <c r="D147" i="18"/>
  <c r="C147" i="18"/>
  <c r="B147" i="18"/>
  <c r="A147" i="18"/>
  <c r="D146" i="18"/>
  <c r="C146" i="18"/>
  <c r="B146" i="18"/>
  <c r="A146" i="18"/>
  <c r="D145" i="18"/>
  <c r="C145" i="18"/>
  <c r="B145" i="18"/>
  <c r="A145" i="18"/>
  <c r="D144" i="18"/>
  <c r="C144" i="18"/>
  <c r="B144" i="18"/>
  <c r="A144" i="18"/>
  <c r="D143" i="18"/>
  <c r="C143" i="18"/>
  <c r="B143" i="18"/>
  <c r="A143" i="18"/>
  <c r="D142" i="18"/>
  <c r="C142" i="18"/>
  <c r="B142" i="18"/>
  <c r="A142" i="18"/>
  <c r="D141" i="18"/>
  <c r="C141" i="18"/>
  <c r="B141" i="18"/>
  <c r="A141" i="18"/>
  <c r="D140" i="18"/>
  <c r="C140" i="18"/>
  <c r="B140" i="18"/>
  <c r="A140" i="18"/>
  <c r="D139" i="18"/>
  <c r="C139" i="18"/>
  <c r="B139" i="18"/>
  <c r="A139" i="18"/>
  <c r="D138" i="18"/>
  <c r="C138" i="18"/>
  <c r="B138" i="18"/>
  <c r="A138" i="18"/>
  <c r="D137" i="18"/>
  <c r="C137" i="18"/>
  <c r="B137" i="18"/>
  <c r="A137" i="18"/>
  <c r="D136" i="18"/>
  <c r="C136" i="18"/>
  <c r="B136" i="18"/>
  <c r="A136" i="18"/>
  <c r="D135" i="18"/>
  <c r="C135" i="18"/>
  <c r="B135" i="18"/>
  <c r="A135" i="18"/>
  <c r="D134" i="18"/>
  <c r="C134" i="18"/>
  <c r="B134" i="18"/>
  <c r="A134" i="18"/>
  <c r="D133" i="18"/>
  <c r="C133" i="18"/>
  <c r="B133" i="18"/>
  <c r="A133" i="18"/>
  <c r="D132" i="18"/>
  <c r="C132" i="18"/>
  <c r="B132" i="18"/>
  <c r="A132" i="18"/>
  <c r="D131" i="18"/>
  <c r="C131" i="18"/>
  <c r="B131" i="18"/>
  <c r="A131" i="18"/>
  <c r="D130" i="18"/>
  <c r="C130" i="18"/>
  <c r="B130" i="18"/>
  <c r="A130" i="18"/>
  <c r="D129" i="18"/>
  <c r="C129" i="18"/>
  <c r="B129" i="18"/>
  <c r="A129" i="18"/>
  <c r="D128" i="18"/>
  <c r="C128" i="18"/>
  <c r="B128" i="18"/>
  <c r="A128" i="18"/>
  <c r="D127" i="18"/>
  <c r="C127" i="18"/>
  <c r="B127" i="18"/>
  <c r="A127" i="18"/>
  <c r="D126" i="18"/>
  <c r="C126" i="18"/>
  <c r="B126" i="18"/>
  <c r="A126" i="18"/>
  <c r="D125" i="18"/>
  <c r="C125" i="18"/>
  <c r="B125" i="18"/>
  <c r="A125" i="18"/>
  <c r="D124" i="18"/>
  <c r="C124" i="18"/>
  <c r="B124" i="18"/>
  <c r="A124" i="18"/>
  <c r="D123" i="18"/>
  <c r="C123" i="18"/>
  <c r="B123" i="18"/>
  <c r="A123" i="18"/>
  <c r="D122" i="18"/>
  <c r="C122" i="18"/>
  <c r="B122" i="18"/>
  <c r="A122" i="18"/>
  <c r="D121" i="18"/>
  <c r="C121" i="18"/>
  <c r="B121" i="18"/>
  <c r="A121" i="18"/>
  <c r="D120" i="18"/>
  <c r="C120" i="18"/>
  <c r="B120" i="18"/>
  <c r="A120" i="18"/>
  <c r="D119" i="18"/>
  <c r="C119" i="18"/>
  <c r="B119" i="18"/>
  <c r="A119" i="18"/>
  <c r="D118" i="18"/>
  <c r="C118" i="18"/>
  <c r="B118" i="18"/>
  <c r="A118" i="18"/>
  <c r="D117" i="18"/>
  <c r="C117" i="18"/>
  <c r="B117" i="18"/>
  <c r="A117" i="18"/>
  <c r="D116" i="18"/>
  <c r="C116" i="18"/>
  <c r="B116" i="18"/>
  <c r="A116" i="18"/>
  <c r="D115" i="18"/>
  <c r="C115" i="18"/>
  <c r="B115" i="18"/>
  <c r="A115" i="18"/>
  <c r="D114" i="18"/>
  <c r="C114" i="18"/>
  <c r="B114" i="18"/>
  <c r="A114" i="18"/>
  <c r="D113" i="18"/>
  <c r="C113" i="18"/>
  <c r="B113" i="18"/>
  <c r="A113" i="18"/>
  <c r="D112" i="18"/>
  <c r="C112" i="18"/>
  <c r="B112" i="18"/>
  <c r="A112" i="18"/>
  <c r="D111" i="18"/>
  <c r="C111" i="18"/>
  <c r="B111" i="18"/>
  <c r="A111" i="18"/>
  <c r="D110" i="18"/>
  <c r="C110" i="18"/>
  <c r="B110" i="18"/>
  <c r="A110" i="18"/>
  <c r="D109" i="18"/>
  <c r="C109" i="18"/>
  <c r="B109" i="18"/>
  <c r="A109" i="18"/>
  <c r="D108" i="18"/>
  <c r="C108" i="18"/>
  <c r="B108" i="18"/>
  <c r="A108" i="18"/>
  <c r="D107" i="18"/>
  <c r="C107" i="18"/>
  <c r="B107" i="18"/>
  <c r="A107" i="18"/>
  <c r="D106" i="18"/>
  <c r="C106" i="18"/>
  <c r="B106" i="18"/>
  <c r="A106" i="18"/>
  <c r="D105" i="18"/>
  <c r="C105" i="18"/>
  <c r="B105" i="18"/>
  <c r="A105" i="18"/>
  <c r="D104" i="18"/>
  <c r="C104" i="18"/>
  <c r="B104" i="18"/>
  <c r="A104" i="18"/>
  <c r="D103" i="18"/>
  <c r="C103" i="18"/>
  <c r="B103" i="18"/>
  <c r="A103" i="18"/>
  <c r="D102" i="18"/>
  <c r="C102" i="18"/>
  <c r="B102" i="18"/>
  <c r="A102" i="18"/>
  <c r="D101" i="18"/>
  <c r="C101" i="18"/>
  <c r="B101" i="18"/>
  <c r="A101" i="18"/>
  <c r="D100" i="18"/>
  <c r="C100" i="18"/>
  <c r="B100" i="18"/>
  <c r="A100" i="18"/>
  <c r="D99" i="18"/>
  <c r="C99" i="18"/>
  <c r="B99" i="18"/>
  <c r="A99" i="18"/>
  <c r="D98" i="18"/>
  <c r="C98" i="18"/>
  <c r="B98" i="18"/>
  <c r="A98" i="18"/>
  <c r="D97" i="18"/>
  <c r="C97" i="18"/>
  <c r="B97" i="18"/>
  <c r="A97" i="18"/>
  <c r="D96" i="18"/>
  <c r="C96" i="18"/>
  <c r="B96" i="18"/>
  <c r="A96" i="18"/>
  <c r="D95" i="18"/>
  <c r="C95" i="18"/>
  <c r="B95" i="18"/>
  <c r="A95" i="18"/>
  <c r="D94" i="18"/>
  <c r="C94" i="18"/>
  <c r="B94" i="18"/>
  <c r="A94" i="18"/>
  <c r="D93" i="18"/>
  <c r="C93" i="18"/>
  <c r="B93" i="18"/>
  <c r="A93" i="18"/>
  <c r="D92" i="18"/>
  <c r="C92" i="18"/>
  <c r="B92" i="18"/>
  <c r="A92" i="18"/>
  <c r="D91" i="18"/>
  <c r="C91" i="18"/>
  <c r="B91" i="18"/>
  <c r="A91" i="18"/>
  <c r="D90" i="18"/>
  <c r="C90" i="18"/>
  <c r="B90" i="18"/>
  <c r="A90" i="18"/>
  <c r="D89" i="18"/>
  <c r="C89" i="18"/>
  <c r="B89" i="18"/>
  <c r="A89" i="18"/>
  <c r="D88" i="18"/>
  <c r="C88" i="18"/>
  <c r="B88" i="18"/>
  <c r="A88" i="18"/>
  <c r="D87" i="18"/>
  <c r="C87" i="18"/>
  <c r="B87" i="18"/>
  <c r="A87" i="18"/>
  <c r="D86" i="18"/>
  <c r="C86" i="18"/>
  <c r="B86" i="18"/>
  <c r="A86" i="18"/>
  <c r="D85" i="18"/>
  <c r="C85" i="18"/>
  <c r="B85" i="18"/>
  <c r="A85" i="18"/>
  <c r="D84" i="18"/>
  <c r="C84" i="18"/>
  <c r="B84" i="18"/>
  <c r="A84" i="18"/>
  <c r="D83" i="18"/>
  <c r="C83" i="18"/>
  <c r="B83" i="18"/>
  <c r="A83" i="18"/>
  <c r="D82" i="18"/>
  <c r="C82" i="18"/>
  <c r="B82" i="18"/>
  <c r="A82" i="18"/>
  <c r="D81" i="18"/>
  <c r="C81" i="18"/>
  <c r="B81" i="18"/>
  <c r="A81" i="18"/>
  <c r="D80" i="18"/>
  <c r="C80" i="18"/>
  <c r="B80" i="18"/>
  <c r="A80" i="18"/>
  <c r="D79" i="18"/>
  <c r="C79" i="18"/>
  <c r="B79" i="18"/>
  <c r="A79" i="18"/>
  <c r="D78" i="18"/>
  <c r="C78" i="18"/>
  <c r="B78" i="18"/>
  <c r="A78" i="18"/>
  <c r="D77" i="18"/>
  <c r="C77" i="18"/>
  <c r="B77" i="18"/>
  <c r="A77" i="18"/>
  <c r="D76" i="18"/>
  <c r="C76" i="18"/>
  <c r="B76" i="18"/>
  <c r="A76" i="18"/>
  <c r="D75" i="18"/>
  <c r="C75" i="18"/>
  <c r="B75" i="18"/>
  <c r="A75" i="18"/>
  <c r="D74" i="18"/>
  <c r="C74" i="18"/>
  <c r="B74" i="18"/>
  <c r="A74" i="18"/>
  <c r="D73" i="18"/>
  <c r="C73" i="18"/>
  <c r="B73" i="18"/>
  <c r="A73" i="18"/>
  <c r="D72" i="18"/>
  <c r="C72" i="18"/>
  <c r="B72" i="18"/>
  <c r="A72" i="18"/>
  <c r="D71" i="18"/>
  <c r="C71" i="18"/>
  <c r="B71" i="18"/>
  <c r="A71" i="18"/>
  <c r="D70" i="18"/>
  <c r="C70" i="18"/>
  <c r="B70" i="18"/>
  <c r="A70" i="18"/>
  <c r="D69" i="18"/>
  <c r="C69" i="18"/>
  <c r="B69" i="18"/>
  <c r="A69" i="18"/>
  <c r="D68" i="18"/>
  <c r="C68" i="18"/>
  <c r="B68" i="18"/>
  <c r="A68" i="18"/>
  <c r="D67" i="18"/>
  <c r="C67" i="18"/>
  <c r="B67" i="18"/>
  <c r="A67" i="18"/>
  <c r="D66" i="18"/>
  <c r="C66" i="18"/>
  <c r="B66" i="18"/>
  <c r="A66" i="18"/>
  <c r="D65" i="18"/>
  <c r="C65" i="18"/>
  <c r="B65" i="18"/>
  <c r="A65" i="18"/>
  <c r="D64" i="18"/>
  <c r="C64" i="18"/>
  <c r="B64" i="18"/>
  <c r="A64" i="18"/>
  <c r="D63" i="18"/>
  <c r="C63" i="18"/>
  <c r="B63" i="18"/>
  <c r="A63" i="18"/>
  <c r="D62" i="18"/>
  <c r="C62" i="18"/>
  <c r="B62" i="18"/>
  <c r="A62" i="18"/>
  <c r="D61" i="18"/>
  <c r="C61" i="18"/>
  <c r="B61" i="18"/>
  <c r="A61" i="18"/>
  <c r="D60" i="18"/>
  <c r="C60" i="18"/>
  <c r="B60" i="18"/>
  <c r="A60" i="18"/>
  <c r="D59" i="18"/>
  <c r="C59" i="18"/>
  <c r="B59" i="18"/>
  <c r="A59" i="18"/>
  <c r="D58" i="18"/>
  <c r="C58" i="18"/>
  <c r="B58" i="18"/>
  <c r="A58" i="18"/>
  <c r="D57" i="18"/>
  <c r="C57" i="18"/>
  <c r="B57" i="18"/>
  <c r="A57" i="18"/>
  <c r="D56" i="18"/>
  <c r="C56" i="18"/>
  <c r="B56" i="18"/>
  <c r="A56" i="18"/>
  <c r="D55" i="18"/>
  <c r="C55" i="18"/>
  <c r="B55" i="18"/>
  <c r="A55" i="18"/>
  <c r="D54" i="18"/>
  <c r="C54" i="18"/>
  <c r="B54" i="18"/>
  <c r="A54" i="18"/>
  <c r="D53" i="18"/>
  <c r="C53" i="18"/>
  <c r="B53" i="18"/>
  <c r="A53" i="18"/>
  <c r="D52" i="18"/>
  <c r="C52" i="18"/>
  <c r="B52" i="18"/>
  <c r="A52" i="18"/>
  <c r="D51" i="18"/>
  <c r="C51" i="18"/>
  <c r="B51" i="18"/>
  <c r="A51" i="18"/>
  <c r="D50" i="18"/>
  <c r="C50" i="18"/>
  <c r="B50" i="18"/>
  <c r="A50" i="18"/>
  <c r="D49" i="18"/>
  <c r="C49" i="18"/>
  <c r="B49" i="18"/>
  <c r="A49" i="18"/>
  <c r="D48" i="18"/>
  <c r="C48" i="18"/>
  <c r="B48" i="18"/>
  <c r="A48" i="18"/>
  <c r="D47" i="18"/>
  <c r="C47" i="18"/>
  <c r="B47" i="18"/>
  <c r="A47" i="18"/>
  <c r="D46" i="18"/>
  <c r="C46" i="18"/>
  <c r="B46" i="18"/>
  <c r="A46" i="18"/>
  <c r="D45" i="18"/>
  <c r="C45" i="18"/>
  <c r="B45" i="18"/>
  <c r="A45" i="18"/>
  <c r="D44" i="18"/>
  <c r="C44" i="18"/>
  <c r="B44" i="18"/>
  <c r="A44" i="18"/>
  <c r="D43" i="18"/>
  <c r="C43" i="18"/>
  <c r="B43" i="18"/>
  <c r="A43" i="18"/>
  <c r="D42" i="18"/>
  <c r="C42" i="18"/>
  <c r="B42" i="18"/>
  <c r="A42" i="18"/>
  <c r="D41" i="18"/>
  <c r="C41" i="18"/>
  <c r="B41" i="18"/>
  <c r="A41" i="18"/>
  <c r="D40" i="18"/>
  <c r="C40" i="18"/>
  <c r="B40" i="18"/>
  <c r="A40" i="18"/>
  <c r="D39" i="18"/>
  <c r="C39" i="18"/>
  <c r="B39" i="18"/>
  <c r="A39" i="18"/>
  <c r="D38" i="18"/>
  <c r="C38" i="18"/>
  <c r="B38" i="18"/>
  <c r="A38" i="18"/>
  <c r="D37" i="18"/>
  <c r="C37" i="18"/>
  <c r="B37" i="18"/>
  <c r="A37" i="18"/>
  <c r="D36" i="18"/>
  <c r="C36" i="18"/>
  <c r="B36" i="18"/>
  <c r="A36" i="18"/>
  <c r="D35" i="18"/>
  <c r="C35" i="18"/>
  <c r="B35" i="18"/>
  <c r="A35" i="18"/>
  <c r="D34" i="18"/>
  <c r="C34" i="18"/>
  <c r="B34" i="18"/>
  <c r="A34" i="18"/>
  <c r="D33" i="18"/>
  <c r="C33" i="18"/>
  <c r="B33" i="18"/>
  <c r="A33" i="18"/>
  <c r="D32" i="18"/>
  <c r="C32" i="18"/>
  <c r="B32" i="18"/>
  <c r="A32" i="18"/>
  <c r="D31" i="18"/>
  <c r="C31" i="18"/>
  <c r="B31" i="18"/>
  <c r="A31" i="18"/>
  <c r="D30" i="18"/>
  <c r="C30" i="18"/>
  <c r="B30" i="18"/>
  <c r="A30" i="18"/>
  <c r="D29" i="18"/>
  <c r="C29" i="18"/>
  <c r="B29" i="18"/>
  <c r="A29" i="18"/>
  <c r="D28" i="18"/>
  <c r="C28" i="18"/>
  <c r="B28" i="18"/>
  <c r="A28" i="18"/>
  <c r="D27" i="18"/>
  <c r="C27" i="18"/>
  <c r="B27" i="18"/>
  <c r="A27" i="18"/>
  <c r="D26" i="18"/>
  <c r="C26" i="18"/>
  <c r="B26" i="18"/>
  <c r="A26" i="18"/>
  <c r="D25" i="18"/>
  <c r="C25" i="18"/>
  <c r="B25" i="18"/>
  <c r="A25" i="18"/>
  <c r="D24" i="18"/>
  <c r="C24" i="18"/>
  <c r="B24" i="18"/>
  <c r="A24" i="18"/>
  <c r="D23" i="18"/>
  <c r="C23" i="18"/>
  <c r="B23" i="18"/>
  <c r="A23" i="18"/>
  <c r="D22" i="18"/>
  <c r="C22" i="18"/>
  <c r="B22" i="18"/>
  <c r="A22" i="18"/>
  <c r="D21" i="18"/>
  <c r="C21" i="18"/>
  <c r="B21" i="18"/>
  <c r="A21" i="18"/>
  <c r="D20" i="18"/>
  <c r="C20" i="18"/>
  <c r="B20" i="18"/>
  <c r="A20" i="18"/>
  <c r="D19" i="18"/>
  <c r="C19" i="18"/>
  <c r="B19" i="18"/>
  <c r="A19" i="18"/>
  <c r="D18" i="18"/>
  <c r="C18" i="18"/>
  <c r="B18" i="18"/>
  <c r="A18" i="18"/>
  <c r="D17" i="18"/>
  <c r="C17" i="18"/>
  <c r="B17" i="18"/>
  <c r="A17" i="18"/>
  <c r="D16" i="18"/>
  <c r="C16" i="18"/>
  <c r="B16" i="18"/>
  <c r="A16" i="18"/>
  <c r="D15" i="18"/>
  <c r="C15" i="18"/>
  <c r="B15" i="18"/>
  <c r="A15" i="18"/>
  <c r="D14" i="18"/>
  <c r="C14" i="18"/>
  <c r="B14" i="18"/>
  <c r="A14" i="18"/>
  <c r="D13" i="18"/>
  <c r="C13" i="18"/>
  <c r="B13" i="18"/>
  <c r="A13" i="18"/>
  <c r="D12" i="18"/>
  <c r="C12" i="18"/>
  <c r="B12" i="18"/>
  <c r="A12" i="18"/>
  <c r="D11" i="18"/>
  <c r="C11" i="18"/>
  <c r="B11" i="18"/>
  <c r="A11" i="18"/>
  <c r="D10" i="18"/>
  <c r="C10" i="18"/>
  <c r="B10" i="18"/>
  <c r="A10" i="18"/>
  <c r="D9" i="18"/>
  <c r="C9" i="18"/>
  <c r="B9" i="18"/>
  <c r="A9" i="18"/>
  <c r="D8" i="18"/>
  <c r="C8" i="18"/>
  <c r="B8" i="18"/>
  <c r="A8" i="18"/>
  <c r="D7" i="18"/>
  <c r="C7" i="18"/>
  <c r="B7" i="18"/>
  <c r="A7" i="18"/>
  <c r="D6" i="18"/>
  <c r="C6" i="18"/>
  <c r="B6" i="18"/>
  <c r="A6" i="18"/>
  <c r="D5" i="18"/>
  <c r="C5" i="18"/>
  <c r="B5" i="18"/>
  <c r="A5" i="18"/>
  <c r="D4" i="18"/>
  <c r="C4" i="18"/>
  <c r="B4" i="18"/>
  <c r="A4" i="18"/>
  <c r="D3" i="18"/>
  <c r="C3" i="18"/>
  <c r="B3" i="18"/>
  <c r="A3" i="18"/>
  <c r="D2" i="18"/>
  <c r="C2" i="18"/>
  <c r="B2" i="18"/>
  <c r="A2" i="18"/>
  <c r="N3" i="3" l="1"/>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2" i="3"/>
  <c r="U634" i="3"/>
  <c r="R3" i="3" l="1"/>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2" i="3"/>
</calcChain>
</file>

<file path=xl/sharedStrings.xml><?xml version="1.0" encoding="utf-8"?>
<sst xmlns="http://schemas.openxmlformats.org/spreadsheetml/2006/main" count="12541" uniqueCount="1489">
  <si>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</si>
  <si>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</si>
  <si>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</si>
  <si>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</si>
  <si>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</si>
  <si>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</si>
  <si>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</si>
  <si>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</si>
  <si>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</si>
  <si>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</si>
  <si>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</si>
  <si>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</si>
  <si>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</si>
  <si>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</si>
  <si>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</si>
  <si>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</si>
  <si>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</si>
  <si>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</si>
  <si>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</si>
  <si>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</si>
  <si>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</si>
  <si>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</si>
  <si>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</si>
  <si>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</si>
  <si>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</si>
  <si>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</si>
  <si>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</si>
  <si>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</si>
  <si>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</si>
  <si>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</si>
  <si>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</si>
  <si>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</si>
  <si>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</si>
  <si>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</si>
  <si>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</si>
  <si>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</si>
  <si>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</si>
  <si>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</si>
  <si>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</si>
  <si>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</si>
  <si>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</si>
  <si>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</si>
  <si>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</si>
  <si>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</si>
  <si>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</si>
  <si>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</si>
  <si>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</si>
  <si>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</si>
  <si>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</si>
  <si>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</si>
  <si>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</si>
  <si>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</si>
  <si>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</si>
  <si>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</si>
  <si>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</si>
  <si>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</si>
  <si>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</si>
  <si>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</si>
  <si>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</si>
  <si>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</si>
  <si>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</si>
  <si>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</si>
  <si>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</si>
  <si>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</si>
  <si>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</si>
  <si>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</si>
  <si>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</si>
  <si>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</si>
  <si>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</si>
  <si>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</si>
  <si>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</si>
  <si>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</si>
  <si>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</si>
  <si>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</si>
  <si>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</si>
  <si>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</si>
  <si>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</si>
  <si>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</si>
  <si>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</si>
  <si>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</si>
  <si>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</si>
  <si>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</si>
  <si>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</si>
  <si>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</si>
  <si>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</si>
  <si>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</si>
  <si>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</si>
  <si>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</si>
  <si>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</si>
  <si>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</si>
  <si>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</si>
  <si>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</si>
  <si>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</si>
  <si>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</si>
  <si>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</si>
  <si>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</si>
  <si>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</si>
  <si>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</si>
  <si>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</si>
  <si>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</si>
  <si>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</si>
  <si>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</si>
  <si>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</si>
  <si>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</si>
  <si>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</si>
  <si>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</si>
  <si>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</si>
  <si>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</si>
  <si>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</si>
  <si>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</si>
  <si>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</si>
  <si>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</si>
  <si>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</si>
  <si>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</si>
  <si>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</si>
  <si>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</si>
  <si>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</si>
  <si>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</si>
  <si>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</si>
  <si>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</si>
  <si>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</si>
  <si>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</si>
  <si>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</si>
  <si>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</si>
  <si>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</si>
  <si>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</si>
  <si>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</si>
  <si>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</si>
  <si>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</si>
  <si>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</si>
  <si>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</si>
  <si>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</si>
  <si>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</si>
  <si>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</si>
  <si>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</si>
  <si>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</si>
  <si>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</si>
  <si>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</si>
  <si>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</si>
  <si>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</si>
  <si>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</si>
  <si>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</si>
  <si>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</si>
  <si>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</si>
  <si>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</si>
  <si>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</si>
  <si>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</si>
  <si>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</si>
  <si>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</si>
  <si>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</si>
  <si>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</si>
  <si>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</si>
  <si>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</si>
  <si>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</si>
  <si>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</si>
  <si>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</si>
  <si>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</si>
  <si>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</si>
  <si>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</si>
  <si>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</si>
  <si>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</si>
  <si>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</si>
  <si>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</si>
  <si>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</si>
  <si>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</si>
  <si>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</si>
  <si>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</si>
  <si>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</si>
  <si>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</si>
  <si>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</si>
  <si>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</si>
  <si>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</si>
  <si>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</si>
  <si>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</si>
  <si>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</si>
  <si>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</si>
  <si>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</si>
  <si>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</si>
  <si>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</si>
  <si>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</si>
  <si>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</si>
  <si>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</si>
  <si>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</si>
  <si>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</si>
  <si>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</si>
  <si>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</si>
  <si>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</si>
  <si>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</si>
  <si>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</si>
  <si>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</si>
  <si>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</si>
  <si>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</si>
  <si>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</si>
  <si>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</si>
  <si>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</si>
  <si>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</si>
  <si>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</si>
  <si>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</si>
  <si>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</si>
  <si>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</si>
  <si>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</si>
  <si>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</si>
  <si>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</si>
  <si>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</si>
  <si>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</si>
  <si>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</si>
  <si>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</si>
  <si>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</si>
  <si>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</si>
  <si>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</si>
  <si>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</si>
  <si>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</si>
  <si>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</si>
  <si>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</si>
  <si>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</si>
  <si>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</si>
  <si>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</si>
  <si>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</si>
  <si>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</si>
  <si>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</si>
  <si>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</si>
  <si>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</si>
  <si>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</si>
  <si>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</si>
  <si>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</si>
  <si>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</si>
  <si>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</si>
  <si>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</si>
  <si>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</si>
  <si>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</si>
  <si>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</si>
  <si>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</si>
  <si>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</si>
  <si>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</si>
  <si>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</si>
  <si>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</si>
  <si>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</si>
  <si>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</si>
  <si>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</si>
  <si>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</si>
  <si>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</si>
  <si>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</si>
  <si>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</si>
  <si>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</si>
  <si>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</si>
  <si>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</si>
  <si>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</si>
  <si>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</si>
  <si>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</si>
  <si>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</si>
  <si>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</si>
  <si>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</si>
  <si>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</si>
  <si>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</si>
  <si>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</si>
  <si>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</si>
  <si>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</si>
  <si>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</si>
  <si>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</si>
  <si>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</si>
  <si>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</si>
  <si>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</si>
  <si>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</si>
  <si>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</si>
  <si>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</si>
  <si>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</si>
  <si>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</si>
  <si>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</si>
  <si>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</si>
  <si>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</si>
  <si>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</si>
  <si>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</si>
  <si>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</si>
  <si>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</si>
  <si>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</si>
  <si>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</si>
  <si>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</si>
  <si>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</si>
  <si>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</si>
  <si>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</si>
  <si>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</si>
  <si>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</si>
  <si>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</si>
  <si>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</si>
  <si>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</si>
  <si>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</si>
  <si>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</si>
  <si>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</si>
  <si>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</si>
  <si>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</si>
  <si>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</si>
  <si>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</si>
  <si>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</si>
  <si>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</si>
  <si>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</si>
  <si>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</si>
  <si>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</si>
  <si>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</si>
  <si>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</si>
  <si>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</si>
  <si>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</si>
  <si>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</si>
  <si>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</si>
  <si>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</si>
  <si>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</si>
  <si>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</si>
  <si>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</si>
  <si>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</si>
  <si>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</si>
  <si>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</si>
  <si>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</si>
  <si>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</si>
  <si>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</si>
  <si>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</si>
  <si>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</si>
  <si>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</si>
  <si>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</si>
  <si>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</si>
  <si>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</si>
  <si>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</si>
  <si>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</si>
  <si>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</si>
  <si>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</si>
  <si>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</si>
  <si>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</si>
  <si>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</si>
  <si>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</si>
  <si>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</si>
  <si>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</si>
  <si>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</si>
  <si>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</si>
  <si>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</si>
  <si>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</si>
  <si>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</si>
  <si>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</si>
  <si>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</si>
  <si>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</si>
  <si>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</si>
  <si>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</si>
  <si>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</si>
  <si>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</si>
  <si>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</si>
  <si>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</si>
  <si>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</si>
  <si>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</si>
  <si>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</si>
  <si>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</si>
  <si>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</si>
  <si>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</si>
  <si>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</si>
  <si>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</si>
  <si>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</si>
  <si>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</si>
  <si>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</si>
  <si>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</si>
  <si>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</si>
  <si>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</si>
  <si>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</si>
  <si>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</si>
  <si>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</si>
  <si>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</si>
  <si>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</si>
  <si>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</si>
  <si>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</si>
  <si>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</si>
  <si>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</si>
  <si>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</si>
  <si>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</si>
  <si>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</si>
  <si>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</si>
  <si>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</si>
  <si>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</si>
  <si>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</si>
  <si>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</si>
  <si>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</si>
  <si>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</si>
  <si>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</si>
  <si>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</si>
  <si>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</si>
  <si>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</si>
  <si>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</si>
  <si>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</si>
  <si>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</si>
  <si>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</si>
  <si>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</si>
  <si>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</si>
  <si>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</si>
  <si>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</si>
  <si>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</si>
  <si>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</si>
  <si>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</si>
  <si>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</si>
  <si>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</si>
  <si>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</si>
  <si>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</si>
  <si>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</si>
  <si>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</si>
  <si>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</si>
  <si>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</si>
  <si>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</si>
  <si>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</si>
  <si>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</si>
  <si>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</si>
  <si>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</si>
  <si>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</si>
  <si>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</si>
  <si>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</si>
  <si>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</si>
  <si>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</si>
  <si>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</si>
  <si>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</si>
  <si>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</si>
  <si>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</si>
  <si>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</si>
  <si>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</si>
  <si>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</si>
  <si>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</si>
  <si>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</si>
  <si>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</si>
  <si>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</si>
  <si>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</si>
  <si>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</si>
  <si>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</si>
  <si>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</si>
  <si>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</si>
  <si>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</si>
  <si>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</si>
  <si>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</si>
  <si>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</si>
  <si>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</si>
  <si>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</si>
  <si>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</si>
  <si>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</si>
  <si>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</si>
  <si>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</si>
  <si>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</si>
  <si>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</si>
  <si>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</si>
  <si>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</si>
  <si>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</si>
  <si>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</si>
  <si>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</si>
  <si>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</si>
  <si>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</si>
  <si>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</si>
  <si>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</si>
  <si>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</si>
  <si>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</si>
  <si>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</si>
  <si>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</si>
  <si>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</si>
  <si>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</si>
  <si>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</si>
  <si>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</si>
  <si>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</si>
  <si>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</si>
  <si>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</si>
  <si>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</si>
  <si>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</si>
  <si>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</si>
  <si>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</si>
  <si>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</si>
  <si>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</si>
  <si>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</si>
  <si>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</si>
  <si>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</si>
  <si>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</si>
  <si>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</si>
  <si>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</si>
  <si>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</si>
  <si>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</si>
  <si>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</si>
  <si>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</si>
  <si>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</si>
  <si>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</si>
  <si>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</si>
  <si>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</si>
  <si>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</si>
  <si>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</si>
  <si>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</si>
  <si>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</si>
  <si>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</si>
  <si>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</si>
  <si>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</si>
  <si>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</si>
  <si>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</si>
  <si>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</si>
  <si>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</si>
  <si>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</si>
  <si>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</si>
  <si>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</si>
  <si>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</si>
  <si>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</si>
  <si>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</si>
  <si>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</si>
  <si>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</si>
  <si>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</si>
  <si>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</si>
  <si>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</si>
  <si>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</si>
  <si>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</si>
  <si>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</si>
  <si>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</si>
  <si>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</si>
  <si>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</si>
  <si>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</si>
  <si>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</si>
  <si>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</si>
  <si>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</si>
  <si>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</si>
  <si>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</si>
  <si>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</si>
  <si>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</si>
  <si>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</si>
  <si>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</si>
  <si>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</si>
  <si>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</si>
  <si>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</si>
  <si>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</si>
  <si>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</si>
  <si>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</si>
  <si>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</si>
  <si>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</si>
  <si>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</si>
  <si>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</si>
  <si>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</si>
  <si>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</si>
  <si>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</si>
  <si>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</si>
  <si>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</si>
  <si>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</si>
  <si>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</si>
  <si>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</si>
  <si>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</si>
  <si>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</si>
  <si>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</si>
  <si>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</si>
  <si>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</si>
  <si>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</si>
  <si>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</si>
  <si>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</si>
  <si>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</si>
  <si>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</si>
  <si>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</si>
  <si>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</si>
  <si>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</si>
  <si>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</si>
  <si>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</si>
  <si>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</si>
  <si>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</si>
  <si>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</si>
  <si>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</si>
  <si>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</si>
  <si>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</si>
  <si>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</si>
  <si>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</si>
  <si>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</si>
  <si>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</si>
  <si>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</si>
  <si>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</si>
  <si>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</si>
  <si>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</si>
  <si>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</si>
  <si>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</si>
  <si>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</si>
  <si>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</si>
  <si>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</si>
  <si>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</si>
  <si>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</si>
  <si>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</si>
  <si>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</si>
  <si>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</si>
  <si>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</si>
  <si>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</si>
  <si>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</si>
  <si>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</si>
  <si>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</si>
  <si>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</si>
  <si>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</si>
  <si>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</si>
  <si>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</si>
  <si>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</si>
  <si>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</si>
  <si>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</si>
  <si>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</si>
  <si>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</si>
  <si>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</si>
  <si>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</si>
  <si>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</si>
  <si>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</si>
  <si>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</si>
  <si>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</si>
  <si>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</si>
  <si>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</si>
  <si>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</si>
  <si>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</si>
  <si>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</si>
  <si>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</si>
  <si>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</si>
  <si>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</si>
  <si>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</si>
  <si>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</si>
  <si>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</si>
  <si>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</si>
  <si>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</si>
  <si>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</si>
  <si>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</si>
  <si>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</si>
  <si>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</si>
  <si>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</si>
  <si>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</si>
  <si>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</si>
  <si>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</si>
  <si>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</si>
  <si>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</si>
  <si>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</si>
  <si>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</si>
  <si>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</si>
  <si>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</si>
  <si>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</si>
  <si>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</si>
  <si>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</si>
  <si>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</si>
  <si>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</si>
  <si>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</si>
  <si>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</si>
  <si>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</si>
  <si>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</si>
  <si>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</si>
  <si>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</si>
  <si>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</si>
  <si>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</si>
  <si>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</si>
  <si>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</si>
  <si>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</si>
  <si>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</si>
  <si>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</si>
  <si>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</si>
  <si>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</si>
  <si>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</si>
  <si>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</si>
  <si>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</si>
  <si>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</si>
  <si>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</si>
  <si>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</si>
  <si>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</si>
  <si>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</si>
  <si>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</si>
  <si>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</si>
  <si>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</si>
  <si>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</si>
  <si>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</si>
  <si>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</si>
  <si>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</si>
  <si>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</si>
  <si>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</si>
  <si>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</si>
  <si>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</si>
  <si>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</si>
  <si>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</si>
  <si>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</si>
  <si>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</si>
  <si>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</si>
  <si>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</si>
  <si>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</si>
  <si>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</si>
  <si>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</si>
  <si>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</si>
  <si>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</si>
  <si>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</si>
  <si>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</si>
  <si>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</si>
  <si>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</si>
  <si>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</si>
  <si>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</si>
  <si>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</si>
  <si>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</si>
  <si>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</si>
  <si>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</si>
  <si>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</si>
  <si>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</si>
  <si>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</si>
  <si>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</si>
  <si>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</si>
  <si>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</si>
  <si>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</si>
  <si>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</si>
  <si>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</si>
  <si>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</si>
  <si>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</si>
  <si>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</si>
  <si>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</si>
  <si>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</si>
  <si>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</si>
  <si>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</si>
  <si>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</si>
  <si>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</si>
  <si>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</si>
  <si>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</si>
  <si>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</si>
  <si>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</si>
  <si>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</si>
  <si>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</si>
  <si>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</si>
  <si>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</si>
  <si>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</si>
  <si>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</si>
  <si>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</si>
  <si>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</si>
  <si>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</si>
  <si>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</si>
  <si>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</si>
  <si>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</si>
  <si>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</si>
  <si>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</si>
  <si>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</si>
  <si>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</si>
  <si>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</si>
  <si>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</si>
  <si>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</si>
  <si>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</si>
  <si>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</si>
  <si>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</si>
  <si>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</si>
  <si>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</si>
  <si>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</si>
  <si>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</si>
  <si>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</si>
  <si>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</si>
  <si>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</si>
  <si>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</si>
  <si>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</si>
  <si>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</si>
  <si>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</si>
  <si>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</si>
  <si>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</si>
  <si>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</si>
  <si>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</si>
  <si>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</si>
  <si>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</si>
  <si>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</si>
  <si>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</si>
  <si>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</si>
  <si>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</si>
  <si>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</si>
  <si>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</si>
  <si>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</si>
  <si>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</si>
  <si>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</si>
  <si>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</si>
  <si>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</si>
  <si>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</si>
  <si>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</si>
  <si>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</si>
  <si>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</si>
  <si>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</si>
  <si>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</si>
  <si>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</si>
  <si>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</si>
  <si>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</si>
  <si>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</si>
  <si>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</si>
  <si>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</si>
  <si>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</si>
  <si>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</si>
  <si>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</si>
  <si>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</si>
  <si>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</si>
  <si>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</si>
  <si>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</si>
  <si>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</si>
  <si>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</si>
  <si>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</si>
  <si>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</si>
  <si>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</si>
  <si>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</si>
  <si>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</si>
  <si>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</si>
  <si>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</si>
  <si>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</si>
  <si>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</si>
  <si>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</si>
  <si>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</si>
  <si>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</si>
  <si>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</si>
  <si>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</si>
  <si>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</si>
  <si>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</si>
  <si>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</si>
  <si>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</si>
  <si>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</si>
  <si>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</si>
  <si>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</si>
  <si>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</si>
  <si>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</si>
  <si>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</si>
  <si>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</si>
  <si>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</si>
  <si>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</si>
  <si>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</si>
  <si>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</si>
  <si>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</si>
  <si>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</si>
  <si>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</si>
  <si>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</si>
  <si>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</si>
  <si>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</si>
  <si>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</si>
  <si>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</si>
  <si>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</si>
  <si>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</si>
  <si>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</si>
  <si>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</si>
  <si>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</si>
  <si>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</si>
  <si>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</si>
  <si>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</si>
  <si>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</si>
  <si>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</si>
  <si>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</si>
  <si>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</si>
  <si>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</si>
  <si>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</si>
  <si>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</si>
  <si>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</si>
  <si>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</si>
  <si>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</si>
  <si>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</si>
  <si>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</si>
  <si>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</si>
  <si>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</si>
  <si>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</si>
  <si>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</si>
  <si>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</si>
  <si>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</si>
  <si>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</si>
  <si>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</si>
  <si>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</si>
  <si>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</si>
  <si>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</si>
  <si>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</si>
  <si>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</si>
  <si>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</si>
  <si>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</si>
  <si>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</si>
  <si>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</si>
  <si>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</si>
  <si>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</si>
  <si>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</si>
  <si>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</si>
  <si>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</si>
  <si>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</si>
  <si>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</si>
  <si>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</si>
  <si>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</si>
  <si>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</si>
  <si>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</si>
  <si>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</si>
  <si>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</si>
  <si>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</si>
  <si>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</si>
  <si>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</si>
  <si>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</si>
  <si>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</si>
  <si>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</si>
  <si>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</si>
  <si>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</si>
  <si>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</si>
  <si>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</si>
  <si>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</si>
  <si>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</si>
  <si>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</si>
  <si>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</si>
  <si>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</si>
  <si>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</si>
  <si>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</si>
  <si>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</si>
  <si>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</si>
  <si>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</si>
  <si>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</si>
  <si>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</si>
  <si>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</si>
  <si>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</si>
  <si>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</si>
  <si>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</si>
  <si>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</si>
  <si>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</si>
  <si>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</si>
  <si>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</si>
  <si>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</si>
  <si>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</si>
  <si>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</si>
  <si>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</si>
  <si>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</si>
  <si>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</si>
  <si>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</si>
  <si>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</si>
  <si>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</si>
  <si>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</si>
  <si>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</si>
  <si>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</si>
  <si>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</si>
  <si>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</si>
  <si>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</si>
  <si>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</si>
  <si>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</si>
  <si>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</si>
  <si>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</si>
  <si>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</si>
  <si>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</si>
  <si>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</si>
  <si>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</si>
  <si>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</si>
  <si>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</si>
  <si>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</si>
  <si>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</si>
  <si>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</si>
  <si>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</si>
  <si>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</si>
  <si>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</si>
  <si>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</si>
  <si>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</si>
  <si>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</si>
  <si>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</si>
  <si>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</si>
  <si>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</si>
  <si>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</si>
  <si>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</si>
  <si>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</si>
  <si>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</si>
  <si>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</si>
  <si>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</si>
  <si>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</si>
  <si>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</si>
  <si>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</si>
  <si>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</si>
  <si>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</si>
  <si>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</si>
  <si>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</si>
  <si>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</si>
  <si>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</si>
  <si>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</si>
  <si>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</si>
  <si>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</si>
  <si>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</si>
  <si>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</si>
  <si>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</si>
  <si>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</si>
  <si>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</si>
  <si>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</si>
  <si>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</si>
  <si>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</si>
  <si>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</si>
  <si>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</si>
  <si>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</si>
  <si>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</si>
  <si>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</si>
  <si>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</si>
  <si>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</si>
  <si>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</si>
  <si>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</si>
  <si>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</si>
  <si>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</si>
  <si>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</si>
  <si>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</si>
  <si>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</si>
  <si>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</si>
  <si>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</si>
  <si>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</si>
  <si>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</si>
  <si>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</si>
  <si>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</si>
  <si>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</si>
  <si>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</si>
  <si>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</si>
  <si>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</si>
  <si>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</si>
  <si>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</si>
  <si>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</si>
  <si>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</si>
  <si>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</si>
  <si>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</si>
  <si>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</si>
  <si>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</si>
  <si>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</si>
  <si>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</si>
  <si>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</si>
  <si>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</si>
  <si>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</si>
  <si>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</si>
  <si>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</si>
  <si>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</si>
  <si>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</si>
  <si>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</si>
  <si>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</si>
  <si>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</si>
  <si>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</si>
  <si>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</si>
  <si>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</si>
  <si>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</si>
  <si>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</si>
  <si>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</si>
  <si>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</si>
  <si>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</si>
  <si>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</si>
  <si>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</si>
  <si>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</si>
  <si>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</si>
  <si>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</si>
  <si>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</si>
  <si>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</si>
  <si>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</si>
  <si>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</si>
  <si>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</si>
  <si>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</si>
  <si>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</si>
  <si>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</si>
  <si>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</si>
  <si>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</si>
  <si>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</si>
  <si>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</si>
  <si>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</si>
  <si>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</si>
  <si>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</si>
  <si>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</si>
  <si>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</si>
  <si>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</si>
  <si>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</si>
  <si>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</si>
  <si>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</si>
  <si>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</si>
  <si>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</si>
  <si>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</si>
  <si>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</si>
  <si>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</si>
  <si>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</si>
  <si>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</si>
  <si>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</si>
  <si>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</si>
  <si>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</si>
  <si>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</si>
  <si>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</si>
  <si>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</si>
  <si>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</si>
  <si>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</si>
  <si>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</si>
  <si>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</si>
  <si>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</si>
  <si>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</si>
  <si>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</si>
  <si>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</si>
  <si>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</si>
  <si>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</si>
  <si>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</si>
  <si>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</si>
  <si>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</si>
  <si>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</si>
  <si>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</si>
  <si>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</si>
  <si>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</si>
  <si>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</si>
  <si>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</si>
  <si>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</si>
  <si>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</si>
  <si>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</si>
  <si>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</si>
  <si>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</si>
  <si>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</si>
  <si>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</si>
  <si>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</si>
  <si>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</si>
  <si>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</si>
  <si>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</si>
  <si>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</si>
  <si>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</si>
  <si>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</si>
  <si>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</si>
  <si>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</si>
  <si>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</si>
  <si>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</si>
  <si>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</si>
  <si>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</si>
  <si>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</si>
  <si>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</si>
  <si>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</si>
  <si>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</si>
  <si>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</si>
  <si>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</si>
  <si>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</si>
  <si>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</si>
  <si>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</si>
  <si>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</si>
  <si>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</si>
  <si>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</si>
  <si>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</si>
  <si>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</si>
  <si>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</si>
  <si>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</si>
  <si>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</si>
  <si>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</si>
  <si>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</si>
  <si>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</si>
  <si>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</si>
  <si>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</si>
  <si>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</si>
  <si>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</si>
  <si>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</si>
  <si>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</si>
  <si>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</si>
  <si>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</si>
  <si>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</si>
  <si>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</si>
  <si>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</si>
  <si>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</si>
  <si>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</si>
  <si>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</si>
  <si>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</si>
  <si>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</si>
  <si>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</si>
  <si>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</si>
  <si>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</si>
  <si>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</si>
  <si>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</si>
  <si>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</si>
  <si>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</si>
  <si>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</si>
  <si>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</si>
  <si>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</si>
  <si>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</si>
  <si>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</si>
  <si>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</si>
  <si>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</si>
  <si>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</si>
  <si>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</si>
  <si>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</si>
  <si>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</si>
  <si>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</si>
  <si>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</si>
  <si>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</si>
  <si>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</si>
  <si>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</si>
  <si>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</si>
  <si>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</si>
  <si>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</si>
  <si>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</si>
  <si>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</si>
  <si>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</si>
  <si>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</si>
  <si>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</si>
  <si>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</si>
  <si>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</si>
  <si>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</si>
  <si>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</si>
  <si>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</si>
  <si>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</si>
  <si>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</si>
  <si>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</si>
  <si>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</si>
  <si>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</si>
  <si>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</si>
  <si>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</si>
  <si>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</si>
  <si>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</si>
  <si>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</si>
  <si>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</si>
  <si>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</si>
  <si>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</si>
  <si>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</si>
  <si>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</si>
  <si>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</si>
  <si>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</si>
  <si>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</si>
  <si>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</si>
  <si>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</si>
  <si>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</si>
  <si>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</si>
  <si>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</si>
  <si>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</si>
  <si>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</si>
  <si>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</si>
  <si>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</si>
  <si>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</si>
  <si>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</si>
  <si>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</si>
  <si>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</si>
  <si>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</si>
  <si>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</si>
  <si>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</si>
  <si>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</si>
  <si>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</si>
  <si>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</si>
  <si>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</si>
  <si>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</si>
  <si>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</si>
  <si>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</si>
  <si>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</si>
  <si>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</si>
  <si>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</si>
  <si>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</si>
  <si>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</si>
  <si>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</si>
  <si>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</si>
  <si>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</si>
  <si>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</si>
  <si>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</si>
  <si>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</si>
  <si>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</si>
  <si>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</si>
  <si>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</si>
  <si>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</si>
  <si>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</si>
  <si>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</si>
  <si>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</si>
  <si>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</si>
  <si>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</si>
  <si>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</si>
  <si>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</si>
  <si>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</si>
  <si>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</si>
  <si>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</si>
  <si>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</si>
  <si>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</si>
  <si>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</si>
  <si>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</si>
  <si>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</si>
  <si>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</si>
  <si>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</si>
  <si>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</si>
  <si>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</si>
  <si>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</si>
  <si>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</si>
  <si>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</si>
  <si>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</si>
  <si>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</si>
  <si>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</si>
  <si>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</si>
  <si>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</si>
  <si>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</si>
  <si>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</si>
  <si>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</si>
  <si>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</si>
  <si>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</si>
  <si>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</si>
  <si>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</si>
  <si>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</si>
  <si>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</si>
  <si>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</si>
  <si>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</si>
  <si>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</si>
  <si>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</si>
  <si>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</si>
  <si>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</si>
  <si>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</si>
  <si>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</si>
  <si>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</si>
  <si>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</si>
  <si>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</si>
  <si>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</si>
  <si>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</si>
  <si>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</si>
  <si>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</si>
  <si>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</si>
  <si>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</si>
  <si>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</si>
  <si>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</si>
  <si>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</si>
  <si>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</si>
  <si>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</si>
  <si>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</si>
  <si>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</si>
  <si>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</si>
  <si>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</si>
  <si>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</si>
  <si>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</si>
  <si>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</si>
  <si>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</si>
  <si>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</si>
  <si>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</si>
  <si>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</si>
  <si>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</si>
  <si>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</si>
  <si>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</si>
  <si>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</si>
  <si>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</si>
  <si>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</si>
  <si>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</si>
  <si>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</si>
  <si>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</si>
  <si>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</si>
  <si>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</si>
  <si>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</si>
  <si>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</si>
  <si>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</si>
  <si>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</si>
  <si>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</si>
  <si>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</si>
  <si>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</si>
  <si>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</si>
  <si>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</si>
  <si>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</si>
  <si>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</si>
  <si>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</si>
  <si>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</si>
  <si>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</si>
  <si>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</si>
  <si>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</si>
  <si>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</si>
  <si>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</si>
  <si>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</si>
  <si>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</si>
  <si>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</si>
  <si>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</si>
  <si>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</si>
  <si>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</si>
  <si>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</si>
  <si>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</si>
  <si>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</si>
  <si>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</si>
  <si>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</si>
  <si>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</si>
  <si>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</si>
  <si>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</si>
  <si>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</si>
  <si>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</si>
  <si>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</si>
  <si>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</si>
  <si>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</si>
  <si>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</si>
  <si>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</si>
  <si>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</si>
  <si>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</si>
  <si>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</si>
  <si>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</si>
  <si>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</si>
  <si>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</si>
  <si>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</si>
  <si>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</si>
  <si>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</si>
  <si>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</si>
  <si>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</si>
  <si>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</si>
  <si>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</si>
  <si>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</si>
  <si>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</si>
  <si>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</si>
  <si>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</si>
  <si>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</si>
  <si>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</si>
  <si>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</si>
  <si>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</si>
  <si>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</si>
  <si>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</si>
  <si>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</si>
  <si>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</si>
  <si>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</si>
  <si>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</si>
  <si>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</si>
  <si>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</si>
  <si>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</si>
  <si>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</si>
  <si>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</si>
  <si>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</si>
  <si>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</si>
  <si>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</si>
  <si>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</si>
  <si>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</si>
  <si>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</si>
  <si>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</si>
  <si>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</si>
  <si>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</si>
  <si>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</si>
  <si>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</si>
  <si>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</si>
  <si>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</si>
  <si>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</si>
  <si>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</si>
  <si>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</si>
  <si>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</si>
  <si>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</si>
  <si>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</si>
  <si>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</si>
  <si>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</si>
  <si>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</si>
  <si>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</si>
  <si>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</si>
  <si>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</si>
  <si>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</si>
  <si>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</si>
  <si>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</si>
  <si>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</si>
  <si>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</si>
  <si>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</si>
  <si>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</si>
  <si>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</si>
  <si>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</si>
  <si>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</si>
  <si>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</si>
  <si>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</si>
  <si>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</si>
  <si>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</si>
  <si>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</si>
  <si>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</si>
  <si>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</si>
  <si>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</si>
  <si>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</si>
  <si>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</si>
  <si>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</si>
  <si>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</si>
  <si>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</si>
  <si>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</si>
  <si>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</si>
  <si>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</si>
  <si>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</si>
  <si>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</si>
  <si>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</si>
  <si>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</si>
  <si>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</si>
  <si>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</si>
  <si>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</si>
  <si>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</si>
  <si>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</si>
  <si>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</si>
  <si>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not provided</t>
  </si>
  <si>
    <t>Gross Revenue</t>
  </si>
  <si>
    <t>Cost of goods</t>
  </si>
  <si>
    <t>Gross Profit</t>
  </si>
  <si>
    <t>Margin Pct</t>
  </si>
  <si>
    <t>New Required Date</t>
  </si>
  <si>
    <t xml:space="preserve">LeadTimeDays </t>
  </si>
  <si>
    <t>Quarter Period Year</t>
  </si>
  <si>
    <t>Unit Price&lt;Unit Cost</t>
  </si>
  <si>
    <t>Row Labels</t>
  </si>
  <si>
    <t>Grand Total</t>
  </si>
  <si>
    <t>2023</t>
  </si>
  <si>
    <t>Qtr1</t>
  </si>
  <si>
    <t>Qtr2</t>
  </si>
  <si>
    <t>Qtr3</t>
  </si>
  <si>
    <t>Qtr4</t>
  </si>
  <si>
    <t>2024</t>
  </si>
  <si>
    <t>2025</t>
  </si>
  <si>
    <t>Sum of Gross Revenue</t>
  </si>
  <si>
    <t>Percentage</t>
  </si>
  <si>
    <t>Count of OrderID</t>
  </si>
  <si>
    <t>Sum of GrossProfit</t>
  </si>
  <si>
    <t>Sum of GrossRevnue</t>
  </si>
  <si>
    <t>Column Labels</t>
  </si>
  <si>
    <t/>
  </si>
  <si>
    <t>Jan</t>
  </si>
  <si>
    <t>Feb</t>
  </si>
  <si>
    <t>Mar</t>
  </si>
  <si>
    <t>Apr</t>
  </si>
  <si>
    <t>May</t>
  </si>
  <si>
    <t>Jun</t>
  </si>
  <si>
    <t>Jul</t>
  </si>
  <si>
    <t>Aug</t>
  </si>
  <si>
    <t>Sep</t>
  </si>
  <si>
    <t>Oct</t>
  </si>
  <si>
    <t>Nov</t>
  </si>
  <si>
    <t>Dec</t>
  </si>
  <si>
    <t>Unassigned</t>
  </si>
  <si>
    <t>MMM-YYY</t>
  </si>
  <si>
    <t>Quarter</t>
  </si>
  <si>
    <t>RegionHierarchy</t>
  </si>
  <si>
    <t>PriceBands</t>
  </si>
  <si>
    <t>ReadMe – Data Issues, Cleaning Rules, Assumptions</t>
  </si>
  <si>
    <t>Rows in source data 632 - Exact duplicates removed : 0, Column A contains the order ID. Select the column -&gt; click home -&gt; conditional formating -&gt; highlight cell rules -&gt; duplicate values -&gt; choose a color -&gt; Ok. There was none highlighted hence zero duplicates identified.</t>
  </si>
  <si>
    <t xml:space="preserve">Missing values handling: Highlight blanks by; selecting data range -&gt; go to home -&gt; conditional formatting -&gt; new rule -&gt; choose format only cells that contain blanks -&gt; pick a colour click ok   </t>
  </si>
  <si>
    <t>a) Missing City values were replaced with ‘Unknown’ to retain valid transaction records without making unsupported assumptions</t>
  </si>
  <si>
    <t>b) Missing Salesperson values were labeled ‘Unassigned’ to avoid incorrect attribution while preserving transactional integrity.</t>
  </si>
  <si>
    <t>c) Missing Channel values were labeled ‘Unknown’ to ensure transparency in channel-based reporting.</t>
  </si>
  <si>
    <t>d) Discounts exceeding 30% were capped at 30%, as values beyond this threshold were deemed commercially unrealistic</t>
  </si>
  <si>
    <t>e) The negatives were replaced with the median price- Negative UnitPrice values were considered data errors</t>
  </si>
  <si>
    <t>f) If Order Date comes after the  Required Date, then Required Date was corrected to Order Date + 7 days.</t>
  </si>
  <si>
    <t>DiscountPct-Corrected</t>
  </si>
  <si>
    <t>(Multiple Items)</t>
  </si>
  <si>
    <t>Count of DiscountPct-Corrected</t>
  </si>
  <si>
    <t>LeadTime days</t>
  </si>
  <si>
    <t>(All)</t>
  </si>
  <si>
    <t>Count of LeadTime days</t>
  </si>
  <si>
    <t>MONTHS</t>
  </si>
  <si>
    <t>GrossRevEnue</t>
  </si>
  <si>
    <t>Profit by Region and Channel</t>
  </si>
  <si>
    <t>REGIONS</t>
  </si>
  <si>
    <t>Unknown</t>
  </si>
  <si>
    <t>GrossRevnue</t>
  </si>
  <si>
    <t>Total Gross Revenue</t>
  </si>
  <si>
    <t>Gross  Profit</t>
  </si>
  <si>
    <t>% Profit Margin</t>
  </si>
  <si>
    <t>Sales Revenue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</si>
</sst>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yyyy\-mm\-dd"/>
    <numFmt numFmtId="165" formatCode="d/mm/yyyy;@"/>
    <numFmt numFmtId="166" formatCode="[$KES]\ #,##0.00"/>
    <numFmt numFmtId="167" formatCode="0.000"/>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20"/>
      <color theme="3"/>
      <name val="Berlin Sans FB"/>
      <family val="2"/>
    </font>
    <font>
      <sz val="11"/>
      <color theme="7" tint="-0.499984740745262"/>
      <name val="Berlin Sans FB Demi"/>
      <family val="2"/>
    </font>
    <font>
      <sz val="11"/>
      <color theme="7" tint="-0.49998474074526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8"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16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1" fillId="0" borderId="1" xfId="0" applyNumberFormat="1" applyFont="1" applyBorder="1" applyAlignment="1">
      <alignment horizontal="center" vertical="top"/>
    </xf>
    <xf numFmtId="0"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2" xfId="0" applyNumberFormat="1" applyFont="1" applyFill="1" applyBorder="1" applyAlignment="1">
      <alignment horizontal="center" vertical="top"/>
    </xf>
    <xf numFmtId="0" fontId="0" fillId="0" borderId="0" xfId="0" pivotButton="1"/>
    <xf numFmtId="0" fontId="0" fillId="0" borderId="0" xfId="0" applyAlignment="1">
      <alignment horizontal="left"/>
    </xf>
    <xf numFmtId="17" fontId="1" fillId="0" borderId="1" xfId="0" applyNumberFormat="1" applyFont="1" applyBorder="1" applyAlignment="1">
      <alignment horizontal="center" vertical="top"/>
    </xf>
    <xf numFmtId="17" fontId="0" fillId="0" borderId="0" xfId="0" applyNumberFormat="1"/>
    <xf numFmtId="0" fontId="0" fillId="0" borderId="0" xfId="0" applyAlignment="1">
      <alignment horizontal="left" indent="1"/>
    </xf>
    <xf numFmtId="0" fontId="0" fillId="0" borderId="0" xfId="0" applyAlignment="1">
      <alignment horizontal="left" indent="2"/>
    </xf>
    <xf numFmtId="10" fontId="0" fillId="0" borderId="0" xfId="1" applyNumberFormat="1" applyFont="1"/>
    <xf numFmtId="10" fontId="0" fillId="0" borderId="0" xfId="0" applyNumberFormat="1"/>
    <xf numFmtId="10" fontId="0" fillId="2" borderId="0" xfId="0" applyNumberFormat="1" applyFill="1"/>
    <xf numFmtId="10" fontId="0" fillId="3" borderId="0" xfId="0" applyNumberFormat="1" applyFill="1"/>
    <xf numFmtId="10" fontId="0" fillId="4" borderId="0" xfId="0" applyNumberFormat="1" applyFill="1"/>
    <xf numFmtId="43" fontId="0" fillId="0" borderId="0" xfId="0" applyNumberFormat="1"/>
    <xf numFmtId="165" fontId="0" fillId="0" borderId="0" xfId="0" applyNumberFormat="1"/>
    <xf numFmtId="0" fontId="0" fillId="5" borderId="0" xfId="0" applyFill="1"/>
    <xf numFmtId="0" fontId="1" fillId="0" borderId="0" xfId="0" applyFont="1"/>
    <xf numFmtId="0" fontId="0" fillId="0" borderId="0" xfId="0" applyAlignment="1">
      <alignment horizontal="left" vertical="center" wrapText="1"/>
    </xf>
    <xf numFmtId="0" fontId="0" fillId="0" borderId="0" xfId="0" applyAlignment="1">
      <alignment wrapText="1"/>
    </xf>
    <xf numFmtId="9" fontId="0" fillId="0" borderId="0" xfId="1" applyFont="1"/>
    <xf numFmtId="165" fontId="0" fillId="0" borderId="0" xfId="0" applyNumberFormat="1" applyAlignment="1">
      <alignment horizontal="left"/>
    </xf>
    <xf numFmtId="0" fontId="3" fillId="5" borderId="0" xfId="0" applyFont="1" applyFill="1"/>
    <xf numFmtId="0" fontId="4" fillId="5" borderId="0" xfId="0" applyFont="1" applyFill="1"/>
    <xf numFmtId="0" fontId="5" fillId="5" borderId="0" xfId="0" applyFont="1" applyFill="1"/>
    <xf numFmtId="4" fontId="5" fillId="5" borderId="0" xfId="0" applyNumberFormat="1" applyFont="1" applyFill="1"/>
    <xf numFmtId="10" fontId="5" fillId="5" borderId="0" xfId="0" applyNumberFormat="1" applyFont="1" applyFill="1"/>
  </cellXfs>
  <cellStyles count="2">
    <cellStyle name="Normal" xfId="0" builtinId="0"/>
    <cellStyle name="Percent" xfId="1" builtinId="5"/>
  </cellStyles>
  <dxfs count="5">
    <dxf>
      <numFmt numFmtId="35" formatCode="_(* #,##0.00_);_(* \(#,##0.00\);_(* &quot;-&quot;??_);_(@_)"/>
    </dxf>
    <dxf>
      <fill>
        <patternFill>
          <bgColor theme="5"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rgb="FFFFFF00"/>
        </patternFill>
      </fill>
    </dxf>
  </dxfs>
  <tableStyles count="0" defaultTableStyle="TableStyleMedium9" defaultPivotStyle="PivotStyleLight16"/>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 (1) (1).xlsx]pivot chart!PivotTable4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cat>
            <c:multiLvlStrRef>
              <c:f>'pivot chart'!$A$2:$A$50</c:f>
              <c:multiLvlStrCache>
                <c:ptCount val="36"/>
                <c:lvl>
                  <c:pt idx="0">
                    <c:v>2023</c:v>
                  </c:pt>
                  <c:pt idx="1">
                    <c:v>2024</c:v>
                  </c:pt>
                  <c:pt idx="2">
                    <c:v>2025</c:v>
                  </c:pt>
                  <c:pt idx="3">
                    <c:v>2023</c:v>
                  </c:pt>
                  <c:pt idx="4">
                    <c:v>2024</c:v>
                  </c:pt>
                  <c:pt idx="5">
                    <c:v>2025</c:v>
                  </c:pt>
                  <c:pt idx="6">
                    <c:v>2023</c:v>
                  </c:pt>
                  <c:pt idx="7">
                    <c:v>2024</c:v>
                  </c:pt>
                  <c:pt idx="8">
                    <c:v>2025</c:v>
                  </c:pt>
                  <c:pt idx="9">
                    <c:v>2023</c:v>
                  </c:pt>
                  <c:pt idx="10">
                    <c:v>2024</c:v>
                  </c:pt>
                  <c:pt idx="11">
                    <c:v>2025</c:v>
                  </c:pt>
                  <c:pt idx="12">
                    <c:v>2023</c:v>
                  </c:pt>
                  <c:pt idx="13">
                    <c:v>2024</c:v>
                  </c:pt>
                  <c:pt idx="14">
                    <c:v>2025</c:v>
                  </c:pt>
                  <c:pt idx="15">
                    <c:v>2023</c:v>
                  </c:pt>
                  <c:pt idx="16">
                    <c:v>2024</c:v>
                  </c:pt>
                  <c:pt idx="17">
                    <c:v>2025</c:v>
                  </c:pt>
                  <c:pt idx="18">
                    <c:v>2023</c:v>
                  </c:pt>
                  <c:pt idx="19">
                    <c:v>2024</c:v>
                  </c:pt>
                  <c:pt idx="20">
                    <c:v>2025</c:v>
                  </c:pt>
                  <c:pt idx="21">
                    <c:v>2023</c:v>
                  </c:pt>
                  <c:pt idx="22">
                    <c:v>2024</c:v>
                  </c:pt>
                  <c:pt idx="23">
                    <c:v>2025</c:v>
                  </c:pt>
                  <c:pt idx="24">
                    <c:v>2023</c:v>
                  </c:pt>
                  <c:pt idx="25">
                    <c:v>2024</c:v>
                  </c:pt>
                  <c:pt idx="26">
                    <c:v>2025</c:v>
                  </c:pt>
                  <c:pt idx="27">
                    <c:v>2023</c:v>
                  </c:pt>
                  <c:pt idx="28">
                    <c:v>2024</c:v>
                  </c:pt>
                  <c:pt idx="29">
                    <c:v>2025</c:v>
                  </c:pt>
                  <c:pt idx="30">
                    <c:v>2023</c:v>
                  </c:pt>
                  <c:pt idx="31">
                    <c:v>2024</c:v>
                  </c:pt>
                  <c:pt idx="32">
                    <c:v>2025</c:v>
                  </c:pt>
                  <c:pt idx="33">
                    <c:v>2023</c:v>
                  </c:pt>
                  <c:pt idx="34">
                    <c:v>2024</c:v>
                  </c:pt>
                  <c:pt idx="35">
                    <c:v>2025</c:v>
                  </c:pt>
                </c:lvl>
                <c:lvl>
                  <c:pt idx="0">
                    <c:v>Brazil</c:v>
                  </c:pt>
                  <c:pt idx="3">
                    <c:v>Canada</c:v>
                  </c:pt>
                  <c:pt idx="6">
                    <c:v>China</c:v>
                  </c:pt>
                  <c:pt idx="9">
                    <c:v>France</c:v>
                  </c:pt>
                  <c:pt idx="12">
                    <c:v>Germany</c:v>
                  </c:pt>
                  <c:pt idx="15">
                    <c:v>India</c:v>
                  </c:pt>
                  <c:pt idx="18">
                    <c:v>Japan</c:v>
                  </c:pt>
                  <c:pt idx="21">
                    <c:v>Kenya</c:v>
                  </c:pt>
                  <c:pt idx="24">
                    <c:v>Nigeria</c:v>
                  </c:pt>
                  <c:pt idx="27">
                    <c:v>South Africa</c:v>
                  </c:pt>
                  <c:pt idx="30">
                    <c:v>United Kingdom</c:v>
                  </c:pt>
                  <c:pt idx="33">
                    <c:v>USA</c:v>
                  </c:pt>
                </c:lvl>
              </c:multiLvlStrCache>
            </c:multiLvlStrRef>
          </c:cat>
          <c:val>
            <c:numRef>
              <c:f>'pivot chart'!$B$2:$B$50</c:f>
              <c:numCache>
                <c:formatCode>General</c:formatCode>
                <c:ptCount val="36"/>
                <c:pt idx="0">
                  <c:v>377332.38418000005</c:v>
                </c:pt>
                <c:pt idx="1">
                  <c:v>306190.48611</c:v>
                </c:pt>
                <c:pt idx="2">
                  <c:v>353909.58493000001</c:v>
                </c:pt>
                <c:pt idx="3">
                  <c:v>249507.26559999993</c:v>
                </c:pt>
                <c:pt idx="4">
                  <c:v>356412.15492999996</c:v>
                </c:pt>
                <c:pt idx="5">
                  <c:v>276703.55801000004</c:v>
                </c:pt>
                <c:pt idx="6">
                  <c:v>278199.24864000001</c:v>
                </c:pt>
                <c:pt idx="7">
                  <c:v>431317.10412000003</c:v>
                </c:pt>
                <c:pt idx="8">
                  <c:v>185274.02541</c:v>
                </c:pt>
                <c:pt idx="9">
                  <c:v>269344.22398999997</c:v>
                </c:pt>
                <c:pt idx="10">
                  <c:v>332686.45244000002</c:v>
                </c:pt>
                <c:pt idx="11">
                  <c:v>156250.24046000003</c:v>
                </c:pt>
                <c:pt idx="12">
                  <c:v>369878.67229000002</c:v>
                </c:pt>
                <c:pt idx="13">
                  <c:v>383309.25282000011</c:v>
                </c:pt>
                <c:pt idx="14">
                  <c:v>176236.96311000001</c:v>
                </c:pt>
                <c:pt idx="15">
                  <c:v>514768.09837999998</c:v>
                </c:pt>
                <c:pt idx="16">
                  <c:v>365031.56606999994</c:v>
                </c:pt>
                <c:pt idx="17">
                  <c:v>212132.98233000003</c:v>
                </c:pt>
                <c:pt idx="18">
                  <c:v>196462.92158999998</c:v>
                </c:pt>
                <c:pt idx="19">
                  <c:v>370401.94354999997</c:v>
                </c:pt>
                <c:pt idx="20">
                  <c:v>287884.02755999996</c:v>
                </c:pt>
                <c:pt idx="21">
                  <c:v>240106.07745000001</c:v>
                </c:pt>
                <c:pt idx="22">
                  <c:v>549520.26327999996</c:v>
                </c:pt>
                <c:pt idx="23">
                  <c:v>146533.28188000002</c:v>
                </c:pt>
                <c:pt idx="24">
                  <c:v>263244.54461999994</c:v>
                </c:pt>
                <c:pt idx="25">
                  <c:v>276445.19975999999</c:v>
                </c:pt>
                <c:pt idx="26">
                  <c:v>342148.93253000005</c:v>
                </c:pt>
                <c:pt idx="27">
                  <c:v>364401.34184000001</c:v>
                </c:pt>
                <c:pt idx="28">
                  <c:v>191518.50866999998</c:v>
                </c:pt>
                <c:pt idx="29">
                  <c:v>223717.69146999999</c:v>
                </c:pt>
                <c:pt idx="30">
                  <c:v>276400.40976000001</c:v>
                </c:pt>
                <c:pt idx="31">
                  <c:v>507901.41704000003</c:v>
                </c:pt>
                <c:pt idx="32">
                  <c:v>328980.30410000001</c:v>
                </c:pt>
                <c:pt idx="33">
                  <c:v>288079.88713000005</c:v>
                </c:pt>
                <c:pt idx="34">
                  <c:v>396688.46359</c:v>
                </c:pt>
                <c:pt idx="35">
                  <c:v>83926.23685999999</c:v>
                </c:pt>
              </c:numCache>
            </c:numRef>
          </c:val>
          <c:extLst>
            <c:ext xmlns:c16="http://schemas.microsoft.com/office/drawing/2014/chart" uri="{C3380CC4-5D6E-409C-BE32-E72D297353CC}">
              <c16:uniqueId val="{00000000-90F0-4B6C-953B-C4BE4C106559}"/>
            </c:ext>
          </c:extLst>
        </c:ser>
        <c:dLbls>
          <c:showLegendKey val="0"/>
          <c:showVal val="0"/>
          <c:showCatName val="0"/>
          <c:showSerName val="0"/>
          <c:showPercent val="0"/>
          <c:showBubbleSize val="0"/>
        </c:dLbls>
        <c:gapWidth val="219"/>
        <c:overlap val="-27"/>
        <c:axId val="533203760"/>
        <c:axId val="533199824"/>
      </c:barChart>
      <c:catAx>
        <c:axId val="53320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99824"/>
        <c:crosses val="autoZero"/>
        <c:auto val="1"/>
        <c:lblAlgn val="ctr"/>
        <c:lblOffset val="100"/>
        <c:noMultiLvlLbl val="0"/>
      </c:catAx>
      <c:valAx>
        <c:axId val="53319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03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 (1) (1).xlsx]Sales per Region!PivotTable20</c:name>
    <c:fmtId val="6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Sales per Region</a:t>
            </a:r>
          </a:p>
          <a:p>
            <a:pPr>
              <a:defRPr/>
            </a:pPr>
            <a:endParaRPr lang="en-US"/>
          </a:p>
        </c:rich>
      </c:tx>
      <c:layout>
        <c:manualLayout>
          <c:xMode val="edge"/>
          <c:yMode val="edge"/>
          <c:x val="0.12861111111111109"/>
          <c:y val="0"/>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s>
    <c:plotArea>
      <c:layout/>
      <c:barChart>
        <c:barDir val="col"/>
        <c:grouping val="clustered"/>
        <c:varyColors val="0"/>
        <c:ser>
          <c:idx val="0"/>
          <c:order val="0"/>
          <c:tx>
            <c:strRef>
              <c:f>'Sales per Region'!$B$3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delete val="1"/>
          </c:dLbls>
          <c:cat>
            <c:strRef>
              <c:f>'Sales per Region'!$A$4:$A$8</c:f>
              <c:strCache>
                <c:ptCount val="4"/>
                <c:pt idx="0">
                  <c:v>Africa</c:v>
                </c:pt>
                <c:pt idx="1">
                  <c:v>Americas</c:v>
                </c:pt>
                <c:pt idx="2">
                  <c:v>Asia</c:v>
                </c:pt>
                <c:pt idx="3">
                  <c:v>Europe</c:v>
                </c:pt>
              </c:strCache>
            </c:strRef>
          </c:cat>
          <c:val>
            <c:numRef>
              <c:f>'Sales per Region'!$B$4:$B$8</c:f>
              <c:numCache>
                <c:formatCode>_(* #,##0.00_);_(* \(#,##0.00\);_(* "-"??_);_(@_)</c:formatCode>
                <c:ptCount val="4"/>
                <c:pt idx="0">
                  <c:v>2597635.8415000006</c:v>
                </c:pt>
                <c:pt idx="1">
                  <c:v>2688750.0213399995</c:v>
                </c:pt>
                <c:pt idx="2">
                  <c:v>2841471.9176500016</c:v>
                </c:pt>
                <c:pt idx="3">
                  <c:v>2800987.9360100003</c:v>
                </c:pt>
              </c:numCache>
            </c:numRef>
          </c:val>
          <c:extLst>
            <c:ext xmlns:c16="http://schemas.microsoft.com/office/drawing/2014/chart" uri="{C3380CC4-5D6E-409C-BE32-E72D297353CC}">
              <c16:uniqueId val="{00000000-7D23-46CB-833C-ECEDB00B745F}"/>
            </c:ext>
          </c:extLst>
        </c:ser>
        <c:dLbls>
          <c:dLblPos val="inEnd"/>
          <c:showLegendKey val="0"/>
          <c:showVal val="1"/>
          <c:showCatName val="0"/>
          <c:showSerName val="0"/>
          <c:showPercent val="0"/>
          <c:showBubbleSize val="0"/>
        </c:dLbls>
        <c:gapWidth val="41"/>
        <c:axId val="597128344"/>
        <c:axId val="597127032"/>
      </c:barChart>
      <c:catAx>
        <c:axId val="597128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97127032"/>
        <c:crosses val="autoZero"/>
        <c:auto val="1"/>
        <c:lblAlgn val="ctr"/>
        <c:lblOffset val="100"/>
        <c:noMultiLvlLbl val="0"/>
      </c:catAx>
      <c:valAx>
        <c:axId val="597127032"/>
        <c:scaling>
          <c:orientation val="minMax"/>
        </c:scaling>
        <c:delete val="1"/>
        <c:axPos val="l"/>
        <c:numFmt formatCode="_(* #,##0.00_);_(* \(#,##0.00\);_(* &quot;-&quot;??_);_(@_)" sourceLinked="1"/>
        <c:majorTickMark val="none"/>
        <c:minorTickMark val="none"/>
        <c:tickLblPos val="nextTo"/>
        <c:crossAx val="597128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s>
    <c:plotArea>
      <c:layout/>
      <c:lineChart>
        <c:grouping val="standard"/>
        <c:varyColors val="0"/>
        <c:ser>
          <c:idx val="0"/>
          <c:order val="0"/>
          <c:tx>
            <c:v>Online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
              <c:pt idx="0">
                <c:v>Africa</c:v>
              </c:pt>
              <c:pt idx="1">
                <c:v>Americas</c:v>
              </c:pt>
              <c:pt idx="2">
                <c:v>Asia</c:v>
              </c:pt>
              <c:pt idx="3">
                <c:v>Europe</c:v>
              </c:pt>
            </c:strLit>
          </c:cat>
          <c:val>
            <c:numLit>
              <c:formatCode>General</c:formatCode>
              <c:ptCount val="4"/>
              <c:pt idx="0">
                <c:v>433406.33627000003</c:v>
              </c:pt>
              <c:pt idx="1">
                <c:v>689951.45436999993</c:v>
              </c:pt>
              <c:pt idx="2">
                <c:v>413661.50969000009</c:v>
              </c:pt>
              <c:pt idx="3">
                <c:v>585406.72276999999</c:v>
              </c:pt>
            </c:numLit>
          </c:val>
          <c:smooth val="0"/>
          <c:extLst>
            <c:ext xmlns:c16="http://schemas.microsoft.com/office/drawing/2014/chart" uri="{C3380CC4-5D6E-409C-BE32-E72D297353CC}">
              <c16:uniqueId val="{00000000-33E2-45F4-87A3-58E2A39251E9}"/>
            </c:ext>
          </c:extLst>
        </c:ser>
        <c:ser>
          <c:idx val="1"/>
          <c:order val="1"/>
          <c:tx>
            <c:v>Retail</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4"/>
              <c:pt idx="0">
                <c:v>Africa</c:v>
              </c:pt>
              <c:pt idx="1">
                <c:v>Americas</c:v>
              </c:pt>
              <c:pt idx="2">
                <c:v>Asia</c:v>
              </c:pt>
              <c:pt idx="3">
                <c:v>Europe</c:v>
              </c:pt>
            </c:strLit>
          </c:cat>
          <c:val>
            <c:numLit>
              <c:formatCode>General</c:formatCode>
              <c:ptCount val="4"/>
              <c:pt idx="0">
                <c:v>530851.58854999987</c:v>
              </c:pt>
              <c:pt idx="1">
                <c:v>302853.57922000001</c:v>
              </c:pt>
              <c:pt idx="2">
                <c:v>693141.67983999988</c:v>
              </c:pt>
              <c:pt idx="3">
                <c:v>495675.43252999999</c:v>
              </c:pt>
            </c:numLit>
          </c:val>
          <c:smooth val="0"/>
          <c:extLst>
            <c:ext xmlns:c16="http://schemas.microsoft.com/office/drawing/2014/chart" uri="{C3380CC4-5D6E-409C-BE32-E72D297353CC}">
              <c16:uniqueId val="{00000001-33E2-45F4-87A3-58E2A39251E9}"/>
            </c:ext>
          </c:extLst>
        </c:ser>
        <c:dLbls>
          <c:showLegendKey val="0"/>
          <c:showVal val="0"/>
          <c:showCatName val="0"/>
          <c:showSerName val="0"/>
          <c:showPercent val="0"/>
          <c:showBubbleSize val="0"/>
        </c:dLbls>
        <c:marker val="1"/>
        <c:smooth val="0"/>
        <c:axId val="491566296"/>
        <c:axId val="491558752"/>
      </c:lineChart>
      <c:catAx>
        <c:axId val="491566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558752"/>
        <c:crosses val="autoZero"/>
        <c:auto val="1"/>
        <c:lblAlgn val="ctr"/>
        <c:lblOffset val="100"/>
        <c:noMultiLvlLbl val="0"/>
      </c:catAx>
      <c:valAx>
        <c:axId val="49155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566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Per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701241.31054999994</c:v>
              </c:pt>
              <c:pt idx="1">
                <c:v>975320.80686000001</c:v>
              </c:pt>
              <c:pt idx="2">
                <c:v>799302.77272999985</c:v>
              </c:pt>
              <c:pt idx="3">
                <c:v>947246.57737999968</c:v>
              </c:pt>
              <c:pt idx="4">
                <c:v>1262901.89775</c:v>
              </c:pt>
              <c:pt idx="5">
                <c:v>1314543.6409100003</c:v>
              </c:pt>
              <c:pt idx="6">
                <c:v>1323460.0091499998</c:v>
              </c:pt>
              <c:pt idx="7">
                <c:v>1090009.5832699998</c:v>
              </c:pt>
              <c:pt idx="8">
                <c:v>661159.42946000013</c:v>
              </c:pt>
              <c:pt idx="9">
                <c:v>663847.3234600001</c:v>
              </c:pt>
              <c:pt idx="10">
                <c:v>543953.69134999998</c:v>
              </c:pt>
              <c:pt idx="11">
                <c:v>765652.62419999996</c:v>
              </c:pt>
            </c:numLit>
          </c:val>
          <c:smooth val="0"/>
          <c:extLst>
            <c:ext xmlns:c16="http://schemas.microsoft.com/office/drawing/2014/chart" uri="{C3380CC4-5D6E-409C-BE32-E72D297353CC}">
              <c16:uniqueId val="{00000000-35F9-4097-A725-697AC1A43A38}"/>
            </c:ext>
          </c:extLst>
        </c:ser>
        <c:dLbls>
          <c:showLegendKey val="0"/>
          <c:showVal val="0"/>
          <c:showCatName val="0"/>
          <c:showSerName val="0"/>
          <c:showPercent val="0"/>
          <c:showBubbleSize val="0"/>
        </c:dLbls>
        <c:smooth val="0"/>
        <c:axId val="329206904"/>
        <c:axId val="329205264"/>
      </c:lineChart>
      <c:catAx>
        <c:axId val="329206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05264"/>
        <c:crosses val="autoZero"/>
        <c:auto val="1"/>
        <c:lblAlgn val="ctr"/>
        <c:lblOffset val="100"/>
        <c:noMultiLvlLbl val="0"/>
      </c:catAx>
      <c:valAx>
        <c:axId val="32920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06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 and Channel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v>Direct</c:v>
          </c:tx>
          <c:spPr>
            <a:solidFill>
              <a:schemeClr val="accent1"/>
            </a:solidFill>
            <a:ln>
              <a:noFill/>
            </a:ln>
            <a:effectLst/>
          </c:spPr>
          <c:invertIfNegative val="0"/>
          <c:cat>
            <c:strLit>
              <c:ptCount val="4"/>
              <c:pt idx="0">
                <c:v>Africa</c:v>
              </c:pt>
              <c:pt idx="1">
                <c:v>Americas</c:v>
              </c:pt>
              <c:pt idx="2">
                <c:v>Asia</c:v>
              </c:pt>
              <c:pt idx="3">
                <c:v>Europe</c:v>
              </c:pt>
            </c:strLit>
          </c:cat>
          <c:val>
            <c:numLit>
              <c:formatCode>General</c:formatCode>
              <c:ptCount val="4"/>
              <c:pt idx="0">
                <c:v>178727.35369999998</c:v>
              </c:pt>
              <c:pt idx="1">
                <c:v>258674.92591000002</c:v>
              </c:pt>
              <c:pt idx="2">
                <c:v>229541.94635999994</c:v>
              </c:pt>
              <c:pt idx="3">
                <c:v>292716.95204</c:v>
              </c:pt>
            </c:numLit>
          </c:val>
          <c:extLst>
            <c:ext xmlns:c16="http://schemas.microsoft.com/office/drawing/2014/chart" uri="{C3380CC4-5D6E-409C-BE32-E72D297353CC}">
              <c16:uniqueId val="{00000000-19C7-4B47-B4B4-C32D6760075B}"/>
            </c:ext>
          </c:extLst>
        </c:ser>
        <c:ser>
          <c:idx val="1"/>
          <c:order val="1"/>
          <c:tx>
            <c:v>Distributor</c:v>
          </c:tx>
          <c:spPr>
            <a:solidFill>
              <a:schemeClr val="accent2"/>
            </a:solidFill>
            <a:ln>
              <a:noFill/>
            </a:ln>
            <a:effectLst/>
          </c:spPr>
          <c:invertIfNegative val="0"/>
          <c:cat>
            <c:strLit>
              <c:ptCount val="4"/>
              <c:pt idx="0">
                <c:v>Africa</c:v>
              </c:pt>
              <c:pt idx="1">
                <c:v>Americas</c:v>
              </c:pt>
              <c:pt idx="2">
                <c:v>Asia</c:v>
              </c:pt>
              <c:pt idx="3">
                <c:v>Europe</c:v>
              </c:pt>
            </c:strLit>
          </c:cat>
          <c:val>
            <c:numLit>
              <c:formatCode>General</c:formatCode>
              <c:ptCount val="4"/>
              <c:pt idx="0">
                <c:v>202729.86447</c:v>
              </c:pt>
              <c:pt idx="1">
                <c:v>175736.86191999997</c:v>
              </c:pt>
              <c:pt idx="2">
                <c:v>151146.74599000002</c:v>
              </c:pt>
              <c:pt idx="3">
                <c:v>105550.85220000002</c:v>
              </c:pt>
            </c:numLit>
          </c:val>
          <c:extLst>
            <c:ext xmlns:c16="http://schemas.microsoft.com/office/drawing/2014/chart" uri="{C3380CC4-5D6E-409C-BE32-E72D297353CC}">
              <c16:uniqueId val="{00000001-19C7-4B47-B4B4-C32D6760075B}"/>
            </c:ext>
          </c:extLst>
        </c:ser>
        <c:ser>
          <c:idx val="2"/>
          <c:order val="2"/>
          <c:tx>
            <c:v>Marketplace</c:v>
          </c:tx>
          <c:spPr>
            <a:solidFill>
              <a:schemeClr val="accent3"/>
            </a:solidFill>
            <a:ln>
              <a:noFill/>
            </a:ln>
            <a:effectLst/>
          </c:spPr>
          <c:invertIfNegative val="0"/>
          <c:cat>
            <c:strLit>
              <c:ptCount val="4"/>
              <c:pt idx="0">
                <c:v>Africa</c:v>
              </c:pt>
              <c:pt idx="1">
                <c:v>Americas</c:v>
              </c:pt>
              <c:pt idx="2">
                <c:v>Asia</c:v>
              </c:pt>
              <c:pt idx="3">
                <c:v>Europe</c:v>
              </c:pt>
            </c:strLit>
          </c:cat>
          <c:val>
            <c:numLit>
              <c:formatCode>General</c:formatCode>
              <c:ptCount val="4"/>
              <c:pt idx="0">
                <c:v>164839.30455999999</c:v>
              </c:pt>
              <c:pt idx="1">
                <c:v>96609.647519999999</c:v>
              </c:pt>
              <c:pt idx="2">
                <c:v>132709.51272999996</c:v>
              </c:pt>
              <c:pt idx="3">
                <c:v>173262.29025000008</c:v>
              </c:pt>
            </c:numLit>
          </c:val>
          <c:extLst>
            <c:ext xmlns:c16="http://schemas.microsoft.com/office/drawing/2014/chart" uri="{C3380CC4-5D6E-409C-BE32-E72D297353CC}">
              <c16:uniqueId val="{00000002-19C7-4B47-B4B4-C32D6760075B}"/>
            </c:ext>
          </c:extLst>
        </c:ser>
        <c:ser>
          <c:idx val="3"/>
          <c:order val="3"/>
          <c:tx>
            <c:v>Online</c:v>
          </c:tx>
          <c:spPr>
            <a:solidFill>
              <a:schemeClr val="accent4"/>
            </a:solidFill>
            <a:ln>
              <a:noFill/>
            </a:ln>
            <a:effectLst/>
          </c:spPr>
          <c:invertIfNegative val="0"/>
          <c:cat>
            <c:strLit>
              <c:ptCount val="4"/>
              <c:pt idx="0">
                <c:v>Africa</c:v>
              </c:pt>
              <c:pt idx="1">
                <c:v>Americas</c:v>
              </c:pt>
              <c:pt idx="2">
                <c:v>Asia</c:v>
              </c:pt>
              <c:pt idx="3">
                <c:v>Europe</c:v>
              </c:pt>
            </c:strLit>
          </c:cat>
          <c:val>
            <c:numLit>
              <c:formatCode>General</c:formatCode>
              <c:ptCount val="4"/>
              <c:pt idx="0">
                <c:v>145453.94626999996</c:v>
              </c:pt>
              <c:pt idx="1">
                <c:v>261943.84436999995</c:v>
              </c:pt>
              <c:pt idx="2">
                <c:v>149042.38968999998</c:v>
              </c:pt>
              <c:pt idx="3">
                <c:v>200067.16276999997</c:v>
              </c:pt>
            </c:numLit>
          </c:val>
          <c:extLst>
            <c:ext xmlns:c16="http://schemas.microsoft.com/office/drawing/2014/chart" uri="{C3380CC4-5D6E-409C-BE32-E72D297353CC}">
              <c16:uniqueId val="{00000003-19C7-4B47-B4B4-C32D6760075B}"/>
            </c:ext>
          </c:extLst>
        </c:ser>
        <c:ser>
          <c:idx val="4"/>
          <c:order val="4"/>
          <c:tx>
            <c:v>Retail</c:v>
          </c:tx>
          <c:spPr>
            <a:solidFill>
              <a:schemeClr val="accent5"/>
            </a:solidFill>
            <a:ln>
              <a:noFill/>
            </a:ln>
            <a:effectLst/>
          </c:spPr>
          <c:invertIfNegative val="0"/>
          <c:cat>
            <c:strLit>
              <c:ptCount val="4"/>
              <c:pt idx="0">
                <c:v>Africa</c:v>
              </c:pt>
              <c:pt idx="1">
                <c:v>Americas</c:v>
              </c:pt>
              <c:pt idx="2">
                <c:v>Asia</c:v>
              </c:pt>
              <c:pt idx="3">
                <c:v>Europe</c:v>
              </c:pt>
            </c:strLit>
          </c:cat>
          <c:val>
            <c:numLit>
              <c:formatCode>General</c:formatCode>
              <c:ptCount val="4"/>
              <c:pt idx="0">
                <c:v>153301.03854999997</c:v>
              </c:pt>
              <c:pt idx="1">
                <c:v>69035.709220000004</c:v>
              </c:pt>
              <c:pt idx="2">
                <c:v>153258.55984000003</c:v>
              </c:pt>
              <c:pt idx="3">
                <c:v>180951.49252999996</c:v>
              </c:pt>
            </c:numLit>
          </c:val>
          <c:extLst>
            <c:ext xmlns:c16="http://schemas.microsoft.com/office/drawing/2014/chart" uri="{C3380CC4-5D6E-409C-BE32-E72D297353CC}">
              <c16:uniqueId val="{00000004-19C7-4B47-B4B4-C32D6760075B}"/>
            </c:ext>
          </c:extLst>
        </c:ser>
        <c:ser>
          <c:idx val="5"/>
          <c:order val="5"/>
          <c:tx>
            <c:v>Unknown</c:v>
          </c:tx>
          <c:spPr>
            <a:solidFill>
              <a:schemeClr val="accent6"/>
            </a:solidFill>
            <a:ln>
              <a:noFill/>
            </a:ln>
            <a:effectLst/>
          </c:spPr>
          <c:invertIfNegative val="0"/>
          <c:cat>
            <c:strLit>
              <c:ptCount val="4"/>
              <c:pt idx="0">
                <c:v>Africa</c:v>
              </c:pt>
              <c:pt idx="1">
                <c:v>Americas</c:v>
              </c:pt>
              <c:pt idx="2">
                <c:v>Asia</c:v>
              </c:pt>
              <c:pt idx="3">
                <c:v>Europe</c:v>
              </c:pt>
            </c:strLit>
          </c:cat>
          <c:val>
            <c:numLit>
              <c:formatCode>General</c:formatCode>
              <c:ptCount val="4"/>
              <c:pt idx="0">
                <c:v>16237.344229999999</c:v>
              </c:pt>
              <c:pt idx="1">
                <c:v>777.95999999999913</c:v>
              </c:pt>
              <c:pt idx="2">
                <c:v>20547.545489999997</c:v>
              </c:pt>
              <c:pt idx="3">
                <c:v>8028.7064599999994</c:v>
              </c:pt>
            </c:numLit>
          </c:val>
          <c:extLst>
            <c:ext xmlns:c16="http://schemas.microsoft.com/office/drawing/2014/chart" uri="{C3380CC4-5D6E-409C-BE32-E72D297353CC}">
              <c16:uniqueId val="{00000005-19C7-4B47-B4B4-C32D6760075B}"/>
            </c:ext>
          </c:extLst>
        </c:ser>
        <c:dLbls>
          <c:showLegendKey val="0"/>
          <c:showVal val="0"/>
          <c:showCatName val="0"/>
          <c:showSerName val="0"/>
          <c:showPercent val="0"/>
          <c:showBubbleSize val="0"/>
        </c:dLbls>
        <c:gapWidth val="150"/>
        <c:overlap val="100"/>
        <c:axId val="340959208"/>
        <c:axId val="340956584"/>
      </c:barChart>
      <c:catAx>
        <c:axId val="340959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956584"/>
        <c:crosses val="autoZero"/>
        <c:auto val="1"/>
        <c:lblAlgn val="ctr"/>
        <c:lblOffset val="100"/>
        <c:noMultiLvlLbl val="0"/>
      </c:catAx>
      <c:valAx>
        <c:axId val="340956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959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SKU</a:t>
            </a:r>
            <a:r>
              <a:rPr lang="en-US" baseline="0"/>
              <a:t> Per top 10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CMP-3938</c:v>
              </c:pt>
              <c:pt idx="1">
                <c:v>CMP-8851</c:v>
              </c:pt>
              <c:pt idx="2">
                <c:v>LAP-3904</c:v>
              </c:pt>
              <c:pt idx="3">
                <c:v>LAP-8910</c:v>
              </c:pt>
              <c:pt idx="4">
                <c:v>MON-2266</c:v>
              </c:pt>
              <c:pt idx="5">
                <c:v>MON-6699</c:v>
              </c:pt>
              <c:pt idx="6">
                <c:v>MON-6962</c:v>
              </c:pt>
              <c:pt idx="7">
                <c:v>NET-2365</c:v>
              </c:pt>
              <c:pt idx="8">
                <c:v>NET-5523</c:v>
              </c:pt>
              <c:pt idx="9">
                <c:v>NET-5987</c:v>
              </c:pt>
            </c:strLit>
          </c:cat>
          <c:val>
            <c:numLit>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Lit>
          </c:val>
          <c:extLst>
            <c:ext xmlns:c16="http://schemas.microsoft.com/office/drawing/2014/chart" uri="{C3380CC4-5D6E-409C-BE32-E72D297353CC}">
              <c16:uniqueId val="{00000000-95A4-41D7-93AB-B772BF39A5E3}"/>
            </c:ext>
          </c:extLst>
        </c:ser>
        <c:dLbls>
          <c:showLegendKey val="0"/>
          <c:showVal val="0"/>
          <c:showCatName val="0"/>
          <c:showSerName val="0"/>
          <c:showPercent val="0"/>
          <c:showBubbleSize val="0"/>
        </c:dLbls>
        <c:gapWidth val="182"/>
        <c:axId val="341660976"/>
        <c:axId val="461869704"/>
      </c:barChart>
      <c:catAx>
        <c:axId val="3416609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69704"/>
        <c:crosses val="autoZero"/>
        <c:auto val="1"/>
        <c:lblAlgn val="ctr"/>
        <c:lblOffset val="100"/>
        <c:noMultiLvlLbl val="0"/>
      </c:catAx>
      <c:valAx>
        <c:axId val="461869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Gross</a:t>
                </a:r>
                <a:r>
                  <a:rPr lang="en-US" baseline="0"/>
                  <a:t> Revenue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660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x:chartSpace xmlns:a="http://schemas.openxmlformats.org/drawingml/2006/main" xmlns:r="http://schemas.openxmlformats.org/officeDocument/2006/relationships" xmlns:cx="http://schemas.microsoft.com/office/drawing/2014/chartex">
  <cx:chartData>
    <cx:data id="0">
      <cx:numDim type="val">
        <cx:f>_xlchart.1</cx:f>
      </cx:numDim>
    </cx:data>
  </cx:chartData>
  <cx:chart>
    <cx:title pos="t" align="ctr" overlay="0">
      <cx:tx>
        <cx:rich>
          <a:bodyPr rot="0" spcFirstLastPara="1" vertOverflow="ellipsis" vert="horz" wrap="square" lIns="0" tIns="0" rIns="0" bIns="0" anchor="ctr" anchorCtr="1"/>
          <a:lstStyle/>
          <a:p>
            <a:pPr algn="ctr">
              <a:defRPr/>
            </a:pPr>
            <a:r>
              <a:rPr lang="en-US"/>
              <a:t>Discount Outliers</a:t>
            </a:r>
          </a:p>
        </cx:rich>
      </cx:tx>
    </cx:title>
    <cx:plotArea>
      <cx:plotAreaRegion>
        <cx:series layoutId="boxWhisker" uniqueId="{9A9AC5F1-F4A7-4A36-84CD-9BCA9AA95D02}">
          <cx:tx>
            <cx:txData>
              <cx:f>_xlchart.0</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 (1) (1).xlsx]Sales per Region!PivotTable20</c:name>
    <c:fmtId val="6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chemeClr val="tx2"/>
                </a:solidFill>
              </a:rPr>
              <a:t>Total Sales per Region</a:t>
            </a:r>
          </a:p>
          <a:p>
            <a:pPr>
              <a:defRPr/>
            </a:pPr>
            <a:endParaRPr lang="en-US"/>
          </a:p>
        </c:rich>
      </c:tx>
      <c:layout>
        <c:manualLayout>
          <c:xMode val="edge"/>
          <c:yMode val="edge"/>
          <c:x val="6.1580660312197819E-2"/>
          <c:y val="0"/>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 per Region'!$B$3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per Region'!$A$4:$A$8</c:f>
              <c:strCache>
                <c:ptCount val="4"/>
                <c:pt idx="0">
                  <c:v>Africa</c:v>
                </c:pt>
                <c:pt idx="1">
                  <c:v>Americas</c:v>
                </c:pt>
                <c:pt idx="2">
                  <c:v>Asia</c:v>
                </c:pt>
                <c:pt idx="3">
                  <c:v>Europe</c:v>
                </c:pt>
              </c:strCache>
            </c:strRef>
          </c:cat>
          <c:val>
            <c:numRef>
              <c:f>'Sales per Region'!$B$4:$B$8</c:f>
              <c:numCache>
                <c:formatCode>_(* #,##0.00_);_(* \(#,##0.00\);_(* "-"??_);_(@_)</c:formatCode>
                <c:ptCount val="4"/>
                <c:pt idx="0">
                  <c:v>2597635.8415000006</c:v>
                </c:pt>
                <c:pt idx="1">
                  <c:v>2688750.0213399995</c:v>
                </c:pt>
                <c:pt idx="2">
                  <c:v>2841471.9176500016</c:v>
                </c:pt>
                <c:pt idx="3">
                  <c:v>2800987.9360100003</c:v>
                </c:pt>
              </c:numCache>
            </c:numRef>
          </c:val>
          <c:extLst>
            <c:ext xmlns:c16="http://schemas.microsoft.com/office/drawing/2014/chart" uri="{C3380CC4-5D6E-409C-BE32-E72D297353CC}">
              <c16:uniqueId val="{00000000-EB78-4A43-A9FA-C01825CD7CF4}"/>
            </c:ext>
          </c:extLst>
        </c:ser>
        <c:dLbls>
          <c:dLblPos val="inEnd"/>
          <c:showLegendKey val="0"/>
          <c:showVal val="1"/>
          <c:showCatName val="0"/>
          <c:showSerName val="0"/>
          <c:showPercent val="0"/>
          <c:showBubbleSize val="0"/>
        </c:dLbls>
        <c:gapWidth val="41"/>
        <c:axId val="597128344"/>
        <c:axId val="597127032"/>
      </c:barChart>
      <c:catAx>
        <c:axId val="597128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97127032"/>
        <c:crosses val="autoZero"/>
        <c:auto val="1"/>
        <c:lblAlgn val="ctr"/>
        <c:lblOffset val="100"/>
        <c:noMultiLvlLbl val="0"/>
      </c:catAx>
      <c:valAx>
        <c:axId val="597127032"/>
        <c:scaling>
          <c:orientation val="minMax"/>
        </c:scaling>
        <c:delete val="1"/>
        <c:axPos val="l"/>
        <c:numFmt formatCode="_(* #,##0.00_);_(* \(#,##0.00\);_(* &quot;-&quot;??_);_(@_)" sourceLinked="1"/>
        <c:majorTickMark val="none"/>
        <c:minorTickMark val="none"/>
        <c:tickLblPos val="nextTo"/>
        <c:crossAx val="597128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Region and Channel</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v>Direct</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Africa</c:v>
              </c:pt>
              <c:pt idx="1">
                <c:v>Americas</c:v>
              </c:pt>
              <c:pt idx="2">
                <c:v>Asia</c:v>
              </c:pt>
              <c:pt idx="3">
                <c:v>Europe</c:v>
              </c:pt>
            </c:strLit>
          </c:cat>
          <c:val>
            <c:numLit>
              <c:formatCode>General</c:formatCode>
              <c:ptCount val="4"/>
              <c:pt idx="0">
                <c:v>178727.35369999998</c:v>
              </c:pt>
              <c:pt idx="1">
                <c:v>258674.92591000002</c:v>
              </c:pt>
              <c:pt idx="2">
                <c:v>229541.94635999994</c:v>
              </c:pt>
              <c:pt idx="3">
                <c:v>292716.95204</c:v>
              </c:pt>
            </c:numLit>
          </c:val>
          <c:extLst>
            <c:ext xmlns:c16="http://schemas.microsoft.com/office/drawing/2014/chart" uri="{C3380CC4-5D6E-409C-BE32-E72D297353CC}">
              <c16:uniqueId val="{00000000-A9D6-461A-B414-4AC39C815B1E}"/>
            </c:ext>
          </c:extLst>
        </c:ser>
        <c:ser>
          <c:idx val="1"/>
          <c:order val="1"/>
          <c:tx>
            <c:v>Distributor</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Africa</c:v>
              </c:pt>
              <c:pt idx="1">
                <c:v>Americas</c:v>
              </c:pt>
              <c:pt idx="2">
                <c:v>Asia</c:v>
              </c:pt>
              <c:pt idx="3">
                <c:v>Europe</c:v>
              </c:pt>
            </c:strLit>
          </c:cat>
          <c:val>
            <c:numLit>
              <c:formatCode>General</c:formatCode>
              <c:ptCount val="4"/>
              <c:pt idx="0">
                <c:v>202729.86447</c:v>
              </c:pt>
              <c:pt idx="1">
                <c:v>175736.86191999997</c:v>
              </c:pt>
              <c:pt idx="2">
                <c:v>151146.74599000002</c:v>
              </c:pt>
              <c:pt idx="3">
                <c:v>105550.85220000002</c:v>
              </c:pt>
            </c:numLit>
          </c:val>
          <c:extLst>
            <c:ext xmlns:c16="http://schemas.microsoft.com/office/drawing/2014/chart" uri="{C3380CC4-5D6E-409C-BE32-E72D297353CC}">
              <c16:uniqueId val="{00000001-A9D6-461A-B414-4AC39C815B1E}"/>
            </c:ext>
          </c:extLst>
        </c:ser>
        <c:ser>
          <c:idx val="2"/>
          <c:order val="2"/>
          <c:tx>
            <c:v>Marketplace</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Africa</c:v>
              </c:pt>
              <c:pt idx="1">
                <c:v>Americas</c:v>
              </c:pt>
              <c:pt idx="2">
                <c:v>Asia</c:v>
              </c:pt>
              <c:pt idx="3">
                <c:v>Europe</c:v>
              </c:pt>
            </c:strLit>
          </c:cat>
          <c:val>
            <c:numLit>
              <c:formatCode>General</c:formatCode>
              <c:ptCount val="4"/>
              <c:pt idx="0">
                <c:v>164839.30455999999</c:v>
              </c:pt>
              <c:pt idx="1">
                <c:v>96609.647519999999</c:v>
              </c:pt>
              <c:pt idx="2">
                <c:v>132709.51272999996</c:v>
              </c:pt>
              <c:pt idx="3">
                <c:v>173262.29025000008</c:v>
              </c:pt>
            </c:numLit>
          </c:val>
          <c:extLst>
            <c:ext xmlns:c16="http://schemas.microsoft.com/office/drawing/2014/chart" uri="{C3380CC4-5D6E-409C-BE32-E72D297353CC}">
              <c16:uniqueId val="{00000002-A9D6-461A-B414-4AC39C815B1E}"/>
            </c:ext>
          </c:extLst>
        </c:ser>
        <c:ser>
          <c:idx val="3"/>
          <c:order val="3"/>
          <c:tx>
            <c:v>Online</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Africa</c:v>
              </c:pt>
              <c:pt idx="1">
                <c:v>Americas</c:v>
              </c:pt>
              <c:pt idx="2">
                <c:v>Asia</c:v>
              </c:pt>
              <c:pt idx="3">
                <c:v>Europe</c:v>
              </c:pt>
            </c:strLit>
          </c:cat>
          <c:val>
            <c:numLit>
              <c:formatCode>General</c:formatCode>
              <c:ptCount val="4"/>
              <c:pt idx="0">
                <c:v>145453.94626999996</c:v>
              </c:pt>
              <c:pt idx="1">
                <c:v>261943.84436999995</c:v>
              </c:pt>
              <c:pt idx="2">
                <c:v>149042.38968999998</c:v>
              </c:pt>
              <c:pt idx="3">
                <c:v>200067.16276999997</c:v>
              </c:pt>
            </c:numLit>
          </c:val>
          <c:extLst>
            <c:ext xmlns:c16="http://schemas.microsoft.com/office/drawing/2014/chart" uri="{C3380CC4-5D6E-409C-BE32-E72D297353CC}">
              <c16:uniqueId val="{00000003-A9D6-461A-B414-4AC39C815B1E}"/>
            </c:ext>
          </c:extLst>
        </c:ser>
        <c:ser>
          <c:idx val="4"/>
          <c:order val="4"/>
          <c:tx>
            <c:v>Retail</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Africa</c:v>
              </c:pt>
              <c:pt idx="1">
                <c:v>Americas</c:v>
              </c:pt>
              <c:pt idx="2">
                <c:v>Asia</c:v>
              </c:pt>
              <c:pt idx="3">
                <c:v>Europe</c:v>
              </c:pt>
            </c:strLit>
          </c:cat>
          <c:val>
            <c:numLit>
              <c:formatCode>General</c:formatCode>
              <c:ptCount val="4"/>
              <c:pt idx="0">
                <c:v>153301.03854999997</c:v>
              </c:pt>
              <c:pt idx="1">
                <c:v>69035.709220000004</c:v>
              </c:pt>
              <c:pt idx="2">
                <c:v>153258.55984000003</c:v>
              </c:pt>
              <c:pt idx="3">
                <c:v>180951.49252999996</c:v>
              </c:pt>
            </c:numLit>
          </c:val>
          <c:extLst>
            <c:ext xmlns:c16="http://schemas.microsoft.com/office/drawing/2014/chart" uri="{C3380CC4-5D6E-409C-BE32-E72D297353CC}">
              <c16:uniqueId val="{00000004-A9D6-461A-B414-4AC39C815B1E}"/>
            </c:ext>
          </c:extLst>
        </c:ser>
        <c:ser>
          <c:idx val="5"/>
          <c:order val="5"/>
          <c:tx>
            <c:v>Unknown</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Africa</c:v>
              </c:pt>
              <c:pt idx="1">
                <c:v>Americas</c:v>
              </c:pt>
              <c:pt idx="2">
                <c:v>Asia</c:v>
              </c:pt>
              <c:pt idx="3">
                <c:v>Europe</c:v>
              </c:pt>
            </c:strLit>
          </c:cat>
          <c:val>
            <c:numLit>
              <c:formatCode>General</c:formatCode>
              <c:ptCount val="4"/>
              <c:pt idx="0">
                <c:v>16237.344229999999</c:v>
              </c:pt>
              <c:pt idx="1">
                <c:v>777.95999999999913</c:v>
              </c:pt>
              <c:pt idx="2">
                <c:v>20547.545489999997</c:v>
              </c:pt>
              <c:pt idx="3">
                <c:v>8028.7064599999994</c:v>
              </c:pt>
            </c:numLit>
          </c:val>
          <c:extLst>
            <c:ext xmlns:c16="http://schemas.microsoft.com/office/drawing/2014/chart" uri="{C3380CC4-5D6E-409C-BE32-E72D297353CC}">
              <c16:uniqueId val="{00000005-A9D6-461A-B414-4AC39C815B1E}"/>
            </c:ext>
          </c:extLst>
        </c:ser>
        <c:dLbls>
          <c:showLegendKey val="0"/>
          <c:showVal val="0"/>
          <c:showCatName val="0"/>
          <c:showSerName val="0"/>
          <c:showPercent val="0"/>
          <c:showBubbleSize val="0"/>
        </c:dLbls>
        <c:gapWidth val="150"/>
        <c:overlap val="100"/>
        <c:axId val="340959208"/>
        <c:axId val="340956584"/>
      </c:barChart>
      <c:catAx>
        <c:axId val="3409592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0956584"/>
        <c:crosses val="autoZero"/>
        <c:auto val="1"/>
        <c:lblAlgn val="ctr"/>
        <c:lblOffset val="100"/>
        <c:noMultiLvlLbl val="0"/>
      </c:catAx>
      <c:valAx>
        <c:axId val="340956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09592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Revenue Per Month</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701241.31054999994</c:v>
              </c:pt>
              <c:pt idx="1">
                <c:v>975320.80686000001</c:v>
              </c:pt>
              <c:pt idx="2">
                <c:v>799302.77272999985</c:v>
              </c:pt>
              <c:pt idx="3">
                <c:v>947246.57737999968</c:v>
              </c:pt>
              <c:pt idx="4">
                <c:v>1262901.89775</c:v>
              </c:pt>
              <c:pt idx="5">
                <c:v>1314543.6409100003</c:v>
              </c:pt>
              <c:pt idx="6">
                <c:v>1323460.0091499998</c:v>
              </c:pt>
              <c:pt idx="7">
                <c:v>1090009.5832699998</c:v>
              </c:pt>
              <c:pt idx="8">
                <c:v>661159.42946000013</c:v>
              </c:pt>
              <c:pt idx="9">
                <c:v>663847.3234600001</c:v>
              </c:pt>
              <c:pt idx="10">
                <c:v>543953.69134999998</c:v>
              </c:pt>
              <c:pt idx="11">
                <c:v>765652.62419999996</c:v>
              </c:pt>
            </c:numLit>
          </c:val>
          <c:smooth val="0"/>
          <c:extLst>
            <c:ext xmlns:c16="http://schemas.microsoft.com/office/drawing/2014/chart" uri="{C3380CC4-5D6E-409C-BE32-E72D297353CC}">
              <c16:uniqueId val="{00000000-3B3C-4DDA-9702-13DC24B28EF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329206904"/>
        <c:axId val="329205264"/>
      </c:lineChart>
      <c:catAx>
        <c:axId val="329206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29205264"/>
        <c:crosses val="autoZero"/>
        <c:auto val="1"/>
        <c:lblAlgn val="ctr"/>
        <c:lblOffset val="100"/>
        <c:noMultiLvlLbl val="0"/>
      </c:catAx>
      <c:valAx>
        <c:axId val="32920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920690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SKU Per top 10 Revenue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CMP-3938</c:v>
              </c:pt>
              <c:pt idx="1">
                <c:v>CMP-8851</c:v>
              </c:pt>
              <c:pt idx="2">
                <c:v>LAP-3904</c:v>
              </c:pt>
              <c:pt idx="3">
                <c:v>LAP-8910</c:v>
              </c:pt>
              <c:pt idx="4">
                <c:v>MON-2266</c:v>
              </c:pt>
              <c:pt idx="5">
                <c:v>MON-6699</c:v>
              </c:pt>
              <c:pt idx="6">
                <c:v>MON-6962</c:v>
              </c:pt>
              <c:pt idx="7">
                <c:v>NET-2365</c:v>
              </c:pt>
              <c:pt idx="8">
                <c:v>NET-5523</c:v>
              </c:pt>
              <c:pt idx="9">
                <c:v>NET-5987</c:v>
              </c:pt>
            </c:strLit>
          </c:cat>
          <c:val>
            <c:numLit>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Lit>
          </c:val>
          <c:extLst>
            <c:ext xmlns:c16="http://schemas.microsoft.com/office/drawing/2014/chart" uri="{C3380CC4-5D6E-409C-BE32-E72D297353CC}">
              <c16:uniqueId val="{00000000-F4EF-4FE6-89A9-B5ADACD31FF8}"/>
            </c:ext>
          </c:extLst>
        </c:ser>
        <c:dLbls>
          <c:showLegendKey val="0"/>
          <c:showVal val="0"/>
          <c:showCatName val="0"/>
          <c:showSerName val="0"/>
          <c:showPercent val="0"/>
          <c:showBubbleSize val="0"/>
        </c:dLbls>
        <c:gapWidth val="115"/>
        <c:overlap val="-20"/>
        <c:axId val="341660976"/>
        <c:axId val="461869704"/>
      </c:barChart>
      <c:catAx>
        <c:axId val="341660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869704"/>
        <c:crosses val="autoZero"/>
        <c:auto val="1"/>
        <c:lblAlgn val="ctr"/>
        <c:lblOffset val="100"/>
        <c:noMultiLvlLbl val="0"/>
      </c:catAx>
      <c:valAx>
        <c:axId val="4618697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166097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rot="-60000000" vert="horz"/>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rot="-60000000" vert="horz"/>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rot="0" vert="horz"/>
  </cs:title>
  <cs:trendline>
    <cs:lnRef idx="0"/>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bodyPr rot="-60000000" vert="horz"/>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2</xdr:row>
      <xdr:rowOff>0</xdr:rowOff>
    </xdr:from>
    <xdr:to>
      <xdr:col>7</xdr:col>
      <xdr:colOff>9525</xdr:colOff>
      <xdr:row>20</xdr:row>
      <xdr:rowOff>123825</xdr:rowOff>
    </xdr:to>
    <mc:AlternateContent xmlns:mc="http://schemas.openxmlformats.org/markup-compatibility/2006" xmlns:a14="http://schemas.microsoft.com/office/drawing/2010/main">
      <mc:Choice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57475" y="381000"/>
              <a:ext cx="2971800" cy="3552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609599</xdr:colOff>
      <xdr:row>1</xdr:row>
      <xdr:rowOff>0</xdr:rowOff>
    </xdr:from>
    <xdr:to>
      <xdr:col>16</xdr:col>
      <xdr:colOff>600074</xdr:colOff>
      <xdr:row>28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171449</xdr:colOff>
      <xdr:row>2</xdr:row>
      <xdr:rowOff>14287</xdr:rowOff>
    </xdr:from>
    <xdr:to>
      <xdr:col>9</xdr:col>
      <xdr:colOff>452436</xdr:colOff>
      <xdr:row>13</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457200</xdr:colOff>
      <xdr:row>3</xdr:row>
      <xdr:rowOff>76200</xdr:rowOff>
    </xdr:from>
    <xdr:to>
      <xdr:col>10</xdr:col>
      <xdr:colOff>600075</xdr:colOff>
      <xdr:row>17</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xdr:colOff>
      <xdr:row>0</xdr:row>
      <xdr:rowOff>161925</xdr:rowOff>
    </xdr:from>
    <xdr:to>
      <xdr:col>8</xdr:col>
      <xdr:colOff>419100</xdr:colOff>
      <xdr:row>15</xdr:row>
      <xdr:rowOff>47625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xdr:colOff>
      <xdr:row>1</xdr:row>
      <xdr:rowOff>57150</xdr:rowOff>
    </xdr:from>
    <xdr:to>
      <xdr:col>16</xdr:col>
      <xdr:colOff>352425</xdr:colOff>
      <xdr:row>15</xdr:row>
      <xdr:rowOff>133350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26</xdr:row>
      <xdr:rowOff>19049</xdr:rowOff>
    </xdr:from>
    <xdr:to>
      <xdr:col>7</xdr:col>
      <xdr:colOff>752475</xdr:colOff>
      <xdr:row>41</xdr:row>
      <xdr:rowOff>47624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400050</xdr:colOff>
      <xdr:row>18</xdr:row>
      <xdr:rowOff>9525</xdr:rowOff>
    </xdr:from>
    <xdr:to>
      <xdr:col>16</xdr:col>
      <xdr:colOff>95250</xdr:colOff>
      <xdr:row>32</xdr:row>
      <xdr:rowOff>85725</xdr:rowOff>
    </xdr:to>
    <mc:AlternateContent xmlns:mc="http://schemas.openxmlformats.org/markup-compatibility/2006">
      <mc:Choice xmlns:cx="http://schemas.microsoft.com/office/drawing/2014/chartex" Requires="cx">
        <xdr:graphicFrame macro="">
          <xdr:nvGraphicFramePr>
            <xdr:cNvPr id="5" name="Chart 4"/>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3</xdr:row>
      <xdr:rowOff>142875</xdr:rowOff>
    </xdr:from>
    <xdr:to>
      <xdr:col>7</xdr:col>
      <xdr:colOff>371475</xdr:colOff>
      <xdr:row>15</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15</xdr:row>
      <xdr:rowOff>123825</xdr:rowOff>
    </xdr:from>
    <xdr:to>
      <xdr:col>7</xdr:col>
      <xdr:colOff>400050</xdr:colOff>
      <xdr:row>27</xdr:row>
      <xdr:rowOff>123824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57150</xdr:colOff>
      <xdr:row>3</xdr:row>
      <xdr:rowOff>161924</xdr:rowOff>
    </xdr:from>
    <xdr:to>
      <xdr:col>16</xdr:col>
      <xdr:colOff>104775</xdr:colOff>
      <xdr:row>15</xdr:row>
      <xdr:rowOff>85725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xdr:colOff>
      <xdr:row>15</xdr:row>
      <xdr:rowOff>190499</xdr:rowOff>
    </xdr:from>
    <xdr:to>
      <xdr:col>16</xdr:col>
      <xdr:colOff>133350</xdr:colOff>
      <xdr:row>27</xdr:row>
      <xdr:rowOff>180974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cel_Assignment%20and%20Brief%20(Autosaved)%20(1)%20(Repaired)%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Analysis"/>
      <sheetName val="Salesperson productivity (2)"/>
      <sheetName val="Salesperson productivity"/>
      <sheetName val="Channel mix &amp; cannibalization"/>
      <sheetName val=" Service level proxy"/>
      <sheetName val="PriceCompliance"/>
      <sheetName val="Visuals"/>
      <sheetName val="StagingTable"/>
      <sheetName val="StandardizedDimensions"/>
      <sheetName val="Brief"/>
      <sheetName val="ReadMe"/>
    </sheetNames>
    <sheetDataSet>
      <sheetData sheetId="0"/>
      <sheetData sheetId="1"/>
      <sheetData sheetId="2"/>
      <sheetData sheetId="3"/>
      <sheetData sheetId="4"/>
      <sheetData sheetId="5"/>
      <sheetData sheetId="6"/>
      <sheetData sheetId="7"/>
      <sheetData sheetId="8">
        <row r="1">
          <cell r="P1" t="str">
            <v>DiscountPct</v>
          </cell>
        </row>
        <row r="2">
          <cell r="B2">
            <v>45362</v>
          </cell>
          <cell r="D2">
            <v>45388</v>
          </cell>
          <cell r="F2" t="str">
            <v>Africa</v>
          </cell>
          <cell r="G2" t="str">
            <v>Kenya</v>
          </cell>
          <cell r="H2" t="str">
            <v>Kisumu</v>
          </cell>
          <cell r="P2">
            <v>0.112</v>
          </cell>
          <cell r="T2">
            <v>608.9</v>
          </cell>
        </row>
        <row r="3">
          <cell r="B3">
            <v>45588</v>
          </cell>
          <cell r="D3">
            <v>45595</v>
          </cell>
          <cell r="F3" t="str">
            <v>Africa</v>
          </cell>
          <cell r="G3" t="str">
            <v>Nigeria</v>
          </cell>
          <cell r="H3" t="str">
            <v>Port Harcourt</v>
          </cell>
          <cell r="P3">
            <v>0.23699999999999999</v>
          </cell>
          <cell r="T3">
            <v>759.33</v>
          </cell>
        </row>
        <row r="4">
          <cell r="B4">
            <v>44985</v>
          </cell>
          <cell r="D4">
            <v>45010</v>
          </cell>
          <cell r="F4" t="str">
            <v>Africa</v>
          </cell>
          <cell r="G4" t="str">
            <v>Kenya</v>
          </cell>
          <cell r="H4" t="str">
            <v>Nairobi</v>
          </cell>
          <cell r="P4">
            <v>0.13100000000000001</v>
          </cell>
          <cell r="T4" t="str">
            <v>1193.87</v>
          </cell>
        </row>
        <row r="5">
          <cell r="B5">
            <v>45745</v>
          </cell>
          <cell r="D5">
            <v>45749</v>
          </cell>
          <cell r="F5" t="str">
            <v>Africa</v>
          </cell>
          <cell r="G5" t="str">
            <v>Nigeria</v>
          </cell>
          <cell r="H5" t="str">
            <v>Lagos</v>
          </cell>
          <cell r="P5">
            <v>7.1999999999999995E-2</v>
          </cell>
          <cell r="T5">
            <v>255.94</v>
          </cell>
        </row>
        <row r="6">
          <cell r="B6">
            <v>45266</v>
          </cell>
          <cell r="D6">
            <v>45291</v>
          </cell>
          <cell r="F6" t="str">
            <v>Asia</v>
          </cell>
          <cell r="G6" t="str">
            <v>Japan</v>
          </cell>
          <cell r="H6" t="str">
            <v>Osaka</v>
          </cell>
          <cell r="P6">
            <v>0.10199999999999999</v>
          </cell>
          <cell r="T6">
            <v>813.51</v>
          </cell>
        </row>
        <row r="7">
          <cell r="B7">
            <v>44928</v>
          </cell>
          <cell r="D7">
            <v>44931</v>
          </cell>
          <cell r="F7" t="str">
            <v>Americas</v>
          </cell>
          <cell r="G7" t="str">
            <v>Canada</v>
          </cell>
          <cell r="H7" t="str">
            <v>Toronto</v>
          </cell>
          <cell r="P7">
            <v>0</v>
          </cell>
          <cell r="T7">
            <v>591.67999999999995</v>
          </cell>
        </row>
        <row r="8">
          <cell r="B8">
            <v>45653</v>
          </cell>
          <cell r="D8">
            <v>45671</v>
          </cell>
          <cell r="F8" t="str">
            <v>Asia</v>
          </cell>
          <cell r="G8" t="str">
            <v>India</v>
          </cell>
          <cell r="H8" t="str">
            <v>Bengaluru</v>
          </cell>
          <cell r="P8">
            <v>0.14699999999999999</v>
          </cell>
          <cell r="T8">
            <v>845.97</v>
          </cell>
        </row>
        <row r="9">
          <cell r="B9">
            <v>44941</v>
          </cell>
          <cell r="D9">
            <v>44948</v>
          </cell>
          <cell r="F9" t="str">
            <v>Africa</v>
          </cell>
          <cell r="G9" t="str">
            <v>Nigeria</v>
          </cell>
          <cell r="H9" t="str">
            <v>Abuja</v>
          </cell>
          <cell r="P9">
            <v>0.19400000000000001</v>
          </cell>
          <cell r="T9">
            <v>47.22</v>
          </cell>
        </row>
        <row r="10">
          <cell r="B10">
            <v>45416</v>
          </cell>
          <cell r="D10">
            <v>45441</v>
          </cell>
          <cell r="F10" t="str">
            <v>Africa</v>
          </cell>
          <cell r="G10" t="str">
            <v>Nigeria</v>
          </cell>
          <cell r="H10" t="str">
            <v>Abuja</v>
          </cell>
          <cell r="P10">
            <v>3.1E-2</v>
          </cell>
          <cell r="T10">
            <v>2530.81</v>
          </cell>
        </row>
        <row r="11">
          <cell r="B11">
            <v>45798</v>
          </cell>
          <cell r="D11">
            <v>45817</v>
          </cell>
          <cell r="F11" t="str">
            <v>Americas</v>
          </cell>
          <cell r="G11" t="str">
            <v>Brazil</v>
          </cell>
          <cell r="H11" t="str">
            <v>São Paulo</v>
          </cell>
          <cell r="P11">
            <v>0.14899999999999999</v>
          </cell>
          <cell r="T11">
            <v>2309.56</v>
          </cell>
        </row>
        <row r="12">
          <cell r="B12">
            <v>45319</v>
          </cell>
          <cell r="D12">
            <v>45331</v>
          </cell>
          <cell r="F12" t="str">
            <v>Europe</v>
          </cell>
          <cell r="G12" t="str">
            <v>Germany</v>
          </cell>
          <cell r="H12" t="str">
            <v>Berlin</v>
          </cell>
          <cell r="P12">
            <v>6.0000000000000001E-3</v>
          </cell>
          <cell r="T12">
            <v>700.12</v>
          </cell>
        </row>
        <row r="13">
          <cell r="B13">
            <v>45660</v>
          </cell>
          <cell r="D13">
            <v>45680</v>
          </cell>
          <cell r="F13" t="str">
            <v>Asia</v>
          </cell>
          <cell r="G13" t="str">
            <v>Japan</v>
          </cell>
          <cell r="H13" t="str">
            <v>Osaka</v>
          </cell>
          <cell r="P13">
            <v>0.25</v>
          </cell>
          <cell r="T13">
            <v>691.37</v>
          </cell>
        </row>
        <row r="14">
          <cell r="B14">
            <v>45722</v>
          </cell>
          <cell r="D14">
            <v>45747</v>
          </cell>
          <cell r="F14" t="str">
            <v>Americas</v>
          </cell>
          <cell r="G14" t="str">
            <v>Brazil</v>
          </cell>
          <cell r="H14" t="str">
            <v>Brasília</v>
          </cell>
          <cell r="P14">
            <v>9.4E-2</v>
          </cell>
          <cell r="T14">
            <v>548.4</v>
          </cell>
        </row>
        <row r="15">
          <cell r="B15">
            <v>45311</v>
          </cell>
          <cell r="D15">
            <v>45335</v>
          </cell>
          <cell r="F15" t="str">
            <v>Europe</v>
          </cell>
          <cell r="G15" t="str">
            <v>France</v>
          </cell>
          <cell r="H15" t="str">
            <v>Marseille</v>
          </cell>
          <cell r="P15">
            <v>0</v>
          </cell>
          <cell r="T15">
            <v>1439.01</v>
          </cell>
        </row>
        <row r="16">
          <cell r="B16">
            <v>45901</v>
          </cell>
          <cell r="D16">
            <v>45930</v>
          </cell>
          <cell r="F16" t="str">
            <v>Americas</v>
          </cell>
          <cell r="G16" t="str">
            <v>Brazil</v>
          </cell>
          <cell r="H16" t="str">
            <v>Brasília</v>
          </cell>
          <cell r="P16">
            <v>0</v>
          </cell>
          <cell r="T16">
            <v>631.57000000000005</v>
          </cell>
        </row>
        <row r="17">
          <cell r="B17">
            <v>45039</v>
          </cell>
          <cell r="D17">
            <v>45046</v>
          </cell>
          <cell r="F17" t="str">
            <v>Africa</v>
          </cell>
          <cell r="G17" t="str">
            <v>Kenya</v>
          </cell>
          <cell r="H17" t="str">
            <v>Nairobi</v>
          </cell>
          <cell r="P17">
            <v>7.3999999999999996E-2</v>
          </cell>
          <cell r="T17">
            <v>850.8</v>
          </cell>
        </row>
        <row r="18">
          <cell r="B18">
            <v>45636</v>
          </cell>
          <cell r="D18">
            <v>45665</v>
          </cell>
          <cell r="F18" t="str">
            <v>Europe</v>
          </cell>
          <cell r="G18" t="str">
            <v>France</v>
          </cell>
          <cell r="H18" t="str">
            <v>Marseille</v>
          </cell>
          <cell r="P18">
            <v>0.109</v>
          </cell>
          <cell r="T18">
            <v>1040.0999999999999</v>
          </cell>
        </row>
        <row r="19">
          <cell r="B19">
            <v>45908</v>
          </cell>
          <cell r="D19">
            <v>45916</v>
          </cell>
          <cell r="F19" t="str">
            <v>Asia</v>
          </cell>
          <cell r="G19" t="str">
            <v>Japan</v>
          </cell>
          <cell r="H19" t="str">
            <v>Osaka</v>
          </cell>
          <cell r="P19">
            <v>0.183</v>
          </cell>
          <cell r="T19">
            <v>2705.57</v>
          </cell>
        </row>
        <row r="20">
          <cell r="B20">
            <v>45858</v>
          </cell>
          <cell r="D20">
            <v>45874</v>
          </cell>
          <cell r="F20" t="str">
            <v>Americas</v>
          </cell>
          <cell r="G20" t="str">
            <v>Brazil</v>
          </cell>
          <cell r="H20" t="str">
            <v>Brasília</v>
          </cell>
          <cell r="P20">
            <v>0.109</v>
          </cell>
          <cell r="T20">
            <v>2375.37</v>
          </cell>
        </row>
        <row r="21">
          <cell r="B21">
            <v>45798</v>
          </cell>
          <cell r="D21">
            <v>45805</v>
          </cell>
          <cell r="F21" t="str">
            <v>Europe</v>
          </cell>
          <cell r="G21" t="str">
            <v>United Kingdom</v>
          </cell>
          <cell r="H21" t="str">
            <v>Birmingham</v>
          </cell>
          <cell r="P21">
            <v>3.7999999999999999E-2</v>
          </cell>
          <cell r="T21">
            <v>2148.14</v>
          </cell>
        </row>
        <row r="22">
          <cell r="B22">
            <v>45498</v>
          </cell>
          <cell r="D22">
            <v>45505</v>
          </cell>
          <cell r="F22" t="str">
            <v>Africa</v>
          </cell>
          <cell r="G22" t="str">
            <v>Kenya</v>
          </cell>
          <cell r="H22" t="str">
            <v>Mombasa</v>
          </cell>
          <cell r="P22">
            <v>7.1999999999999995E-2</v>
          </cell>
          <cell r="T22">
            <v>3661.07</v>
          </cell>
        </row>
        <row r="23">
          <cell r="B23">
            <v>45057</v>
          </cell>
          <cell r="D23">
            <v>45074</v>
          </cell>
          <cell r="F23" t="str">
            <v>Asia</v>
          </cell>
          <cell r="G23" t="str">
            <v>China</v>
          </cell>
          <cell r="H23" t="str">
            <v>Shenzhen</v>
          </cell>
          <cell r="P23">
            <v>0.14299999999999999</v>
          </cell>
          <cell r="T23">
            <v>2903.09</v>
          </cell>
        </row>
        <row r="24">
          <cell r="B24">
            <v>45822</v>
          </cell>
          <cell r="D24">
            <v>45837</v>
          </cell>
          <cell r="F24" t="str">
            <v>Africa</v>
          </cell>
          <cell r="G24" t="str">
            <v>Nigeria</v>
          </cell>
          <cell r="H24" t="str">
            <v>Port Harcourt</v>
          </cell>
          <cell r="P24">
            <v>0.12</v>
          </cell>
          <cell r="T24">
            <v>1242.8399999999999</v>
          </cell>
        </row>
        <row r="25">
          <cell r="B25">
            <v>45430</v>
          </cell>
          <cell r="D25">
            <v>45435</v>
          </cell>
          <cell r="F25" t="str">
            <v>Americas</v>
          </cell>
          <cell r="G25" t="str">
            <v>USA</v>
          </cell>
          <cell r="H25" t="str">
            <v>Chicago</v>
          </cell>
          <cell r="P25">
            <v>0.01</v>
          </cell>
          <cell r="T25">
            <v>2553.69</v>
          </cell>
        </row>
        <row r="26">
          <cell r="B26">
            <v>44964</v>
          </cell>
          <cell r="D26">
            <v>44969</v>
          </cell>
          <cell r="F26" t="str">
            <v>Americas</v>
          </cell>
          <cell r="G26" t="str">
            <v>Brazil</v>
          </cell>
          <cell r="H26" t="str">
            <v>São Paulo</v>
          </cell>
          <cell r="P26">
            <v>7.0000000000000001E-3</v>
          </cell>
          <cell r="T26">
            <v>2089.16</v>
          </cell>
        </row>
        <row r="27">
          <cell r="B27">
            <v>45473</v>
          </cell>
          <cell r="D27">
            <v>45487</v>
          </cell>
          <cell r="F27" t="str">
            <v>Americas</v>
          </cell>
          <cell r="G27" t="str">
            <v>Brazil</v>
          </cell>
          <cell r="H27" t="str">
            <v>Brasília</v>
          </cell>
          <cell r="P27">
            <v>0.16800000000000001</v>
          </cell>
          <cell r="T27">
            <v>2583.02</v>
          </cell>
        </row>
        <row r="28">
          <cell r="B28">
            <v>45626</v>
          </cell>
          <cell r="D28">
            <v>45656</v>
          </cell>
          <cell r="F28" t="str">
            <v>Europe</v>
          </cell>
          <cell r="G28" t="str">
            <v>France</v>
          </cell>
          <cell r="H28" t="str">
            <v>Marseille</v>
          </cell>
          <cell r="P28">
            <v>0</v>
          </cell>
          <cell r="T28">
            <v>175.67</v>
          </cell>
        </row>
        <row r="29">
          <cell r="B29">
            <v>45492</v>
          </cell>
          <cell r="D29">
            <v>45492</v>
          </cell>
          <cell r="F29" t="str">
            <v>Africa</v>
          </cell>
          <cell r="G29" t="str">
            <v>Kenya</v>
          </cell>
          <cell r="H29" t="str">
            <v>Kisumu</v>
          </cell>
          <cell r="P29">
            <v>0.125</v>
          </cell>
          <cell r="T29">
            <v>758.23</v>
          </cell>
        </row>
        <row r="30">
          <cell r="B30">
            <v>45030</v>
          </cell>
          <cell r="D30">
            <v>45060</v>
          </cell>
          <cell r="F30" t="str">
            <v>Africa</v>
          </cell>
          <cell r="G30" t="str">
            <v>Kenya</v>
          </cell>
          <cell r="H30" t="str">
            <v>Nakuru</v>
          </cell>
          <cell r="P30">
            <v>0</v>
          </cell>
          <cell r="T30">
            <v>434.8</v>
          </cell>
        </row>
        <row r="31">
          <cell r="B31">
            <v>45754</v>
          </cell>
          <cell r="D31">
            <v>45758</v>
          </cell>
          <cell r="F31" t="str">
            <v>Europe</v>
          </cell>
          <cell r="G31" t="str">
            <v>France</v>
          </cell>
          <cell r="H31" t="str">
            <v>Lyon</v>
          </cell>
          <cell r="P31">
            <v>0.13900000000000001</v>
          </cell>
          <cell r="T31">
            <v>1666.18</v>
          </cell>
        </row>
        <row r="32">
          <cell r="B32">
            <v>45653</v>
          </cell>
          <cell r="D32">
            <v>45672</v>
          </cell>
          <cell r="F32" t="str">
            <v>Asia</v>
          </cell>
          <cell r="G32" t="str">
            <v>India</v>
          </cell>
          <cell r="H32" t="str">
            <v>Delhi</v>
          </cell>
          <cell r="P32">
            <v>8.6999999999999994E-2</v>
          </cell>
          <cell r="T32">
            <v>631.78</v>
          </cell>
        </row>
        <row r="33">
          <cell r="B33">
            <v>44980</v>
          </cell>
          <cell r="D33">
            <v>45010</v>
          </cell>
          <cell r="F33" t="str">
            <v>Americas</v>
          </cell>
          <cell r="G33" t="str">
            <v>Canada</v>
          </cell>
          <cell r="H33" t="str">
            <v>Montreal</v>
          </cell>
          <cell r="P33">
            <v>8.8999999999999996E-2</v>
          </cell>
          <cell r="T33">
            <v>1794.07</v>
          </cell>
        </row>
        <row r="34">
          <cell r="B34">
            <v>45862</v>
          </cell>
          <cell r="D34">
            <v>45875</v>
          </cell>
          <cell r="F34" t="str">
            <v>Africa</v>
          </cell>
          <cell r="G34" t="str">
            <v>South Africa</v>
          </cell>
          <cell r="H34" t="str">
            <v>Johannesburg</v>
          </cell>
          <cell r="P34">
            <v>8.4000000000000005E-2</v>
          </cell>
          <cell r="T34">
            <v>2633.02</v>
          </cell>
        </row>
        <row r="35">
          <cell r="B35">
            <v>45400</v>
          </cell>
          <cell r="D35">
            <v>45420</v>
          </cell>
          <cell r="F35" t="str">
            <v>Europe</v>
          </cell>
          <cell r="G35" t="str">
            <v>United Kingdom</v>
          </cell>
          <cell r="H35" t="str">
            <v>London</v>
          </cell>
          <cell r="P35">
            <v>0</v>
          </cell>
          <cell r="T35">
            <v>1321.85</v>
          </cell>
        </row>
        <row r="36">
          <cell r="B36">
            <v>45527</v>
          </cell>
          <cell r="D36">
            <v>45534</v>
          </cell>
          <cell r="F36" t="str">
            <v>Africa</v>
          </cell>
          <cell r="G36" t="str">
            <v>South Africa</v>
          </cell>
          <cell r="H36" t="str">
            <v>Johannesburg</v>
          </cell>
          <cell r="P36">
            <v>0</v>
          </cell>
          <cell r="T36">
            <v>3036.87</v>
          </cell>
        </row>
        <row r="37">
          <cell r="B37">
            <v>45012</v>
          </cell>
          <cell r="D37">
            <v>45038</v>
          </cell>
          <cell r="F37" t="str">
            <v>Asia</v>
          </cell>
          <cell r="G37" t="str">
            <v>India</v>
          </cell>
          <cell r="H37" t="str">
            <v>Delhi</v>
          </cell>
          <cell r="P37">
            <v>0.10100000000000001</v>
          </cell>
          <cell r="T37">
            <v>199.37</v>
          </cell>
        </row>
        <row r="38">
          <cell r="B38">
            <v>45358</v>
          </cell>
          <cell r="D38">
            <v>45376</v>
          </cell>
          <cell r="F38" t="str">
            <v>Europe</v>
          </cell>
          <cell r="G38" t="str">
            <v>Germany</v>
          </cell>
          <cell r="H38" t="str">
            <v>Munich</v>
          </cell>
          <cell r="P38">
            <v>0.24299999999999999</v>
          </cell>
          <cell r="T38">
            <v>927.51</v>
          </cell>
        </row>
        <row r="39">
          <cell r="B39">
            <v>45832</v>
          </cell>
          <cell r="D39">
            <v>45848</v>
          </cell>
          <cell r="F39" t="str">
            <v>Asia</v>
          </cell>
          <cell r="G39" t="str">
            <v>China</v>
          </cell>
          <cell r="H39" t="str">
            <v>Shanghai</v>
          </cell>
          <cell r="P39">
            <v>0.13600000000000001</v>
          </cell>
          <cell r="T39">
            <v>1735.41</v>
          </cell>
        </row>
        <row r="40">
          <cell r="B40">
            <v>45401</v>
          </cell>
          <cell r="D40">
            <v>45418</v>
          </cell>
          <cell r="F40" t="str">
            <v>Africa</v>
          </cell>
          <cell r="G40" t="str">
            <v>Nigeria</v>
          </cell>
          <cell r="H40" t="str">
            <v>Port Harcourt</v>
          </cell>
          <cell r="P40">
            <v>0.17499999999999999</v>
          </cell>
          <cell r="T40">
            <v>1395.64</v>
          </cell>
        </row>
        <row r="41">
          <cell r="B41">
            <v>45094</v>
          </cell>
          <cell r="D41">
            <v>45101</v>
          </cell>
          <cell r="F41" t="str">
            <v>Americas</v>
          </cell>
          <cell r="G41" t="str">
            <v>USA</v>
          </cell>
          <cell r="H41" t="str">
            <v>San Francisco</v>
          </cell>
          <cell r="P41">
            <v>0.129</v>
          </cell>
          <cell r="T41">
            <v>454.42</v>
          </cell>
        </row>
        <row r="42">
          <cell r="B42">
            <v>45531</v>
          </cell>
          <cell r="D42">
            <v>45554</v>
          </cell>
          <cell r="F42" t="str">
            <v>Europe</v>
          </cell>
          <cell r="G42" t="str">
            <v>Germany</v>
          </cell>
          <cell r="H42" t="str">
            <v>Berlin</v>
          </cell>
          <cell r="P42">
            <v>3.6999999999999998E-2</v>
          </cell>
          <cell r="T42">
            <v>1580.97</v>
          </cell>
        </row>
        <row r="43">
          <cell r="B43">
            <v>45302</v>
          </cell>
          <cell r="D43">
            <v>45324</v>
          </cell>
          <cell r="F43" t="str">
            <v>Africa</v>
          </cell>
          <cell r="G43" t="str">
            <v>South Africa</v>
          </cell>
          <cell r="H43" t="str">
            <v>Durban</v>
          </cell>
          <cell r="P43">
            <v>0</v>
          </cell>
          <cell r="T43">
            <v>1759.79</v>
          </cell>
        </row>
        <row r="44">
          <cell r="B44">
            <v>45590</v>
          </cell>
          <cell r="D44">
            <v>45610</v>
          </cell>
          <cell r="F44" t="str">
            <v>Africa</v>
          </cell>
          <cell r="G44" t="str">
            <v>Kenya</v>
          </cell>
          <cell r="H44" t="str">
            <v>Mombasa</v>
          </cell>
          <cell r="P44">
            <v>0.318</v>
          </cell>
          <cell r="T44">
            <v>3204.5</v>
          </cell>
        </row>
        <row r="45">
          <cell r="B45">
            <v>45806</v>
          </cell>
          <cell r="D45">
            <v>45828</v>
          </cell>
          <cell r="F45" t="str">
            <v>Europe</v>
          </cell>
          <cell r="G45" t="str">
            <v>Germany</v>
          </cell>
          <cell r="H45" t="str">
            <v>Berlin</v>
          </cell>
          <cell r="P45">
            <v>0.14599999999999999</v>
          </cell>
          <cell r="T45">
            <v>1135.43</v>
          </cell>
        </row>
        <row r="46">
          <cell r="B46">
            <v>45432</v>
          </cell>
          <cell r="D46">
            <v>45445</v>
          </cell>
          <cell r="F46" t="str">
            <v>Americas</v>
          </cell>
          <cell r="G46" t="str">
            <v>Canada</v>
          </cell>
          <cell r="H46" t="str">
            <v>Vancouver</v>
          </cell>
          <cell r="P46">
            <v>0.182</v>
          </cell>
          <cell r="T46">
            <v>996.36</v>
          </cell>
        </row>
        <row r="47">
          <cell r="B47">
            <v>45035</v>
          </cell>
          <cell r="D47">
            <v>45046</v>
          </cell>
          <cell r="F47" t="str">
            <v>Asia</v>
          </cell>
          <cell r="G47" t="str">
            <v>India</v>
          </cell>
          <cell r="H47" t="str">
            <v>Delhi</v>
          </cell>
          <cell r="P47">
            <v>0.16900000000000001</v>
          </cell>
          <cell r="T47">
            <v>1397.05</v>
          </cell>
        </row>
        <row r="48">
          <cell r="B48">
            <v>45100</v>
          </cell>
          <cell r="D48">
            <v>45110</v>
          </cell>
          <cell r="F48" t="str">
            <v>Africa</v>
          </cell>
          <cell r="G48" t="str">
            <v>Nigeria</v>
          </cell>
          <cell r="H48" t="str">
            <v>Abuja</v>
          </cell>
          <cell r="P48">
            <v>0</v>
          </cell>
          <cell r="T48">
            <v>548.89</v>
          </cell>
        </row>
        <row r="49">
          <cell r="B49">
            <v>45426</v>
          </cell>
          <cell r="D49">
            <v>45440</v>
          </cell>
          <cell r="F49" t="str">
            <v>Europe</v>
          </cell>
          <cell r="G49" t="str">
            <v>United Kingdom</v>
          </cell>
          <cell r="H49" t="str">
            <v>Birmingham</v>
          </cell>
          <cell r="P49">
            <v>0</v>
          </cell>
          <cell r="T49">
            <v>3524</v>
          </cell>
        </row>
        <row r="50">
          <cell r="B50">
            <v>45579</v>
          </cell>
          <cell r="D50">
            <v>45604</v>
          </cell>
          <cell r="F50" t="str">
            <v>Africa</v>
          </cell>
          <cell r="G50" t="str">
            <v>Nigeria</v>
          </cell>
          <cell r="H50" t="str">
            <v>Lagos</v>
          </cell>
          <cell r="P50">
            <v>0.187</v>
          </cell>
          <cell r="T50">
            <v>1825.61</v>
          </cell>
        </row>
        <row r="51">
          <cell r="B51">
            <v>45117</v>
          </cell>
          <cell r="D51">
            <v>45139</v>
          </cell>
          <cell r="F51" t="str">
            <v>Europe</v>
          </cell>
          <cell r="G51" t="str">
            <v>France</v>
          </cell>
          <cell r="H51" t="str">
            <v>Marseille</v>
          </cell>
          <cell r="P51">
            <v>0.126</v>
          </cell>
          <cell r="T51">
            <v>1791.37</v>
          </cell>
        </row>
        <row r="52">
          <cell r="B52">
            <v>45602</v>
          </cell>
          <cell r="D52">
            <v>45618</v>
          </cell>
          <cell r="F52" t="str">
            <v>Americas</v>
          </cell>
          <cell r="G52" t="str">
            <v>Canada</v>
          </cell>
          <cell r="H52" t="str">
            <v>Toronto</v>
          </cell>
          <cell r="P52">
            <v>0.29199999999999998</v>
          </cell>
          <cell r="T52">
            <v>2629.75</v>
          </cell>
        </row>
        <row r="53">
          <cell r="B53">
            <v>45582</v>
          </cell>
          <cell r="D53">
            <v>45602</v>
          </cell>
          <cell r="F53" t="str">
            <v>Asia</v>
          </cell>
          <cell r="G53" t="str">
            <v>India</v>
          </cell>
          <cell r="H53" t="str">
            <v>Bengaluru</v>
          </cell>
          <cell r="P53">
            <v>0.29499999999999998</v>
          </cell>
          <cell r="T53">
            <v>106.3</v>
          </cell>
        </row>
        <row r="54">
          <cell r="B54">
            <v>45016</v>
          </cell>
          <cell r="D54">
            <v>45021</v>
          </cell>
          <cell r="F54" t="str">
            <v>Africa</v>
          </cell>
          <cell r="G54" t="str">
            <v>Kenya</v>
          </cell>
          <cell r="H54" t="str">
            <v>Nakuru</v>
          </cell>
          <cell r="P54">
            <v>0</v>
          </cell>
          <cell r="T54">
            <v>385.72</v>
          </cell>
        </row>
        <row r="55">
          <cell r="B55">
            <v>45678</v>
          </cell>
          <cell r="D55">
            <v>45704</v>
          </cell>
          <cell r="F55" t="str">
            <v>Europe</v>
          </cell>
          <cell r="G55" t="str">
            <v>France</v>
          </cell>
          <cell r="H55" t="str">
            <v>Lyon</v>
          </cell>
          <cell r="P55">
            <v>0.182</v>
          </cell>
          <cell r="T55">
            <v>236.87</v>
          </cell>
        </row>
        <row r="56">
          <cell r="B56">
            <v>45168</v>
          </cell>
          <cell r="D56">
            <v>45170</v>
          </cell>
          <cell r="F56" t="str">
            <v>Europe</v>
          </cell>
          <cell r="G56" t="str">
            <v>Germany</v>
          </cell>
          <cell r="H56" t="str">
            <v>Munich</v>
          </cell>
          <cell r="P56">
            <v>0.14399999999999999</v>
          </cell>
          <cell r="T56">
            <v>41.9</v>
          </cell>
        </row>
        <row r="57">
          <cell r="B57">
            <v>45753</v>
          </cell>
          <cell r="D57">
            <v>45777</v>
          </cell>
          <cell r="F57" t="str">
            <v>Americas</v>
          </cell>
          <cell r="G57" t="str">
            <v>Brazil</v>
          </cell>
          <cell r="H57" t="str">
            <v>Brasília</v>
          </cell>
          <cell r="P57">
            <v>0.14699999999999999</v>
          </cell>
          <cell r="T57">
            <v>977.38</v>
          </cell>
        </row>
        <row r="58">
          <cell r="B58">
            <v>45697</v>
          </cell>
          <cell r="D58">
            <v>45717</v>
          </cell>
          <cell r="F58" t="str">
            <v>Americas</v>
          </cell>
          <cell r="G58" t="str">
            <v>Brazil</v>
          </cell>
          <cell r="H58" t="str">
            <v>São Paulo</v>
          </cell>
          <cell r="P58">
            <v>3.5000000000000003E-2</v>
          </cell>
          <cell r="T58">
            <v>2794.13</v>
          </cell>
        </row>
        <row r="59">
          <cell r="B59">
            <v>45643</v>
          </cell>
          <cell r="D59">
            <v>45644</v>
          </cell>
          <cell r="F59" t="str">
            <v>Europe</v>
          </cell>
          <cell r="G59" t="str">
            <v>Germany</v>
          </cell>
          <cell r="H59" t="str">
            <v>Munich</v>
          </cell>
          <cell r="P59">
            <v>0.14699999999999999</v>
          </cell>
          <cell r="T59">
            <v>701.95</v>
          </cell>
        </row>
        <row r="60">
          <cell r="B60">
            <v>45817</v>
          </cell>
          <cell r="D60">
            <v>45826</v>
          </cell>
          <cell r="F60" t="str">
            <v>Europe</v>
          </cell>
          <cell r="G60" t="str">
            <v>France</v>
          </cell>
          <cell r="H60" t="str">
            <v>Marseille</v>
          </cell>
          <cell r="P60">
            <v>7.4999999999999997E-2</v>
          </cell>
          <cell r="T60" t="str">
            <v>1193.87</v>
          </cell>
        </row>
        <row r="61">
          <cell r="B61">
            <v>45779</v>
          </cell>
          <cell r="D61">
            <v>45790</v>
          </cell>
          <cell r="F61" t="str">
            <v>Africa</v>
          </cell>
          <cell r="G61" t="str">
            <v>Kenya</v>
          </cell>
          <cell r="H61" t="str">
            <v>Nakuru</v>
          </cell>
          <cell r="P61">
            <v>0.20499999999999999</v>
          </cell>
          <cell r="T61">
            <v>1437.06</v>
          </cell>
        </row>
        <row r="62">
          <cell r="B62">
            <v>45361</v>
          </cell>
          <cell r="D62">
            <v>45391</v>
          </cell>
          <cell r="F62" t="str">
            <v>Europe</v>
          </cell>
          <cell r="G62" t="str">
            <v>France</v>
          </cell>
          <cell r="H62" t="str">
            <v>Lyon</v>
          </cell>
          <cell r="P62">
            <v>0.11899999999999999</v>
          </cell>
          <cell r="T62">
            <v>1911.89</v>
          </cell>
        </row>
        <row r="63">
          <cell r="B63">
            <v>45910</v>
          </cell>
          <cell r="D63">
            <v>45912</v>
          </cell>
          <cell r="F63" t="str">
            <v>Asia</v>
          </cell>
          <cell r="G63" t="str">
            <v>Japan</v>
          </cell>
          <cell r="H63" t="str">
            <v>Tokyo</v>
          </cell>
          <cell r="P63">
            <v>0.11</v>
          </cell>
          <cell r="T63">
            <v>2593.7800000000002</v>
          </cell>
        </row>
        <row r="64">
          <cell r="B64">
            <v>45774</v>
          </cell>
          <cell r="D64">
            <v>45802</v>
          </cell>
          <cell r="F64" t="str">
            <v>Europe</v>
          </cell>
          <cell r="G64" t="str">
            <v>France</v>
          </cell>
          <cell r="H64" t="str">
            <v>Paris</v>
          </cell>
          <cell r="P64">
            <v>0.2</v>
          </cell>
          <cell r="T64">
            <v>1244.08</v>
          </cell>
        </row>
        <row r="65">
          <cell r="B65">
            <v>45598</v>
          </cell>
          <cell r="D65">
            <v>45614</v>
          </cell>
          <cell r="F65" t="str">
            <v>Asia</v>
          </cell>
          <cell r="G65" t="str">
            <v>India</v>
          </cell>
          <cell r="H65" t="str">
            <v>Mumbai</v>
          </cell>
          <cell r="P65">
            <v>0.255</v>
          </cell>
          <cell r="T65">
            <v>1912.51</v>
          </cell>
        </row>
        <row r="66">
          <cell r="B66">
            <v>44972</v>
          </cell>
          <cell r="D66">
            <v>44983</v>
          </cell>
          <cell r="F66" t="str">
            <v>Africa</v>
          </cell>
          <cell r="G66" t="str">
            <v>South Africa</v>
          </cell>
          <cell r="H66" t="str">
            <v>Johannesburg</v>
          </cell>
          <cell r="P66">
            <v>0.13</v>
          </cell>
          <cell r="T66">
            <v>755.87</v>
          </cell>
        </row>
        <row r="67">
          <cell r="B67">
            <v>45263</v>
          </cell>
          <cell r="D67">
            <v>45286</v>
          </cell>
          <cell r="F67" t="str">
            <v>Americas</v>
          </cell>
          <cell r="G67" t="str">
            <v>Brazil</v>
          </cell>
          <cell r="H67" t="str">
            <v>Rio de Janeiro</v>
          </cell>
          <cell r="P67">
            <v>0.184</v>
          </cell>
          <cell r="T67">
            <v>1145.67</v>
          </cell>
        </row>
        <row r="68">
          <cell r="B68">
            <v>45004</v>
          </cell>
          <cell r="D68">
            <v>45025</v>
          </cell>
          <cell r="F68" t="str">
            <v>Europe</v>
          </cell>
          <cell r="G68" t="str">
            <v>United Kingdom</v>
          </cell>
          <cell r="H68" t="str">
            <v>Manchester</v>
          </cell>
          <cell r="P68">
            <v>0.189</v>
          </cell>
          <cell r="T68">
            <v>1234.0999999999999</v>
          </cell>
        </row>
        <row r="69">
          <cell r="B69">
            <v>45434</v>
          </cell>
          <cell r="D69">
            <v>45449</v>
          </cell>
          <cell r="F69" t="str">
            <v>Asia</v>
          </cell>
          <cell r="G69" t="str">
            <v>Japan</v>
          </cell>
          <cell r="H69" t="str">
            <v>Nagoya</v>
          </cell>
          <cell r="P69">
            <v>0.105</v>
          </cell>
          <cell r="T69">
            <v>1228.01</v>
          </cell>
        </row>
        <row r="70">
          <cell r="B70">
            <v>45157</v>
          </cell>
          <cell r="D70">
            <v>45176</v>
          </cell>
          <cell r="F70" t="str">
            <v>Africa</v>
          </cell>
          <cell r="G70" t="str">
            <v>South Africa</v>
          </cell>
          <cell r="H70" t="str">
            <v>Johannesburg</v>
          </cell>
          <cell r="P70">
            <v>0.20399999999999999</v>
          </cell>
          <cell r="T70">
            <v>605.23</v>
          </cell>
        </row>
        <row r="71">
          <cell r="B71">
            <v>45037</v>
          </cell>
          <cell r="D71">
            <v>45056</v>
          </cell>
          <cell r="F71" t="str">
            <v>Asia</v>
          </cell>
          <cell r="G71" t="str">
            <v>China</v>
          </cell>
          <cell r="H71" t="str">
            <v>Shanghai</v>
          </cell>
          <cell r="P71">
            <v>0.05</v>
          </cell>
          <cell r="T71">
            <v>1880.15</v>
          </cell>
        </row>
        <row r="72">
          <cell r="B72">
            <v>45369</v>
          </cell>
          <cell r="D72">
            <v>45372</v>
          </cell>
          <cell r="F72" t="str">
            <v>Europe</v>
          </cell>
          <cell r="G72" t="str">
            <v>Germany</v>
          </cell>
          <cell r="H72" t="str">
            <v>Munich</v>
          </cell>
          <cell r="P72">
            <v>6.8000000000000005E-2</v>
          </cell>
          <cell r="T72">
            <v>1269.4000000000001</v>
          </cell>
        </row>
        <row r="73">
          <cell r="B73">
            <v>45756</v>
          </cell>
          <cell r="D73">
            <v>45783</v>
          </cell>
          <cell r="F73" t="str">
            <v>Americas</v>
          </cell>
          <cell r="G73" t="str">
            <v>Brazil</v>
          </cell>
          <cell r="H73" t="str">
            <v>Brasília</v>
          </cell>
          <cell r="P73">
            <v>0.14199999999999999</v>
          </cell>
          <cell r="T73">
            <v>620.92999999999995</v>
          </cell>
        </row>
        <row r="74">
          <cell r="B74">
            <v>45394</v>
          </cell>
          <cell r="D74">
            <v>45419</v>
          </cell>
          <cell r="F74" t="str">
            <v>Africa</v>
          </cell>
          <cell r="G74" t="str">
            <v>South Africa</v>
          </cell>
          <cell r="H74" t="str">
            <v>Johannesburg</v>
          </cell>
          <cell r="P74">
            <v>0.185</v>
          </cell>
          <cell r="T74">
            <v>1455.91</v>
          </cell>
        </row>
        <row r="75">
          <cell r="B75">
            <v>45641</v>
          </cell>
          <cell r="D75">
            <v>45646</v>
          </cell>
          <cell r="F75" t="str">
            <v>Asia</v>
          </cell>
          <cell r="G75" t="str">
            <v>China</v>
          </cell>
          <cell r="H75" t="str">
            <v>Shenzhen</v>
          </cell>
          <cell r="P75">
            <v>4.7E-2</v>
          </cell>
          <cell r="T75">
            <v>546.42999999999995</v>
          </cell>
        </row>
        <row r="76">
          <cell r="B76">
            <v>45066</v>
          </cell>
          <cell r="D76">
            <v>45073</v>
          </cell>
          <cell r="F76" t="str">
            <v>Africa</v>
          </cell>
          <cell r="G76" t="str">
            <v>South Africa</v>
          </cell>
          <cell r="H76" t="str">
            <v>Durban</v>
          </cell>
          <cell r="P76">
            <v>0.34300000000000003</v>
          </cell>
          <cell r="T76">
            <v>1347.92</v>
          </cell>
        </row>
        <row r="77">
          <cell r="B77">
            <v>45187</v>
          </cell>
          <cell r="D77">
            <v>45207</v>
          </cell>
          <cell r="F77" t="str">
            <v>Asia</v>
          </cell>
          <cell r="G77" t="str">
            <v>India</v>
          </cell>
          <cell r="H77" t="str">
            <v>Delhi</v>
          </cell>
          <cell r="P77">
            <v>0.114</v>
          </cell>
          <cell r="T77">
            <v>1108.43</v>
          </cell>
        </row>
        <row r="78">
          <cell r="B78">
            <v>45532</v>
          </cell>
          <cell r="D78">
            <v>45560</v>
          </cell>
          <cell r="F78" t="str">
            <v>Americas</v>
          </cell>
          <cell r="G78" t="str">
            <v>Brazil</v>
          </cell>
          <cell r="H78" t="str">
            <v>Rio de Janeiro</v>
          </cell>
          <cell r="P78">
            <v>0.13400000000000001</v>
          </cell>
          <cell r="T78">
            <v>3144.1</v>
          </cell>
        </row>
        <row r="79">
          <cell r="B79">
            <v>45473</v>
          </cell>
          <cell r="D79">
            <v>45480</v>
          </cell>
          <cell r="F79" t="str">
            <v>Americas</v>
          </cell>
          <cell r="G79" t="str">
            <v>Brazil</v>
          </cell>
          <cell r="H79" t="str">
            <v>Rio de Janeiro</v>
          </cell>
          <cell r="P79">
            <v>7.1999999999999995E-2</v>
          </cell>
          <cell r="T79">
            <v>2095.73</v>
          </cell>
        </row>
        <row r="80">
          <cell r="B80">
            <v>45091</v>
          </cell>
          <cell r="D80">
            <v>45093</v>
          </cell>
          <cell r="F80" t="str">
            <v>Europe</v>
          </cell>
          <cell r="G80" t="str">
            <v>United Kingdom</v>
          </cell>
          <cell r="H80" t="str">
            <v>Manchester</v>
          </cell>
          <cell r="P80">
            <v>0.25700000000000001</v>
          </cell>
          <cell r="T80">
            <v>703.62</v>
          </cell>
        </row>
        <row r="81">
          <cell r="B81">
            <v>45617</v>
          </cell>
          <cell r="D81">
            <v>45647</v>
          </cell>
          <cell r="F81" t="str">
            <v>Europe</v>
          </cell>
          <cell r="G81" t="str">
            <v>France</v>
          </cell>
          <cell r="H81" t="str">
            <v>Marseille</v>
          </cell>
          <cell r="P81">
            <v>0.186</v>
          </cell>
          <cell r="T81">
            <v>1997.19</v>
          </cell>
        </row>
        <row r="82">
          <cell r="B82">
            <v>44965</v>
          </cell>
          <cell r="D82">
            <v>44968</v>
          </cell>
          <cell r="F82" t="str">
            <v>Africa</v>
          </cell>
          <cell r="G82" t="str">
            <v>South Africa</v>
          </cell>
          <cell r="H82" t="str">
            <v>Cape Town</v>
          </cell>
          <cell r="P82">
            <v>0.161</v>
          </cell>
          <cell r="T82">
            <v>2763.95</v>
          </cell>
        </row>
        <row r="83">
          <cell r="B83">
            <v>45157</v>
          </cell>
          <cell r="D83">
            <v>45181</v>
          </cell>
          <cell r="F83" t="str">
            <v>Americas</v>
          </cell>
          <cell r="G83" t="str">
            <v>Canada</v>
          </cell>
          <cell r="H83" t="str">
            <v>Vancouver</v>
          </cell>
          <cell r="P83">
            <v>0.24099999999999999</v>
          </cell>
          <cell r="T83">
            <v>1503.53</v>
          </cell>
        </row>
        <row r="84">
          <cell r="B84">
            <v>45791</v>
          </cell>
          <cell r="D84">
            <v>45801</v>
          </cell>
          <cell r="F84" t="str">
            <v>Europe</v>
          </cell>
          <cell r="G84" t="str">
            <v>France</v>
          </cell>
          <cell r="H84" t="str">
            <v>Paris</v>
          </cell>
          <cell r="P84">
            <v>8.4000000000000005E-2</v>
          </cell>
          <cell r="T84">
            <v>388.04</v>
          </cell>
        </row>
        <row r="85">
          <cell r="B85">
            <v>45770</v>
          </cell>
          <cell r="D85">
            <v>45777</v>
          </cell>
          <cell r="F85" t="str">
            <v>Americas</v>
          </cell>
          <cell r="G85" t="str">
            <v>USA</v>
          </cell>
          <cell r="H85" t="str">
            <v>San Francisco</v>
          </cell>
          <cell r="P85">
            <v>0.215</v>
          </cell>
          <cell r="T85">
            <v>44.57</v>
          </cell>
        </row>
        <row r="86">
          <cell r="B86">
            <v>45741</v>
          </cell>
          <cell r="D86">
            <v>45764</v>
          </cell>
          <cell r="F86" t="str">
            <v>Europe</v>
          </cell>
          <cell r="G86" t="str">
            <v>United Kingdom</v>
          </cell>
          <cell r="H86" t="str">
            <v>London</v>
          </cell>
          <cell r="P86">
            <v>0.104</v>
          </cell>
          <cell r="T86">
            <v>1808.26</v>
          </cell>
        </row>
        <row r="87">
          <cell r="B87">
            <v>45282</v>
          </cell>
          <cell r="D87">
            <v>45283</v>
          </cell>
          <cell r="F87" t="str">
            <v>Africa</v>
          </cell>
          <cell r="G87" t="str">
            <v>South Africa</v>
          </cell>
          <cell r="H87" t="str">
            <v>Cape Town</v>
          </cell>
          <cell r="P87">
            <v>7.0000000000000007E-2</v>
          </cell>
          <cell r="T87">
            <v>1285.0899999999999</v>
          </cell>
        </row>
        <row r="88">
          <cell r="B88">
            <v>45388</v>
          </cell>
          <cell r="D88">
            <v>45407</v>
          </cell>
          <cell r="F88" t="str">
            <v>Asia</v>
          </cell>
          <cell r="G88" t="str">
            <v>China</v>
          </cell>
          <cell r="H88" t="str">
            <v>Shanghai</v>
          </cell>
          <cell r="P88">
            <v>0.154</v>
          </cell>
          <cell r="T88">
            <v>1678.14</v>
          </cell>
        </row>
        <row r="89">
          <cell r="B89">
            <v>45876</v>
          </cell>
          <cell r="D89">
            <v>45888</v>
          </cell>
          <cell r="F89" t="str">
            <v>Africa</v>
          </cell>
          <cell r="G89" t="str">
            <v>Kenya</v>
          </cell>
          <cell r="H89" t="str">
            <v>Nakuru</v>
          </cell>
          <cell r="P89">
            <v>0.188</v>
          </cell>
          <cell r="T89">
            <v>679.35</v>
          </cell>
        </row>
        <row r="90">
          <cell r="B90">
            <v>45312</v>
          </cell>
          <cell r="D90">
            <v>45316</v>
          </cell>
          <cell r="F90" t="str">
            <v>Asia</v>
          </cell>
          <cell r="G90" t="str">
            <v>India</v>
          </cell>
          <cell r="H90" t="str">
            <v>Delhi</v>
          </cell>
          <cell r="P90">
            <v>0.03</v>
          </cell>
          <cell r="T90">
            <v>1109.92</v>
          </cell>
        </row>
        <row r="91">
          <cell r="B91">
            <v>45106</v>
          </cell>
          <cell r="D91">
            <v>45109</v>
          </cell>
          <cell r="F91" t="str">
            <v>Asia</v>
          </cell>
          <cell r="G91" t="str">
            <v>Japan</v>
          </cell>
          <cell r="H91" t="str">
            <v>Nagoya</v>
          </cell>
          <cell r="P91">
            <v>6.6000000000000003E-2</v>
          </cell>
          <cell r="T91">
            <v>83.57</v>
          </cell>
        </row>
        <row r="92">
          <cell r="B92">
            <v>45775</v>
          </cell>
          <cell r="D92">
            <v>45792</v>
          </cell>
          <cell r="F92" t="str">
            <v>Asia</v>
          </cell>
          <cell r="G92" t="str">
            <v>Japan</v>
          </cell>
          <cell r="H92" t="str">
            <v>Nagoya</v>
          </cell>
          <cell r="P92">
            <v>7.3999999999999996E-2</v>
          </cell>
          <cell r="T92">
            <v>1284.3</v>
          </cell>
        </row>
        <row r="93">
          <cell r="B93">
            <v>45817</v>
          </cell>
          <cell r="D93">
            <v>45833</v>
          </cell>
          <cell r="F93" t="str">
            <v>Asia</v>
          </cell>
          <cell r="G93" t="str">
            <v>India</v>
          </cell>
          <cell r="H93" t="str">
            <v>Hyderabad</v>
          </cell>
          <cell r="P93">
            <v>0.14399999999999999</v>
          </cell>
          <cell r="T93">
            <v>911.72</v>
          </cell>
        </row>
        <row r="94">
          <cell r="B94">
            <v>45101</v>
          </cell>
          <cell r="D94">
            <v>45108</v>
          </cell>
          <cell r="F94" t="str">
            <v>Americas</v>
          </cell>
          <cell r="G94" t="str">
            <v>Brazil</v>
          </cell>
          <cell r="H94" t="str">
            <v>Rio de Janeiro</v>
          </cell>
          <cell r="P94">
            <v>9.6000000000000002E-2</v>
          </cell>
          <cell r="T94">
            <v>1405.07</v>
          </cell>
        </row>
        <row r="95">
          <cell r="B95">
            <v>45569</v>
          </cell>
          <cell r="D95">
            <v>45598</v>
          </cell>
          <cell r="F95" t="str">
            <v>Africa</v>
          </cell>
          <cell r="G95" t="str">
            <v>Nigeria</v>
          </cell>
          <cell r="H95" t="str">
            <v>Abuja</v>
          </cell>
          <cell r="P95">
            <v>9.9000000000000005E-2</v>
          </cell>
          <cell r="T95">
            <v>968.94</v>
          </cell>
        </row>
        <row r="96">
          <cell r="B96">
            <v>45910</v>
          </cell>
          <cell r="D96">
            <v>45930</v>
          </cell>
          <cell r="F96" t="str">
            <v>Africa</v>
          </cell>
          <cell r="G96" t="str">
            <v>Kenya</v>
          </cell>
          <cell r="H96" t="str">
            <v>Mombasa</v>
          </cell>
          <cell r="P96">
            <v>0.16</v>
          </cell>
          <cell r="T96">
            <v>1088.81</v>
          </cell>
        </row>
        <row r="97">
          <cell r="B97">
            <v>45022</v>
          </cell>
          <cell r="D97">
            <v>45043</v>
          </cell>
          <cell r="F97" t="str">
            <v>Europe</v>
          </cell>
          <cell r="G97" t="str">
            <v>United Kingdom</v>
          </cell>
          <cell r="H97" t="str">
            <v>Manchester</v>
          </cell>
          <cell r="P97">
            <v>3.4000000000000002E-2</v>
          </cell>
          <cell r="T97">
            <v>2484.9899999999998</v>
          </cell>
        </row>
        <row r="98">
          <cell r="B98">
            <v>45870</v>
          </cell>
          <cell r="D98">
            <v>45885</v>
          </cell>
          <cell r="F98" t="str">
            <v>Asia</v>
          </cell>
          <cell r="G98" t="str">
            <v>India</v>
          </cell>
          <cell r="H98" t="str">
            <v>Unknown</v>
          </cell>
          <cell r="P98">
            <v>0.14599999999999999</v>
          </cell>
          <cell r="T98">
            <v>28.69</v>
          </cell>
        </row>
        <row r="99">
          <cell r="B99">
            <v>45440</v>
          </cell>
          <cell r="D99">
            <v>45447</v>
          </cell>
          <cell r="F99" t="str">
            <v>Africa</v>
          </cell>
          <cell r="G99" t="str">
            <v>Nigeria</v>
          </cell>
          <cell r="H99" t="str">
            <v>Abuja</v>
          </cell>
          <cell r="P99">
            <v>0</v>
          </cell>
          <cell r="T99">
            <v>1896.62</v>
          </cell>
        </row>
        <row r="100">
          <cell r="B100">
            <v>45860</v>
          </cell>
          <cell r="D100">
            <v>45887</v>
          </cell>
          <cell r="F100" t="str">
            <v>Asia</v>
          </cell>
          <cell r="G100" t="str">
            <v>China</v>
          </cell>
          <cell r="H100" t="str">
            <v>Shenzhen</v>
          </cell>
          <cell r="P100">
            <v>9.1999999999999998E-2</v>
          </cell>
          <cell r="T100">
            <v>419.17</v>
          </cell>
        </row>
        <row r="101">
          <cell r="B101">
            <v>44985</v>
          </cell>
          <cell r="D101">
            <v>45005</v>
          </cell>
          <cell r="F101" t="str">
            <v>Europe</v>
          </cell>
          <cell r="G101" t="str">
            <v>Germany</v>
          </cell>
          <cell r="H101" t="str">
            <v>Berlin</v>
          </cell>
          <cell r="P101">
            <v>0.29199999999999998</v>
          </cell>
          <cell r="T101">
            <v>2001.17</v>
          </cell>
        </row>
        <row r="102">
          <cell r="B102">
            <v>45684</v>
          </cell>
          <cell r="D102">
            <v>45703</v>
          </cell>
          <cell r="F102" t="str">
            <v>Asia</v>
          </cell>
          <cell r="G102" t="str">
            <v>China</v>
          </cell>
          <cell r="H102" t="str">
            <v>Shenzhen</v>
          </cell>
          <cell r="P102">
            <v>0</v>
          </cell>
          <cell r="T102">
            <v>3104.71</v>
          </cell>
        </row>
        <row r="103">
          <cell r="B103">
            <v>45304</v>
          </cell>
          <cell r="D103">
            <v>45313</v>
          </cell>
          <cell r="F103" t="str">
            <v>Asia</v>
          </cell>
          <cell r="G103" t="str">
            <v>India</v>
          </cell>
          <cell r="H103" t="str">
            <v>Mumbai</v>
          </cell>
          <cell r="P103">
            <v>0.14000000000000001</v>
          </cell>
          <cell r="T103">
            <v>334.28</v>
          </cell>
        </row>
        <row r="104">
          <cell r="B104">
            <v>45747</v>
          </cell>
          <cell r="D104">
            <v>45751</v>
          </cell>
          <cell r="F104" t="str">
            <v>Africa</v>
          </cell>
          <cell r="G104" t="str">
            <v>Kenya</v>
          </cell>
          <cell r="H104" t="str">
            <v>Nakuru</v>
          </cell>
          <cell r="P104">
            <v>0</v>
          </cell>
          <cell r="T104">
            <v>1952.83</v>
          </cell>
        </row>
        <row r="105">
          <cell r="B105">
            <v>45631</v>
          </cell>
          <cell r="D105">
            <v>45654</v>
          </cell>
          <cell r="F105" t="str">
            <v>Americas</v>
          </cell>
          <cell r="G105" t="str">
            <v>Canada</v>
          </cell>
          <cell r="H105" t="str">
            <v>Vancouver</v>
          </cell>
          <cell r="P105">
            <v>0.18</v>
          </cell>
          <cell r="T105">
            <v>242.29</v>
          </cell>
        </row>
        <row r="106">
          <cell r="B106">
            <v>45549</v>
          </cell>
          <cell r="D106">
            <v>45570</v>
          </cell>
          <cell r="F106" t="str">
            <v>Asia</v>
          </cell>
          <cell r="G106" t="str">
            <v>China</v>
          </cell>
          <cell r="H106" t="str">
            <v>Shanghai</v>
          </cell>
          <cell r="P106">
            <v>0.16900000000000001</v>
          </cell>
          <cell r="T106">
            <v>2968.87</v>
          </cell>
        </row>
        <row r="107">
          <cell r="B107">
            <v>45433</v>
          </cell>
          <cell r="D107">
            <v>45439</v>
          </cell>
          <cell r="F107" t="str">
            <v>Africa</v>
          </cell>
          <cell r="G107" t="str">
            <v>South Africa</v>
          </cell>
          <cell r="H107" t="str">
            <v>Johannesburg</v>
          </cell>
          <cell r="P107">
            <v>0.27800000000000002</v>
          </cell>
          <cell r="T107">
            <v>1394.3</v>
          </cell>
        </row>
        <row r="108">
          <cell r="B108">
            <v>45057</v>
          </cell>
          <cell r="D108">
            <v>45084</v>
          </cell>
          <cell r="F108" t="str">
            <v>Africa</v>
          </cell>
          <cell r="G108" t="str">
            <v>Kenya</v>
          </cell>
          <cell r="H108" t="str">
            <v>Mombasa</v>
          </cell>
          <cell r="P108">
            <v>0.13700000000000001</v>
          </cell>
          <cell r="T108">
            <v>15.41</v>
          </cell>
        </row>
        <row r="109">
          <cell r="B109">
            <v>45518</v>
          </cell>
          <cell r="D109">
            <v>45539</v>
          </cell>
          <cell r="F109" t="str">
            <v>Europe</v>
          </cell>
          <cell r="G109" t="str">
            <v>United Kingdom</v>
          </cell>
          <cell r="H109" t="str">
            <v>Manchester</v>
          </cell>
          <cell r="P109">
            <v>0.123</v>
          </cell>
          <cell r="T109">
            <v>2250.81</v>
          </cell>
        </row>
        <row r="110">
          <cell r="B110">
            <v>45581</v>
          </cell>
          <cell r="D110">
            <v>45604</v>
          </cell>
          <cell r="F110" t="str">
            <v>Asia</v>
          </cell>
          <cell r="G110" t="str">
            <v>Japan</v>
          </cell>
          <cell r="H110" t="str">
            <v>Osaka</v>
          </cell>
          <cell r="P110">
            <v>0</v>
          </cell>
          <cell r="T110">
            <v>166.04</v>
          </cell>
        </row>
        <row r="111">
          <cell r="B111">
            <v>45445</v>
          </cell>
          <cell r="D111">
            <v>45451</v>
          </cell>
          <cell r="F111" t="str">
            <v>Africa</v>
          </cell>
          <cell r="G111" t="str">
            <v>Kenya</v>
          </cell>
          <cell r="H111" t="str">
            <v>Kisumu</v>
          </cell>
          <cell r="P111">
            <v>0.22900000000000001</v>
          </cell>
          <cell r="T111">
            <v>356.55</v>
          </cell>
        </row>
        <row r="112">
          <cell r="B112">
            <v>45452</v>
          </cell>
          <cell r="D112">
            <v>45480</v>
          </cell>
          <cell r="F112" t="str">
            <v>Asia</v>
          </cell>
          <cell r="G112" t="str">
            <v>China</v>
          </cell>
          <cell r="H112" t="str">
            <v>Shenzhen</v>
          </cell>
          <cell r="P112">
            <v>0</v>
          </cell>
          <cell r="T112">
            <v>1025.05</v>
          </cell>
        </row>
        <row r="113">
          <cell r="B113">
            <v>45453</v>
          </cell>
          <cell r="D113">
            <v>45454</v>
          </cell>
          <cell r="F113" t="str">
            <v>Europe</v>
          </cell>
          <cell r="G113" t="str">
            <v>United Kingdom</v>
          </cell>
          <cell r="H113" t="str">
            <v>Birmingham</v>
          </cell>
          <cell r="P113">
            <v>1.2E-2</v>
          </cell>
          <cell r="T113">
            <v>1795.17</v>
          </cell>
        </row>
        <row r="114">
          <cell r="B114">
            <v>45472</v>
          </cell>
          <cell r="D114">
            <v>45499</v>
          </cell>
          <cell r="F114" t="str">
            <v>Africa</v>
          </cell>
          <cell r="G114" t="str">
            <v>South Africa</v>
          </cell>
          <cell r="H114" t="str">
            <v>Durban</v>
          </cell>
          <cell r="P114">
            <v>0.11799999999999999</v>
          </cell>
          <cell r="T114">
            <v>4.37</v>
          </cell>
        </row>
        <row r="115">
          <cell r="B115">
            <v>45674</v>
          </cell>
          <cell r="D115">
            <v>45681</v>
          </cell>
          <cell r="F115" t="str">
            <v>Americas</v>
          </cell>
          <cell r="G115" t="str">
            <v>USA</v>
          </cell>
          <cell r="H115" t="str">
            <v>Austin</v>
          </cell>
          <cell r="P115">
            <v>0.11899999999999999</v>
          </cell>
          <cell r="T115">
            <v>218.5</v>
          </cell>
        </row>
        <row r="116">
          <cell r="B116">
            <v>45250</v>
          </cell>
          <cell r="D116">
            <v>45265</v>
          </cell>
          <cell r="F116" t="str">
            <v>Asia</v>
          </cell>
          <cell r="G116" t="str">
            <v>Japan</v>
          </cell>
          <cell r="H116" t="str">
            <v>Tokyo</v>
          </cell>
          <cell r="P116">
            <v>0</v>
          </cell>
          <cell r="T116">
            <v>249.87</v>
          </cell>
        </row>
        <row r="117">
          <cell r="B117">
            <v>44987</v>
          </cell>
          <cell r="D117">
            <v>44990</v>
          </cell>
          <cell r="F117" t="str">
            <v>Americas</v>
          </cell>
          <cell r="G117" t="str">
            <v>Brazil</v>
          </cell>
          <cell r="H117" t="str">
            <v>Brasília</v>
          </cell>
          <cell r="P117">
            <v>0.108</v>
          </cell>
          <cell r="T117">
            <v>3436.52</v>
          </cell>
        </row>
        <row r="118">
          <cell r="B118">
            <v>45811</v>
          </cell>
          <cell r="D118">
            <v>45818</v>
          </cell>
          <cell r="F118" t="str">
            <v>Americas</v>
          </cell>
          <cell r="G118" t="str">
            <v>Canada</v>
          </cell>
          <cell r="H118" t="str">
            <v>Toronto</v>
          </cell>
          <cell r="P118">
            <v>0.157</v>
          </cell>
          <cell r="T118">
            <v>53.45</v>
          </cell>
        </row>
        <row r="119">
          <cell r="B119">
            <v>45653</v>
          </cell>
          <cell r="D119">
            <v>45659</v>
          </cell>
          <cell r="F119" t="str">
            <v>Europe</v>
          </cell>
          <cell r="G119" t="str">
            <v>Germany</v>
          </cell>
          <cell r="H119" t="str">
            <v>Frankfurt</v>
          </cell>
          <cell r="P119">
            <v>0.184</v>
          </cell>
          <cell r="T119">
            <v>3469.7</v>
          </cell>
        </row>
        <row r="120">
          <cell r="B120">
            <v>45086</v>
          </cell>
          <cell r="D120">
            <v>45096</v>
          </cell>
          <cell r="F120" t="str">
            <v>Asia</v>
          </cell>
          <cell r="G120" t="str">
            <v>China</v>
          </cell>
          <cell r="H120" t="str">
            <v>Beijing</v>
          </cell>
          <cell r="P120">
            <v>7.0999999999999994E-2</v>
          </cell>
          <cell r="T120">
            <v>621.02</v>
          </cell>
        </row>
        <row r="121">
          <cell r="B121">
            <v>45847</v>
          </cell>
          <cell r="D121">
            <v>45856</v>
          </cell>
          <cell r="F121" t="str">
            <v>Americas</v>
          </cell>
          <cell r="G121" t="str">
            <v>Canada</v>
          </cell>
          <cell r="H121" t="str">
            <v>Vancouver</v>
          </cell>
          <cell r="P121">
            <v>4.2999999999999997E-2</v>
          </cell>
          <cell r="T121">
            <v>88.51</v>
          </cell>
        </row>
        <row r="122">
          <cell r="B122">
            <v>45827</v>
          </cell>
          <cell r="D122">
            <v>45850</v>
          </cell>
          <cell r="F122" t="str">
            <v>Europe</v>
          </cell>
          <cell r="G122" t="str">
            <v>United Kingdom</v>
          </cell>
          <cell r="H122" t="str">
            <v>Unknown</v>
          </cell>
          <cell r="P122">
            <v>0.123</v>
          </cell>
          <cell r="T122">
            <v>1959.09</v>
          </cell>
        </row>
        <row r="123">
          <cell r="B123">
            <v>45249</v>
          </cell>
          <cell r="D123">
            <v>45273</v>
          </cell>
          <cell r="F123" t="str">
            <v>Europe</v>
          </cell>
          <cell r="G123" t="str">
            <v>France</v>
          </cell>
          <cell r="H123" t="str">
            <v>Lyon</v>
          </cell>
          <cell r="P123">
            <v>6.9000000000000006E-2</v>
          </cell>
          <cell r="T123">
            <v>2742.97</v>
          </cell>
        </row>
        <row r="124">
          <cell r="B124">
            <v>45289</v>
          </cell>
          <cell r="D124">
            <v>45311</v>
          </cell>
          <cell r="F124" t="str">
            <v>Africa</v>
          </cell>
          <cell r="G124" t="str">
            <v>Kenya</v>
          </cell>
          <cell r="H124" t="str">
            <v>Kisumu</v>
          </cell>
          <cell r="P124">
            <v>0.20300000000000001</v>
          </cell>
          <cell r="T124">
            <v>1679.42</v>
          </cell>
        </row>
        <row r="125">
          <cell r="B125">
            <v>45598</v>
          </cell>
          <cell r="D125">
            <v>45625</v>
          </cell>
          <cell r="F125" t="str">
            <v>Americas</v>
          </cell>
          <cell r="G125" t="str">
            <v>Brazil</v>
          </cell>
          <cell r="H125" t="str">
            <v>Brasília</v>
          </cell>
          <cell r="P125">
            <v>5.7000000000000002E-2</v>
          </cell>
          <cell r="T125">
            <v>1433.9</v>
          </cell>
        </row>
        <row r="126">
          <cell r="B126">
            <v>45159</v>
          </cell>
          <cell r="D126">
            <v>45173</v>
          </cell>
          <cell r="F126" t="str">
            <v>Americas</v>
          </cell>
          <cell r="G126" t="str">
            <v>Canada</v>
          </cell>
          <cell r="H126" t="str">
            <v>Montreal</v>
          </cell>
          <cell r="P126">
            <v>8.8999999999999996E-2</v>
          </cell>
          <cell r="T126">
            <v>284.43</v>
          </cell>
        </row>
        <row r="127">
          <cell r="B127">
            <v>45150</v>
          </cell>
          <cell r="D127">
            <v>45175</v>
          </cell>
          <cell r="F127" t="str">
            <v>Asia</v>
          </cell>
          <cell r="G127" t="str">
            <v>China</v>
          </cell>
          <cell r="H127" t="str">
            <v>Shanghai</v>
          </cell>
          <cell r="P127">
            <v>8.4000000000000005E-2</v>
          </cell>
          <cell r="T127">
            <v>694.78</v>
          </cell>
        </row>
        <row r="128">
          <cell r="B128">
            <v>45450</v>
          </cell>
          <cell r="D128">
            <v>45469</v>
          </cell>
          <cell r="F128" t="str">
            <v>Europe</v>
          </cell>
          <cell r="G128" t="str">
            <v>Germany</v>
          </cell>
          <cell r="H128" t="str">
            <v>Berlin</v>
          </cell>
          <cell r="P128">
            <v>7.2999999999999995E-2</v>
          </cell>
          <cell r="T128">
            <v>1848.39</v>
          </cell>
        </row>
        <row r="129">
          <cell r="B129">
            <v>45874</v>
          </cell>
          <cell r="D129">
            <v>45883</v>
          </cell>
          <cell r="F129" t="str">
            <v>Europe</v>
          </cell>
          <cell r="G129" t="str">
            <v>United Kingdom</v>
          </cell>
          <cell r="H129" t="str">
            <v>London</v>
          </cell>
          <cell r="P129">
            <v>0.17899999999999999</v>
          </cell>
          <cell r="T129">
            <v>45.19</v>
          </cell>
        </row>
        <row r="130">
          <cell r="B130">
            <v>45442</v>
          </cell>
          <cell r="D130">
            <v>45456</v>
          </cell>
          <cell r="F130" t="str">
            <v>Americas</v>
          </cell>
          <cell r="G130" t="str">
            <v>USA</v>
          </cell>
          <cell r="H130" t="str">
            <v>San Francisco</v>
          </cell>
          <cell r="P130">
            <v>0.187</v>
          </cell>
          <cell r="T130">
            <v>361.1</v>
          </cell>
        </row>
        <row r="131">
          <cell r="B131">
            <v>44948</v>
          </cell>
          <cell r="D131">
            <v>44956</v>
          </cell>
          <cell r="F131" t="str">
            <v>Americas</v>
          </cell>
          <cell r="G131" t="str">
            <v>USA</v>
          </cell>
          <cell r="H131" t="str">
            <v>San Francisco</v>
          </cell>
          <cell r="P131">
            <v>0.111</v>
          </cell>
          <cell r="T131">
            <v>1004.34</v>
          </cell>
        </row>
        <row r="132">
          <cell r="B132">
            <v>45700</v>
          </cell>
          <cell r="D132">
            <v>45716</v>
          </cell>
          <cell r="F132" t="str">
            <v>Americas</v>
          </cell>
          <cell r="G132" t="str">
            <v>Brazil</v>
          </cell>
          <cell r="H132" t="str">
            <v>São Paulo</v>
          </cell>
          <cell r="P132">
            <v>6.3E-2</v>
          </cell>
          <cell r="T132">
            <v>1027.73</v>
          </cell>
        </row>
        <row r="133">
          <cell r="B133">
            <v>45719</v>
          </cell>
          <cell r="D133">
            <v>45740</v>
          </cell>
          <cell r="F133" t="str">
            <v>Africa</v>
          </cell>
          <cell r="G133" t="str">
            <v>Nigeria</v>
          </cell>
          <cell r="H133" t="str">
            <v>Abuja</v>
          </cell>
          <cell r="P133">
            <v>0.14199999999999999</v>
          </cell>
          <cell r="T133">
            <v>468.09</v>
          </cell>
        </row>
        <row r="134">
          <cell r="B134">
            <v>44953</v>
          </cell>
          <cell r="D134">
            <v>44957</v>
          </cell>
          <cell r="F134" t="str">
            <v>Europe</v>
          </cell>
          <cell r="G134" t="str">
            <v>United Kingdom</v>
          </cell>
          <cell r="H134" t="str">
            <v>Manchester</v>
          </cell>
          <cell r="P134">
            <v>0.22</v>
          </cell>
          <cell r="T134">
            <v>668.02</v>
          </cell>
        </row>
        <row r="135">
          <cell r="B135">
            <v>45666</v>
          </cell>
          <cell r="D135">
            <v>45672</v>
          </cell>
          <cell r="F135" t="str">
            <v>Asia</v>
          </cell>
          <cell r="G135" t="str">
            <v>China</v>
          </cell>
          <cell r="H135" t="str">
            <v>Beijing</v>
          </cell>
          <cell r="P135">
            <v>0.187</v>
          </cell>
          <cell r="T135">
            <v>537.27</v>
          </cell>
        </row>
        <row r="136">
          <cell r="B136">
            <v>45647</v>
          </cell>
          <cell r="D136">
            <v>45652</v>
          </cell>
          <cell r="F136" t="str">
            <v>Americas</v>
          </cell>
          <cell r="G136" t="str">
            <v>USA</v>
          </cell>
          <cell r="H136" t="str">
            <v>San Francisco</v>
          </cell>
          <cell r="P136">
            <v>0.192</v>
          </cell>
          <cell r="T136">
            <v>572.71</v>
          </cell>
        </row>
        <row r="137">
          <cell r="B137">
            <v>45028</v>
          </cell>
          <cell r="D137">
            <v>45033</v>
          </cell>
          <cell r="F137" t="str">
            <v>Europe</v>
          </cell>
          <cell r="G137" t="str">
            <v>France</v>
          </cell>
          <cell r="H137" t="str">
            <v>Lyon</v>
          </cell>
          <cell r="P137">
            <v>9.4E-2</v>
          </cell>
          <cell r="T137">
            <v>2323.87</v>
          </cell>
        </row>
        <row r="138">
          <cell r="B138">
            <v>45640</v>
          </cell>
          <cell r="D138">
            <v>45669</v>
          </cell>
          <cell r="F138" t="str">
            <v>Asia</v>
          </cell>
          <cell r="G138" t="str">
            <v>China</v>
          </cell>
          <cell r="H138" t="str">
            <v>Shenzhen</v>
          </cell>
          <cell r="P138">
            <v>8.9999999999999993E-3</v>
          </cell>
          <cell r="T138">
            <v>1631.04</v>
          </cell>
        </row>
        <row r="139">
          <cell r="B139">
            <v>45016</v>
          </cell>
          <cell r="D139">
            <v>45028</v>
          </cell>
          <cell r="F139" t="str">
            <v>Africa</v>
          </cell>
          <cell r="G139" t="str">
            <v>Kenya</v>
          </cell>
          <cell r="H139" t="str">
            <v>Mombasa</v>
          </cell>
          <cell r="P139">
            <v>0.26500000000000001</v>
          </cell>
          <cell r="T139">
            <v>393.31</v>
          </cell>
        </row>
        <row r="140">
          <cell r="B140">
            <v>45616</v>
          </cell>
          <cell r="D140">
            <v>45641</v>
          </cell>
          <cell r="F140" t="str">
            <v>Europe</v>
          </cell>
          <cell r="G140" t="str">
            <v>France</v>
          </cell>
          <cell r="H140" t="str">
            <v>Paris</v>
          </cell>
          <cell r="P140">
            <v>0.129</v>
          </cell>
          <cell r="T140">
            <v>1856.16</v>
          </cell>
        </row>
        <row r="141">
          <cell r="B141">
            <v>45336</v>
          </cell>
          <cell r="D141">
            <v>45336</v>
          </cell>
          <cell r="F141" t="str">
            <v>Asia</v>
          </cell>
          <cell r="G141" t="str">
            <v>China</v>
          </cell>
          <cell r="H141" t="str">
            <v>Beijing</v>
          </cell>
          <cell r="P141">
            <v>0.25900000000000001</v>
          </cell>
          <cell r="T141">
            <v>84.9</v>
          </cell>
        </row>
        <row r="142">
          <cell r="B142">
            <v>45048</v>
          </cell>
          <cell r="D142">
            <v>45064</v>
          </cell>
          <cell r="F142" t="str">
            <v>Asia</v>
          </cell>
          <cell r="G142" t="str">
            <v>India</v>
          </cell>
          <cell r="H142" t="str">
            <v>Delhi</v>
          </cell>
          <cell r="P142">
            <v>0.11799999999999999</v>
          </cell>
          <cell r="T142">
            <v>2252.2399999999998</v>
          </cell>
        </row>
        <row r="143">
          <cell r="B143">
            <v>45649</v>
          </cell>
          <cell r="D143">
            <v>45668</v>
          </cell>
          <cell r="F143" t="str">
            <v>Europe</v>
          </cell>
          <cell r="G143" t="str">
            <v>Germany</v>
          </cell>
          <cell r="H143" t="str">
            <v>Berlin</v>
          </cell>
          <cell r="P143">
            <v>0.01</v>
          </cell>
          <cell r="T143">
            <v>921.62</v>
          </cell>
        </row>
        <row r="144">
          <cell r="B144">
            <v>45133</v>
          </cell>
          <cell r="D144">
            <v>45163</v>
          </cell>
          <cell r="F144" t="str">
            <v>Americas</v>
          </cell>
          <cell r="G144" t="str">
            <v>USA</v>
          </cell>
          <cell r="H144" t="str">
            <v>New York</v>
          </cell>
          <cell r="P144">
            <v>0.151</v>
          </cell>
          <cell r="T144">
            <v>1643.18</v>
          </cell>
        </row>
        <row r="145">
          <cell r="B145">
            <v>45458</v>
          </cell>
          <cell r="D145">
            <v>45479</v>
          </cell>
          <cell r="F145" t="str">
            <v>Americas</v>
          </cell>
          <cell r="G145" t="str">
            <v>Canada</v>
          </cell>
          <cell r="H145" t="str">
            <v>Toronto</v>
          </cell>
          <cell r="P145">
            <v>0.245</v>
          </cell>
          <cell r="T145">
            <v>1467.17</v>
          </cell>
        </row>
        <row r="146">
          <cell r="B146">
            <v>45112</v>
          </cell>
          <cell r="D146">
            <v>45121</v>
          </cell>
          <cell r="F146" t="str">
            <v>Americas</v>
          </cell>
          <cell r="G146" t="str">
            <v>Brazil</v>
          </cell>
          <cell r="H146" t="str">
            <v>Brasília</v>
          </cell>
          <cell r="P146">
            <v>8.2000000000000003E-2</v>
          </cell>
          <cell r="T146">
            <v>998.76</v>
          </cell>
        </row>
        <row r="147">
          <cell r="B147">
            <v>45260</v>
          </cell>
          <cell r="D147">
            <v>45267</v>
          </cell>
          <cell r="F147" t="str">
            <v>Africa</v>
          </cell>
          <cell r="G147" t="str">
            <v>South Africa</v>
          </cell>
          <cell r="H147" t="str">
            <v>Durban</v>
          </cell>
          <cell r="P147">
            <v>0.107</v>
          </cell>
          <cell r="T147">
            <v>630.72</v>
          </cell>
        </row>
        <row r="148">
          <cell r="B148">
            <v>45911</v>
          </cell>
          <cell r="D148">
            <v>45928</v>
          </cell>
          <cell r="F148" t="str">
            <v>Africa</v>
          </cell>
          <cell r="G148" t="str">
            <v>Kenya</v>
          </cell>
          <cell r="H148" t="str">
            <v>Nairobi</v>
          </cell>
          <cell r="P148">
            <v>0.185</v>
          </cell>
          <cell r="T148">
            <v>728.61</v>
          </cell>
        </row>
        <row r="149">
          <cell r="B149">
            <v>45386</v>
          </cell>
          <cell r="D149">
            <v>45406</v>
          </cell>
          <cell r="F149" t="str">
            <v>Europe</v>
          </cell>
          <cell r="G149" t="str">
            <v>Germany</v>
          </cell>
          <cell r="H149" t="str">
            <v>Frankfurt</v>
          </cell>
          <cell r="P149">
            <v>0</v>
          </cell>
          <cell r="T149">
            <v>951.51</v>
          </cell>
        </row>
        <row r="150">
          <cell r="B150">
            <v>45183</v>
          </cell>
          <cell r="D150">
            <v>45185</v>
          </cell>
          <cell r="F150" t="str">
            <v>Europe</v>
          </cell>
          <cell r="G150" t="str">
            <v>France</v>
          </cell>
          <cell r="H150" t="str">
            <v>Lyon</v>
          </cell>
          <cell r="P150">
            <v>0.188</v>
          </cell>
          <cell r="T150">
            <v>732.88</v>
          </cell>
        </row>
        <row r="151">
          <cell r="B151">
            <v>45558</v>
          </cell>
          <cell r="D151">
            <v>45583</v>
          </cell>
          <cell r="F151" t="str">
            <v>Americas</v>
          </cell>
          <cell r="G151" t="str">
            <v>Canada</v>
          </cell>
          <cell r="H151" t="str">
            <v>Vancouver</v>
          </cell>
          <cell r="P151">
            <v>2.1000000000000001E-2</v>
          </cell>
          <cell r="T151">
            <v>2411.52</v>
          </cell>
        </row>
        <row r="152">
          <cell r="B152">
            <v>45763</v>
          </cell>
          <cell r="D152">
            <v>45793</v>
          </cell>
          <cell r="F152" t="str">
            <v>Americas</v>
          </cell>
          <cell r="G152" t="str">
            <v>Canada</v>
          </cell>
          <cell r="H152" t="str">
            <v>Montreal</v>
          </cell>
          <cell r="P152">
            <v>0.13100000000000001</v>
          </cell>
          <cell r="T152">
            <v>568.29</v>
          </cell>
        </row>
        <row r="153">
          <cell r="B153">
            <v>45110</v>
          </cell>
          <cell r="D153">
            <v>45130</v>
          </cell>
          <cell r="F153" t="str">
            <v>Africa</v>
          </cell>
          <cell r="G153" t="str">
            <v>South Africa</v>
          </cell>
          <cell r="H153" t="str">
            <v>Johannesburg</v>
          </cell>
          <cell r="P153">
            <v>4.4999999999999998E-2</v>
          </cell>
          <cell r="T153">
            <v>1254.95</v>
          </cell>
        </row>
        <row r="154">
          <cell r="B154">
            <v>45267</v>
          </cell>
          <cell r="D154">
            <v>45274</v>
          </cell>
          <cell r="F154" t="str">
            <v>Asia</v>
          </cell>
          <cell r="G154" t="str">
            <v>Japan</v>
          </cell>
          <cell r="H154" t="str">
            <v>Tokyo</v>
          </cell>
          <cell r="P154">
            <v>0.184</v>
          </cell>
          <cell r="T154">
            <v>845.55</v>
          </cell>
        </row>
        <row r="155">
          <cell r="B155">
            <v>45340</v>
          </cell>
          <cell r="D155">
            <v>45355</v>
          </cell>
          <cell r="F155" t="str">
            <v>Africa</v>
          </cell>
          <cell r="G155" t="str">
            <v>Kenya</v>
          </cell>
          <cell r="H155" t="str">
            <v>Kisumu</v>
          </cell>
          <cell r="P155">
            <v>0.13600000000000001</v>
          </cell>
          <cell r="T155">
            <v>2145.17</v>
          </cell>
        </row>
        <row r="156">
          <cell r="B156">
            <v>45230</v>
          </cell>
          <cell r="D156">
            <v>45232</v>
          </cell>
          <cell r="F156" t="str">
            <v>Africa</v>
          </cell>
          <cell r="G156" t="str">
            <v>Kenya</v>
          </cell>
          <cell r="H156" t="str">
            <v>Kisumu</v>
          </cell>
          <cell r="P156">
            <v>0.184</v>
          </cell>
          <cell r="T156">
            <v>1349.94</v>
          </cell>
        </row>
        <row r="157">
          <cell r="B157">
            <v>45511</v>
          </cell>
          <cell r="D157">
            <v>45521</v>
          </cell>
          <cell r="F157" t="str">
            <v>Asia</v>
          </cell>
          <cell r="G157" t="str">
            <v>Japan</v>
          </cell>
          <cell r="H157" t="str">
            <v>Osaka</v>
          </cell>
          <cell r="P157">
            <v>0.111</v>
          </cell>
          <cell r="T157">
            <v>527.48</v>
          </cell>
        </row>
        <row r="158">
          <cell r="B158">
            <v>45323</v>
          </cell>
          <cell r="D158">
            <v>45343</v>
          </cell>
          <cell r="F158" t="str">
            <v>Europe</v>
          </cell>
          <cell r="G158" t="str">
            <v>France</v>
          </cell>
          <cell r="H158" t="str">
            <v>Paris</v>
          </cell>
          <cell r="P158">
            <v>1.7999999999999999E-2</v>
          </cell>
          <cell r="T158">
            <v>1467.17</v>
          </cell>
        </row>
        <row r="159">
          <cell r="B159">
            <v>45531</v>
          </cell>
          <cell r="D159">
            <v>45553</v>
          </cell>
          <cell r="F159" t="str">
            <v>Asia</v>
          </cell>
          <cell r="G159" t="str">
            <v>India</v>
          </cell>
          <cell r="H159" t="str">
            <v>Delhi</v>
          </cell>
          <cell r="P159">
            <v>2.5000000000000001E-2</v>
          </cell>
          <cell r="T159">
            <v>1651.14</v>
          </cell>
        </row>
        <row r="160">
          <cell r="B160">
            <v>45703</v>
          </cell>
          <cell r="D160">
            <v>45703</v>
          </cell>
          <cell r="F160" t="str">
            <v>Europe</v>
          </cell>
          <cell r="G160" t="str">
            <v>Germany</v>
          </cell>
          <cell r="H160" t="str">
            <v>Frankfurt</v>
          </cell>
          <cell r="P160">
            <v>0.127</v>
          </cell>
          <cell r="T160">
            <v>1982.18</v>
          </cell>
        </row>
        <row r="161">
          <cell r="B161">
            <v>45870</v>
          </cell>
          <cell r="D161">
            <v>45890</v>
          </cell>
          <cell r="F161" t="str">
            <v>Asia</v>
          </cell>
          <cell r="G161" t="str">
            <v>China</v>
          </cell>
          <cell r="H161" t="str">
            <v>Shanghai</v>
          </cell>
          <cell r="P161">
            <v>0.18099999999999999</v>
          </cell>
          <cell r="T161">
            <v>2552.2199999999998</v>
          </cell>
        </row>
        <row r="162">
          <cell r="B162">
            <v>44977</v>
          </cell>
          <cell r="D162">
            <v>44989</v>
          </cell>
          <cell r="F162" t="str">
            <v>Asia</v>
          </cell>
          <cell r="G162" t="str">
            <v>India</v>
          </cell>
          <cell r="H162" t="str">
            <v>Delhi</v>
          </cell>
          <cell r="P162">
            <v>0.157</v>
          </cell>
          <cell r="T162">
            <v>523.01</v>
          </cell>
        </row>
        <row r="163">
          <cell r="B163">
            <v>45595</v>
          </cell>
          <cell r="D163">
            <v>45620</v>
          </cell>
          <cell r="F163" t="str">
            <v>Asia</v>
          </cell>
          <cell r="G163" t="str">
            <v>China</v>
          </cell>
          <cell r="H163" t="str">
            <v>Shenzhen</v>
          </cell>
          <cell r="P163">
            <v>7.1999999999999995E-2</v>
          </cell>
          <cell r="T163">
            <v>1217.71</v>
          </cell>
        </row>
        <row r="164">
          <cell r="B164">
            <v>45385</v>
          </cell>
          <cell r="D164">
            <v>45389</v>
          </cell>
          <cell r="F164" t="str">
            <v>Americas</v>
          </cell>
          <cell r="G164" t="str">
            <v>Brazil</v>
          </cell>
          <cell r="H164" t="str">
            <v>Brasília</v>
          </cell>
          <cell r="P164">
            <v>0.13300000000000001</v>
          </cell>
          <cell r="T164">
            <v>1343.64</v>
          </cell>
        </row>
        <row r="165">
          <cell r="B165">
            <v>45010</v>
          </cell>
          <cell r="D165">
            <v>45011</v>
          </cell>
          <cell r="F165" t="str">
            <v>Asia</v>
          </cell>
          <cell r="G165" t="str">
            <v>Japan</v>
          </cell>
          <cell r="H165" t="str">
            <v>Osaka</v>
          </cell>
          <cell r="P165">
            <v>0.14000000000000001</v>
          </cell>
          <cell r="T165">
            <v>301.7</v>
          </cell>
        </row>
        <row r="166">
          <cell r="B166">
            <v>45447</v>
          </cell>
          <cell r="D166">
            <v>45459</v>
          </cell>
          <cell r="F166" t="str">
            <v>Asia</v>
          </cell>
          <cell r="G166" t="str">
            <v>China</v>
          </cell>
          <cell r="H166" t="str">
            <v>Shanghai</v>
          </cell>
          <cell r="P166">
            <v>0.02</v>
          </cell>
          <cell r="T166">
            <v>1511.71</v>
          </cell>
        </row>
        <row r="167">
          <cell r="B167">
            <v>44976</v>
          </cell>
          <cell r="D167">
            <v>44997</v>
          </cell>
          <cell r="F167" t="str">
            <v>Europe</v>
          </cell>
          <cell r="G167" t="str">
            <v>Germany</v>
          </cell>
          <cell r="H167" t="str">
            <v>Berlin</v>
          </cell>
          <cell r="P167">
            <v>5.2999999999999999E-2</v>
          </cell>
          <cell r="T167">
            <v>2055.2399999999998</v>
          </cell>
        </row>
        <row r="168">
          <cell r="B168">
            <v>45034</v>
          </cell>
          <cell r="D168">
            <v>45064</v>
          </cell>
          <cell r="F168" t="str">
            <v>Asia</v>
          </cell>
          <cell r="G168" t="str">
            <v>China</v>
          </cell>
          <cell r="H168" t="str">
            <v>Shenzhen</v>
          </cell>
          <cell r="P168">
            <v>0.19700000000000001</v>
          </cell>
          <cell r="T168">
            <v>391.15</v>
          </cell>
        </row>
        <row r="169">
          <cell r="B169">
            <v>45435</v>
          </cell>
          <cell r="D169">
            <v>45457</v>
          </cell>
          <cell r="F169" t="str">
            <v>Europe</v>
          </cell>
          <cell r="G169" t="str">
            <v>France</v>
          </cell>
          <cell r="H169" t="str">
            <v>Marseille</v>
          </cell>
          <cell r="P169">
            <v>0.254</v>
          </cell>
          <cell r="T169">
            <v>1848.97</v>
          </cell>
        </row>
        <row r="170">
          <cell r="B170">
            <v>45206</v>
          </cell>
          <cell r="D170">
            <v>45222</v>
          </cell>
          <cell r="F170" t="str">
            <v>Asia</v>
          </cell>
          <cell r="G170" t="str">
            <v>India</v>
          </cell>
          <cell r="H170" t="str">
            <v>Hyderabad</v>
          </cell>
          <cell r="P170">
            <v>0.185</v>
          </cell>
          <cell r="T170">
            <v>1395.56</v>
          </cell>
        </row>
        <row r="171">
          <cell r="B171">
            <v>45574</v>
          </cell>
          <cell r="D171">
            <v>45604</v>
          </cell>
          <cell r="F171" t="str">
            <v>Europe</v>
          </cell>
          <cell r="G171" t="str">
            <v>United Kingdom</v>
          </cell>
          <cell r="H171" t="str">
            <v>Manchester</v>
          </cell>
          <cell r="P171">
            <v>0.13900000000000001</v>
          </cell>
          <cell r="T171">
            <v>538.04</v>
          </cell>
        </row>
        <row r="172">
          <cell r="B172">
            <v>45488</v>
          </cell>
          <cell r="D172">
            <v>45488</v>
          </cell>
          <cell r="F172" t="str">
            <v>Asia</v>
          </cell>
          <cell r="G172" t="str">
            <v>Japan</v>
          </cell>
          <cell r="H172" t="str">
            <v>Tokyo</v>
          </cell>
          <cell r="P172">
            <v>0.254</v>
          </cell>
          <cell r="T172">
            <v>1218.92</v>
          </cell>
        </row>
        <row r="173">
          <cell r="B173">
            <v>45190</v>
          </cell>
          <cell r="D173">
            <v>45209</v>
          </cell>
          <cell r="F173" t="str">
            <v>Asia</v>
          </cell>
          <cell r="G173" t="str">
            <v>Japan</v>
          </cell>
          <cell r="H173" t="str">
            <v>Tokyo</v>
          </cell>
          <cell r="P173">
            <v>0.13400000000000001</v>
          </cell>
          <cell r="T173">
            <v>2062.12</v>
          </cell>
        </row>
        <row r="174">
          <cell r="B174">
            <v>44981</v>
          </cell>
          <cell r="D174">
            <v>44994</v>
          </cell>
          <cell r="F174" t="str">
            <v>Americas</v>
          </cell>
          <cell r="G174" t="str">
            <v>USA</v>
          </cell>
          <cell r="H174" t="str">
            <v>New York</v>
          </cell>
          <cell r="P174">
            <v>4.7E-2</v>
          </cell>
          <cell r="T174">
            <v>10.18</v>
          </cell>
        </row>
        <row r="175">
          <cell r="B175">
            <v>45798</v>
          </cell>
          <cell r="D175">
            <v>45805</v>
          </cell>
          <cell r="F175" t="str">
            <v>Africa</v>
          </cell>
          <cell r="G175" t="str">
            <v>South Africa</v>
          </cell>
          <cell r="H175" t="str">
            <v>Johannesburg</v>
          </cell>
          <cell r="P175">
            <v>7.8E-2</v>
          </cell>
          <cell r="T175">
            <v>2281.7199999999998</v>
          </cell>
        </row>
        <row r="176">
          <cell r="B176">
            <v>45435</v>
          </cell>
          <cell r="D176">
            <v>45446</v>
          </cell>
          <cell r="F176" t="str">
            <v>Africa</v>
          </cell>
          <cell r="G176" t="str">
            <v>South Africa</v>
          </cell>
          <cell r="H176" t="str">
            <v>Johannesburg</v>
          </cell>
          <cell r="P176">
            <v>2.1999999999999999E-2</v>
          </cell>
          <cell r="T176">
            <v>249.57</v>
          </cell>
        </row>
        <row r="177">
          <cell r="B177">
            <v>45761</v>
          </cell>
          <cell r="D177">
            <v>45781</v>
          </cell>
          <cell r="F177" t="str">
            <v>Europe</v>
          </cell>
          <cell r="G177" t="str">
            <v>United Kingdom</v>
          </cell>
          <cell r="H177" t="str">
            <v>Birmingham</v>
          </cell>
          <cell r="P177">
            <v>0.255</v>
          </cell>
          <cell r="T177">
            <v>3275</v>
          </cell>
        </row>
        <row r="178">
          <cell r="B178">
            <v>45165</v>
          </cell>
          <cell r="D178">
            <v>45180</v>
          </cell>
          <cell r="F178" t="str">
            <v>Europe</v>
          </cell>
          <cell r="G178" t="str">
            <v>United Kingdom</v>
          </cell>
          <cell r="H178" t="str">
            <v>London</v>
          </cell>
          <cell r="P178">
            <v>9.0999999999999998E-2</v>
          </cell>
          <cell r="T178">
            <v>1913.76</v>
          </cell>
        </row>
        <row r="179">
          <cell r="B179">
            <v>45325</v>
          </cell>
          <cell r="D179">
            <v>45343</v>
          </cell>
          <cell r="F179" t="str">
            <v>Europe</v>
          </cell>
          <cell r="G179" t="str">
            <v>Germany</v>
          </cell>
          <cell r="H179" t="str">
            <v>Frankfurt</v>
          </cell>
          <cell r="P179">
            <v>0.17699999999999999</v>
          </cell>
          <cell r="T179">
            <v>30.09</v>
          </cell>
        </row>
        <row r="180">
          <cell r="B180">
            <v>45021</v>
          </cell>
          <cell r="D180">
            <v>45032</v>
          </cell>
          <cell r="F180" t="str">
            <v>Americas</v>
          </cell>
          <cell r="G180" t="str">
            <v>Canada</v>
          </cell>
          <cell r="H180" t="str">
            <v>Vancouver</v>
          </cell>
          <cell r="P180">
            <v>5.6000000000000001E-2</v>
          </cell>
          <cell r="T180">
            <v>501.31</v>
          </cell>
        </row>
        <row r="181">
          <cell r="B181">
            <v>45890</v>
          </cell>
          <cell r="D181">
            <v>45912</v>
          </cell>
          <cell r="F181" t="str">
            <v>Asia</v>
          </cell>
          <cell r="G181" t="str">
            <v>China</v>
          </cell>
          <cell r="H181" t="str">
            <v>Shenzhen</v>
          </cell>
          <cell r="P181">
            <v>0.17299999999999999</v>
          </cell>
          <cell r="T181">
            <v>411.18</v>
          </cell>
        </row>
        <row r="182">
          <cell r="B182">
            <v>45915</v>
          </cell>
          <cell r="D182">
            <v>45918</v>
          </cell>
          <cell r="F182" t="str">
            <v>Americas</v>
          </cell>
          <cell r="G182" t="str">
            <v>Brazil</v>
          </cell>
          <cell r="H182" t="str">
            <v>Rio de Janeiro</v>
          </cell>
          <cell r="P182">
            <v>0.21199999999999999</v>
          </cell>
          <cell r="T182">
            <v>5.92</v>
          </cell>
        </row>
        <row r="183">
          <cell r="B183">
            <v>45568</v>
          </cell>
          <cell r="D183">
            <v>45576</v>
          </cell>
          <cell r="F183" t="str">
            <v>Asia</v>
          </cell>
          <cell r="G183" t="str">
            <v>China</v>
          </cell>
          <cell r="H183" t="str">
            <v>Beijing</v>
          </cell>
          <cell r="P183">
            <v>6.3E-2</v>
          </cell>
          <cell r="T183">
            <v>2206.63</v>
          </cell>
        </row>
        <row r="184">
          <cell r="B184">
            <v>45690</v>
          </cell>
          <cell r="D184">
            <v>45720</v>
          </cell>
          <cell r="F184" t="str">
            <v>Asia</v>
          </cell>
          <cell r="G184" t="str">
            <v>Japan</v>
          </cell>
          <cell r="H184" t="str">
            <v>Osaka</v>
          </cell>
          <cell r="P184">
            <v>0.19600000000000001</v>
          </cell>
          <cell r="T184">
            <v>1912.8</v>
          </cell>
        </row>
        <row r="185">
          <cell r="B185">
            <v>45157</v>
          </cell>
          <cell r="D185">
            <v>45161</v>
          </cell>
          <cell r="F185" t="str">
            <v>Africa</v>
          </cell>
          <cell r="G185" t="str">
            <v>Nigeria</v>
          </cell>
          <cell r="H185" t="str">
            <v>Abuja</v>
          </cell>
          <cell r="P185">
            <v>0.10100000000000001</v>
          </cell>
          <cell r="T185">
            <v>1382.31</v>
          </cell>
        </row>
        <row r="186">
          <cell r="B186">
            <v>45587</v>
          </cell>
          <cell r="D186">
            <v>45594</v>
          </cell>
          <cell r="F186" t="str">
            <v>Africa</v>
          </cell>
          <cell r="G186" t="str">
            <v>Nigeria</v>
          </cell>
          <cell r="H186" t="str">
            <v>Port Harcourt</v>
          </cell>
          <cell r="P186">
            <v>0.153</v>
          </cell>
          <cell r="T186">
            <v>1355.61</v>
          </cell>
        </row>
        <row r="187">
          <cell r="B187">
            <v>45099</v>
          </cell>
          <cell r="D187">
            <v>45128</v>
          </cell>
          <cell r="F187" t="str">
            <v>Europe</v>
          </cell>
          <cell r="G187" t="str">
            <v>France</v>
          </cell>
          <cell r="H187" t="str">
            <v>Lyon</v>
          </cell>
          <cell r="P187">
            <v>2.5000000000000001E-2</v>
          </cell>
          <cell r="T187">
            <v>887.9</v>
          </cell>
        </row>
        <row r="188">
          <cell r="B188">
            <v>45670</v>
          </cell>
          <cell r="D188">
            <v>45696</v>
          </cell>
          <cell r="F188" t="str">
            <v>Europe</v>
          </cell>
          <cell r="G188" t="str">
            <v>France</v>
          </cell>
          <cell r="H188" t="str">
            <v>Paris</v>
          </cell>
          <cell r="P188">
            <v>0.21099999999999999</v>
          </cell>
          <cell r="T188">
            <v>1020.69</v>
          </cell>
        </row>
        <row r="189">
          <cell r="B189">
            <v>44955</v>
          </cell>
          <cell r="D189">
            <v>44985</v>
          </cell>
          <cell r="F189" t="str">
            <v>Asia</v>
          </cell>
          <cell r="G189" t="str">
            <v>India</v>
          </cell>
          <cell r="H189" t="str">
            <v>Bengaluru</v>
          </cell>
          <cell r="P189">
            <v>0.23300000000000001</v>
          </cell>
          <cell r="T189">
            <v>1395.53</v>
          </cell>
        </row>
        <row r="190">
          <cell r="B190">
            <v>45126</v>
          </cell>
          <cell r="D190">
            <v>45138</v>
          </cell>
          <cell r="F190" t="str">
            <v>Americas</v>
          </cell>
          <cell r="G190" t="str">
            <v>Brazil</v>
          </cell>
          <cell r="H190" t="str">
            <v>Rio de Janeiro</v>
          </cell>
          <cell r="P190">
            <v>0.11799999999999999</v>
          </cell>
          <cell r="T190">
            <v>2273.42</v>
          </cell>
        </row>
        <row r="191">
          <cell r="B191">
            <v>45431</v>
          </cell>
          <cell r="D191">
            <v>45451</v>
          </cell>
          <cell r="F191" t="str">
            <v>Americas</v>
          </cell>
          <cell r="G191" t="str">
            <v>Brazil</v>
          </cell>
          <cell r="H191" t="str">
            <v>Brasília</v>
          </cell>
          <cell r="P191">
            <v>1.2E-2</v>
          </cell>
          <cell r="T191">
            <v>1242.1500000000001</v>
          </cell>
        </row>
        <row r="192">
          <cell r="B192">
            <v>45325</v>
          </cell>
          <cell r="D192">
            <v>45341</v>
          </cell>
          <cell r="F192" t="str">
            <v>Asia</v>
          </cell>
          <cell r="G192" t="str">
            <v>China</v>
          </cell>
          <cell r="H192" t="str">
            <v>Shenzhen</v>
          </cell>
          <cell r="P192">
            <v>0.215</v>
          </cell>
          <cell r="T192">
            <v>1310.29</v>
          </cell>
        </row>
        <row r="193">
          <cell r="B193">
            <v>45146</v>
          </cell>
          <cell r="D193">
            <v>45160</v>
          </cell>
          <cell r="F193" t="str">
            <v>Europe</v>
          </cell>
          <cell r="G193" t="str">
            <v>United Kingdom</v>
          </cell>
          <cell r="H193" t="str">
            <v>Birmingham</v>
          </cell>
          <cell r="P193">
            <v>9.4E-2</v>
          </cell>
          <cell r="T193">
            <v>967.25</v>
          </cell>
        </row>
        <row r="194">
          <cell r="B194">
            <v>45516</v>
          </cell>
          <cell r="D194">
            <v>45538</v>
          </cell>
          <cell r="F194" t="str">
            <v>Americas</v>
          </cell>
          <cell r="G194" t="str">
            <v>USA</v>
          </cell>
          <cell r="H194" t="str">
            <v>Austin</v>
          </cell>
          <cell r="P194">
            <v>0.23599999999999999</v>
          </cell>
          <cell r="T194">
            <v>886.22</v>
          </cell>
        </row>
        <row r="195">
          <cell r="B195">
            <v>45214</v>
          </cell>
          <cell r="D195">
            <v>45243</v>
          </cell>
          <cell r="F195" t="str">
            <v>Asia</v>
          </cell>
          <cell r="G195" t="str">
            <v>China</v>
          </cell>
          <cell r="H195" t="str">
            <v>Shenzhen</v>
          </cell>
          <cell r="P195">
            <v>7.1999999999999995E-2</v>
          </cell>
          <cell r="T195">
            <v>790.61</v>
          </cell>
        </row>
        <row r="196">
          <cell r="B196">
            <v>45050</v>
          </cell>
          <cell r="D196">
            <v>45072</v>
          </cell>
          <cell r="F196" t="str">
            <v>Americas</v>
          </cell>
          <cell r="G196" t="str">
            <v>USA</v>
          </cell>
          <cell r="H196" t="str">
            <v>San Francisco</v>
          </cell>
          <cell r="P196">
            <v>9.4E-2</v>
          </cell>
          <cell r="T196">
            <v>361.33</v>
          </cell>
        </row>
        <row r="197">
          <cell r="B197">
            <v>45557</v>
          </cell>
          <cell r="D197">
            <v>45566</v>
          </cell>
          <cell r="F197" t="str">
            <v>Americas</v>
          </cell>
          <cell r="G197" t="str">
            <v>Brazil</v>
          </cell>
          <cell r="H197" t="str">
            <v>São Paulo</v>
          </cell>
          <cell r="P197">
            <v>0.159</v>
          </cell>
          <cell r="T197">
            <v>1952.04</v>
          </cell>
        </row>
        <row r="198">
          <cell r="B198">
            <v>45588</v>
          </cell>
          <cell r="D198">
            <v>45610</v>
          </cell>
          <cell r="F198" t="str">
            <v>Asia</v>
          </cell>
          <cell r="G198" t="str">
            <v>Japan</v>
          </cell>
          <cell r="H198" t="str">
            <v>Osaka</v>
          </cell>
          <cell r="P198">
            <v>0.185</v>
          </cell>
          <cell r="T198">
            <v>1564.76</v>
          </cell>
        </row>
        <row r="199">
          <cell r="B199">
            <v>45333</v>
          </cell>
          <cell r="D199">
            <v>45354</v>
          </cell>
          <cell r="F199" t="str">
            <v>Africa</v>
          </cell>
          <cell r="G199" t="str">
            <v>Kenya</v>
          </cell>
          <cell r="H199" t="str">
            <v>Kisumu</v>
          </cell>
          <cell r="P199">
            <v>5.0999999999999997E-2</v>
          </cell>
          <cell r="T199">
            <v>852.54</v>
          </cell>
        </row>
        <row r="200">
          <cell r="B200">
            <v>44956</v>
          </cell>
          <cell r="D200">
            <v>44978</v>
          </cell>
          <cell r="F200" t="str">
            <v>Europe</v>
          </cell>
          <cell r="G200" t="str">
            <v>Germany</v>
          </cell>
          <cell r="H200" t="str">
            <v>Munich</v>
          </cell>
          <cell r="P200">
            <v>0.186</v>
          </cell>
          <cell r="T200">
            <v>1465.29</v>
          </cell>
        </row>
        <row r="201">
          <cell r="B201">
            <v>45030</v>
          </cell>
          <cell r="D201">
            <v>45059</v>
          </cell>
          <cell r="F201" t="str">
            <v>Europe</v>
          </cell>
          <cell r="G201" t="str">
            <v>Germany</v>
          </cell>
          <cell r="H201" t="str">
            <v>Frankfurt</v>
          </cell>
          <cell r="P201">
            <v>0.155</v>
          </cell>
          <cell r="T201">
            <v>2645.23</v>
          </cell>
        </row>
        <row r="202">
          <cell r="B202">
            <v>44939</v>
          </cell>
          <cell r="D202">
            <v>44945</v>
          </cell>
          <cell r="F202" t="str">
            <v>Americas</v>
          </cell>
          <cell r="G202" t="str">
            <v>USA</v>
          </cell>
          <cell r="H202" t="str">
            <v>Chicago</v>
          </cell>
          <cell r="P202">
            <v>5.7000000000000002E-2</v>
          </cell>
          <cell r="T202">
            <v>881.57</v>
          </cell>
        </row>
        <row r="203">
          <cell r="B203">
            <v>45303</v>
          </cell>
          <cell r="D203">
            <v>45320</v>
          </cell>
          <cell r="F203" t="str">
            <v>Americas</v>
          </cell>
          <cell r="G203" t="str">
            <v>USA</v>
          </cell>
          <cell r="H203" t="str">
            <v>Chicago</v>
          </cell>
          <cell r="P203">
            <v>0.25800000000000001</v>
          </cell>
          <cell r="T203">
            <v>625.04</v>
          </cell>
        </row>
        <row r="204">
          <cell r="B204">
            <v>45153</v>
          </cell>
          <cell r="D204">
            <v>45176</v>
          </cell>
          <cell r="F204" t="str">
            <v>Americas</v>
          </cell>
          <cell r="G204" t="str">
            <v>USA</v>
          </cell>
          <cell r="H204" t="str">
            <v>New York</v>
          </cell>
          <cell r="P204">
            <v>0</v>
          </cell>
          <cell r="T204">
            <v>973.04</v>
          </cell>
        </row>
        <row r="205">
          <cell r="B205">
            <v>44946</v>
          </cell>
          <cell r="D205">
            <v>44960</v>
          </cell>
          <cell r="F205" t="str">
            <v>Africa</v>
          </cell>
          <cell r="G205" t="str">
            <v>Kenya</v>
          </cell>
          <cell r="H205" t="str">
            <v>Kisumu</v>
          </cell>
          <cell r="P205">
            <v>0.24299999999999999</v>
          </cell>
          <cell r="T205">
            <v>1545.34</v>
          </cell>
        </row>
        <row r="206">
          <cell r="B206">
            <v>45692</v>
          </cell>
          <cell r="D206">
            <v>45713</v>
          </cell>
          <cell r="F206" t="str">
            <v>Europe</v>
          </cell>
          <cell r="G206" t="str">
            <v>United Kingdom</v>
          </cell>
          <cell r="H206" t="str">
            <v>Birmingham</v>
          </cell>
          <cell r="P206">
            <v>5.5E-2</v>
          </cell>
          <cell r="T206">
            <v>2253.42</v>
          </cell>
        </row>
        <row r="207">
          <cell r="B207">
            <v>45035</v>
          </cell>
          <cell r="D207">
            <v>45044</v>
          </cell>
          <cell r="F207" t="str">
            <v>Europe</v>
          </cell>
          <cell r="G207" t="str">
            <v>Germany</v>
          </cell>
          <cell r="H207" t="str">
            <v>Berlin</v>
          </cell>
          <cell r="P207">
            <v>2.9000000000000001E-2</v>
          </cell>
          <cell r="T207">
            <v>2446.56</v>
          </cell>
        </row>
        <row r="208">
          <cell r="B208">
            <v>45109</v>
          </cell>
          <cell r="D208">
            <v>45139</v>
          </cell>
          <cell r="F208" t="str">
            <v>Europe</v>
          </cell>
          <cell r="G208" t="str">
            <v>United Kingdom</v>
          </cell>
          <cell r="H208" t="str">
            <v>Birmingham</v>
          </cell>
          <cell r="P208">
            <v>3.7999999999999999E-2</v>
          </cell>
          <cell r="T208">
            <v>188.3</v>
          </cell>
        </row>
        <row r="209">
          <cell r="B209">
            <v>45678</v>
          </cell>
          <cell r="D209">
            <v>45702</v>
          </cell>
          <cell r="F209" t="str">
            <v>Africa</v>
          </cell>
          <cell r="G209" t="str">
            <v>Kenya</v>
          </cell>
          <cell r="H209" t="str">
            <v>Nairobi</v>
          </cell>
          <cell r="P209">
            <v>0.14799999999999999</v>
          </cell>
          <cell r="T209">
            <v>2562.84</v>
          </cell>
        </row>
        <row r="210">
          <cell r="B210">
            <v>45545</v>
          </cell>
          <cell r="D210">
            <v>45572</v>
          </cell>
          <cell r="F210" t="str">
            <v>Africa</v>
          </cell>
          <cell r="G210" t="str">
            <v>Kenya</v>
          </cell>
          <cell r="H210" t="str">
            <v>Kisumu</v>
          </cell>
          <cell r="P210">
            <v>0.20300000000000001</v>
          </cell>
          <cell r="T210">
            <v>1805.11</v>
          </cell>
        </row>
        <row r="211">
          <cell r="B211">
            <v>45859</v>
          </cell>
          <cell r="D211">
            <v>45876</v>
          </cell>
          <cell r="F211" t="str">
            <v>Africa</v>
          </cell>
          <cell r="G211" t="str">
            <v>Nigeria</v>
          </cell>
          <cell r="H211" t="str">
            <v>Lagos</v>
          </cell>
          <cell r="P211">
            <v>0.13600000000000001</v>
          </cell>
          <cell r="T211">
            <v>2065.73</v>
          </cell>
        </row>
        <row r="212">
          <cell r="B212">
            <v>45567</v>
          </cell>
          <cell r="D212">
            <v>45588</v>
          </cell>
          <cell r="F212" t="str">
            <v>Africa</v>
          </cell>
          <cell r="G212" t="str">
            <v>South Africa</v>
          </cell>
          <cell r="H212" t="str">
            <v>Durban</v>
          </cell>
          <cell r="P212">
            <v>0.152</v>
          </cell>
          <cell r="T212">
            <v>2366.5100000000002</v>
          </cell>
        </row>
        <row r="213">
          <cell r="B213">
            <v>45852</v>
          </cell>
          <cell r="D213">
            <v>45873</v>
          </cell>
          <cell r="F213" t="str">
            <v>Americas</v>
          </cell>
          <cell r="G213" t="str">
            <v>Canada</v>
          </cell>
          <cell r="H213" t="str">
            <v>Montreal</v>
          </cell>
          <cell r="P213">
            <v>0.10199999999999999</v>
          </cell>
          <cell r="T213">
            <v>131.76</v>
          </cell>
        </row>
        <row r="214">
          <cell r="B214">
            <v>45544</v>
          </cell>
          <cell r="D214">
            <v>45566</v>
          </cell>
          <cell r="F214" t="str">
            <v>Asia</v>
          </cell>
          <cell r="G214" t="str">
            <v>China</v>
          </cell>
          <cell r="H214" t="str">
            <v>Shenzhen</v>
          </cell>
          <cell r="P214">
            <v>0.128</v>
          </cell>
          <cell r="T214">
            <v>1335.02</v>
          </cell>
        </row>
        <row r="215">
          <cell r="B215">
            <v>45686</v>
          </cell>
          <cell r="D215">
            <v>45694</v>
          </cell>
          <cell r="F215" t="str">
            <v>Africa</v>
          </cell>
          <cell r="G215" t="str">
            <v>Kenya</v>
          </cell>
          <cell r="H215" t="str">
            <v>Kisumu</v>
          </cell>
          <cell r="P215">
            <v>0</v>
          </cell>
          <cell r="T215">
            <v>2691.45</v>
          </cell>
        </row>
        <row r="216">
          <cell r="B216">
            <v>45240</v>
          </cell>
          <cell r="D216">
            <v>45258</v>
          </cell>
          <cell r="F216" t="str">
            <v>Americas</v>
          </cell>
          <cell r="G216" t="str">
            <v>Brazil</v>
          </cell>
          <cell r="H216" t="str">
            <v>Brasília</v>
          </cell>
          <cell r="P216">
            <v>0.157</v>
          </cell>
          <cell r="T216">
            <v>776.46</v>
          </cell>
        </row>
        <row r="217">
          <cell r="B217">
            <v>45351</v>
          </cell>
          <cell r="D217">
            <v>45381</v>
          </cell>
          <cell r="F217" t="str">
            <v>Asia</v>
          </cell>
          <cell r="G217" t="str">
            <v>Japan</v>
          </cell>
          <cell r="H217" t="str">
            <v>Nagoya</v>
          </cell>
          <cell r="P217">
            <v>0.20100000000000001</v>
          </cell>
          <cell r="T217">
            <v>318.17</v>
          </cell>
        </row>
        <row r="218">
          <cell r="B218">
            <v>45280</v>
          </cell>
          <cell r="D218">
            <v>45305</v>
          </cell>
          <cell r="F218" t="str">
            <v>Asia</v>
          </cell>
          <cell r="G218" t="str">
            <v>India</v>
          </cell>
          <cell r="H218" t="str">
            <v>Mumbai</v>
          </cell>
          <cell r="P218">
            <v>0.113</v>
          </cell>
          <cell r="T218">
            <v>1246.4100000000001</v>
          </cell>
        </row>
        <row r="219">
          <cell r="B219">
            <v>44948</v>
          </cell>
          <cell r="D219">
            <v>44955</v>
          </cell>
          <cell r="F219" t="str">
            <v>Europe</v>
          </cell>
          <cell r="G219" t="str">
            <v>Germany</v>
          </cell>
          <cell r="H219" t="str">
            <v>Munich</v>
          </cell>
          <cell r="P219">
            <v>0.19600000000000001</v>
          </cell>
          <cell r="T219">
            <v>346.96</v>
          </cell>
        </row>
        <row r="220">
          <cell r="B220">
            <v>45576</v>
          </cell>
          <cell r="D220">
            <v>45605</v>
          </cell>
          <cell r="F220" t="str">
            <v>Asia</v>
          </cell>
          <cell r="G220" t="str">
            <v>China</v>
          </cell>
          <cell r="H220" t="str">
            <v>Shanghai</v>
          </cell>
          <cell r="P220">
            <v>4.0000000000000001E-3</v>
          </cell>
          <cell r="T220">
            <v>504.76</v>
          </cell>
        </row>
        <row r="221">
          <cell r="B221">
            <v>45554</v>
          </cell>
          <cell r="D221">
            <v>45579</v>
          </cell>
          <cell r="F221" t="str">
            <v>Americas</v>
          </cell>
          <cell r="G221" t="str">
            <v>Brazil</v>
          </cell>
          <cell r="H221" t="str">
            <v>Rio de Janeiro</v>
          </cell>
          <cell r="P221">
            <v>0.26600000000000001</v>
          </cell>
          <cell r="T221">
            <v>937.46</v>
          </cell>
        </row>
        <row r="222">
          <cell r="B222">
            <v>45894</v>
          </cell>
          <cell r="D222">
            <v>45924</v>
          </cell>
          <cell r="F222" t="str">
            <v>Africa</v>
          </cell>
          <cell r="G222" t="str">
            <v>Kenya</v>
          </cell>
          <cell r="H222" t="str">
            <v>Nairobi</v>
          </cell>
          <cell r="P222">
            <v>5.5E-2</v>
          </cell>
          <cell r="T222">
            <v>1300.58</v>
          </cell>
        </row>
        <row r="223">
          <cell r="B223">
            <v>45194</v>
          </cell>
          <cell r="D223">
            <v>45201</v>
          </cell>
          <cell r="F223" t="str">
            <v>Americas</v>
          </cell>
          <cell r="G223" t="str">
            <v>USA</v>
          </cell>
          <cell r="H223" t="str">
            <v>New York</v>
          </cell>
          <cell r="P223">
            <v>0.20399999999999999</v>
          </cell>
          <cell r="T223">
            <v>228.15</v>
          </cell>
        </row>
        <row r="224">
          <cell r="B224">
            <v>45164</v>
          </cell>
          <cell r="D224">
            <v>45179</v>
          </cell>
          <cell r="F224" t="str">
            <v>Africa</v>
          </cell>
          <cell r="G224" t="str">
            <v>South Africa</v>
          </cell>
          <cell r="H224" t="str">
            <v>Cape Town</v>
          </cell>
          <cell r="P224">
            <v>9.2999999999999999E-2</v>
          </cell>
          <cell r="T224">
            <v>496.52</v>
          </cell>
        </row>
        <row r="225">
          <cell r="B225">
            <v>45854</v>
          </cell>
          <cell r="D225">
            <v>45855</v>
          </cell>
          <cell r="F225" t="str">
            <v>Africa</v>
          </cell>
          <cell r="G225" t="str">
            <v>South Africa</v>
          </cell>
          <cell r="H225" t="str">
            <v>Durban</v>
          </cell>
          <cell r="P225">
            <v>5.0999999999999997E-2</v>
          </cell>
          <cell r="T225">
            <v>2941.2</v>
          </cell>
        </row>
        <row r="226">
          <cell r="B226">
            <v>45035</v>
          </cell>
          <cell r="D226">
            <v>45053</v>
          </cell>
          <cell r="F226" t="str">
            <v>Europe</v>
          </cell>
          <cell r="G226" t="str">
            <v>United Kingdom</v>
          </cell>
          <cell r="H226" t="str">
            <v>Birmingham</v>
          </cell>
          <cell r="P226">
            <v>5.0999999999999997E-2</v>
          </cell>
          <cell r="T226">
            <v>1088.2</v>
          </cell>
        </row>
        <row r="227">
          <cell r="B227">
            <v>45279</v>
          </cell>
          <cell r="D227">
            <v>45280</v>
          </cell>
          <cell r="F227" t="str">
            <v>Americas</v>
          </cell>
          <cell r="G227" t="str">
            <v>Brazil</v>
          </cell>
          <cell r="H227" t="str">
            <v>Rio de Janeiro</v>
          </cell>
          <cell r="P227">
            <v>0.14699999999999999</v>
          </cell>
          <cell r="T227">
            <v>2529.15</v>
          </cell>
        </row>
        <row r="228">
          <cell r="B228">
            <v>45137</v>
          </cell>
          <cell r="D228">
            <v>45145</v>
          </cell>
          <cell r="F228" t="str">
            <v>Asia</v>
          </cell>
          <cell r="G228" t="str">
            <v>Japan</v>
          </cell>
          <cell r="H228" t="str">
            <v>Nagoya</v>
          </cell>
          <cell r="P228">
            <v>0.13100000000000001</v>
          </cell>
          <cell r="T228">
            <v>2698.01</v>
          </cell>
        </row>
        <row r="229">
          <cell r="B229">
            <v>45203</v>
          </cell>
          <cell r="D229">
            <v>45228</v>
          </cell>
          <cell r="F229" t="str">
            <v>Americas</v>
          </cell>
          <cell r="G229" t="str">
            <v>USA</v>
          </cell>
          <cell r="H229" t="str">
            <v>San Francisco</v>
          </cell>
          <cell r="P229">
            <v>6.7000000000000004E-2</v>
          </cell>
          <cell r="T229">
            <v>1482.75</v>
          </cell>
        </row>
        <row r="230">
          <cell r="B230">
            <v>45879</v>
          </cell>
          <cell r="D230">
            <v>45899</v>
          </cell>
          <cell r="F230" t="str">
            <v>Americas</v>
          </cell>
          <cell r="G230" t="str">
            <v>USA</v>
          </cell>
          <cell r="H230" t="str">
            <v>San Francisco</v>
          </cell>
          <cell r="P230">
            <v>0.123</v>
          </cell>
          <cell r="T230">
            <v>1456.81</v>
          </cell>
        </row>
        <row r="231">
          <cell r="B231">
            <v>44992</v>
          </cell>
          <cell r="D231">
            <v>45017</v>
          </cell>
          <cell r="F231" t="str">
            <v>Africa</v>
          </cell>
          <cell r="G231" t="str">
            <v>Kenya</v>
          </cell>
          <cell r="H231" t="str">
            <v>Nairobi</v>
          </cell>
          <cell r="P231">
            <v>0.189</v>
          </cell>
          <cell r="T231">
            <v>918.19</v>
          </cell>
        </row>
        <row r="232">
          <cell r="B232">
            <v>45069</v>
          </cell>
          <cell r="D232">
            <v>45087</v>
          </cell>
          <cell r="F232" t="str">
            <v>Asia</v>
          </cell>
          <cell r="G232" t="str">
            <v>China</v>
          </cell>
          <cell r="H232" t="str">
            <v>Shanghai</v>
          </cell>
          <cell r="P232">
            <v>0.14799999999999999</v>
          </cell>
          <cell r="T232">
            <v>48.94</v>
          </cell>
        </row>
        <row r="233">
          <cell r="B233">
            <v>45771</v>
          </cell>
          <cell r="D233">
            <v>45783</v>
          </cell>
          <cell r="F233" t="str">
            <v>Americas</v>
          </cell>
          <cell r="G233" t="str">
            <v>Brazil</v>
          </cell>
          <cell r="H233" t="str">
            <v>Brasília</v>
          </cell>
          <cell r="P233">
            <v>0.109</v>
          </cell>
          <cell r="T233">
            <v>932.29</v>
          </cell>
        </row>
        <row r="234">
          <cell r="B234">
            <v>45538</v>
          </cell>
          <cell r="D234">
            <v>45543</v>
          </cell>
          <cell r="F234" t="str">
            <v>Africa</v>
          </cell>
          <cell r="G234" t="str">
            <v>Nigeria</v>
          </cell>
          <cell r="H234" t="str">
            <v>Lagos</v>
          </cell>
          <cell r="P234">
            <v>0.11600000000000001</v>
          </cell>
          <cell r="T234">
            <v>325.79000000000002</v>
          </cell>
        </row>
        <row r="235">
          <cell r="B235">
            <v>45540</v>
          </cell>
          <cell r="D235">
            <v>45560</v>
          </cell>
          <cell r="F235" t="str">
            <v>Asia</v>
          </cell>
          <cell r="G235" t="str">
            <v>Japan</v>
          </cell>
          <cell r="H235" t="str">
            <v>Osaka</v>
          </cell>
          <cell r="P235">
            <v>0.187</v>
          </cell>
          <cell r="T235">
            <v>405.97</v>
          </cell>
        </row>
        <row r="236">
          <cell r="B236">
            <v>44999</v>
          </cell>
          <cell r="D236">
            <v>45015</v>
          </cell>
          <cell r="F236" t="str">
            <v>Africa</v>
          </cell>
          <cell r="G236" t="str">
            <v>South Africa</v>
          </cell>
          <cell r="H236" t="str">
            <v>Cape Town</v>
          </cell>
          <cell r="P236">
            <v>0.10199999999999999</v>
          </cell>
          <cell r="T236">
            <v>1589.07</v>
          </cell>
        </row>
        <row r="237">
          <cell r="B237">
            <v>45302</v>
          </cell>
          <cell r="D237">
            <v>45324</v>
          </cell>
          <cell r="F237" t="str">
            <v>Asia</v>
          </cell>
          <cell r="G237" t="str">
            <v>Japan</v>
          </cell>
          <cell r="H237" t="str">
            <v>Nagoya</v>
          </cell>
          <cell r="P237">
            <v>6.8000000000000005E-2</v>
          </cell>
          <cell r="T237">
            <v>1432.8</v>
          </cell>
        </row>
        <row r="238">
          <cell r="B238">
            <v>45548</v>
          </cell>
          <cell r="D238">
            <v>45567</v>
          </cell>
          <cell r="F238" t="str">
            <v>Africa</v>
          </cell>
          <cell r="G238" t="str">
            <v>Kenya</v>
          </cell>
          <cell r="H238" t="str">
            <v>Mombasa</v>
          </cell>
          <cell r="P238">
            <v>0.126</v>
          </cell>
          <cell r="T238">
            <v>1765.76</v>
          </cell>
        </row>
        <row r="239">
          <cell r="B239">
            <v>45855</v>
          </cell>
          <cell r="D239">
            <v>45861</v>
          </cell>
          <cell r="F239" t="str">
            <v>Americas</v>
          </cell>
          <cell r="G239" t="str">
            <v>Canada</v>
          </cell>
          <cell r="H239" t="str">
            <v>Vancouver</v>
          </cell>
          <cell r="P239">
            <v>0.17199999999999999</v>
          </cell>
          <cell r="T239">
            <v>2757.54</v>
          </cell>
        </row>
        <row r="240">
          <cell r="B240">
            <v>45258</v>
          </cell>
          <cell r="D240">
            <v>45267</v>
          </cell>
          <cell r="F240" t="str">
            <v>Asia</v>
          </cell>
          <cell r="G240" t="str">
            <v>India</v>
          </cell>
          <cell r="H240" t="str">
            <v>Delhi</v>
          </cell>
          <cell r="P240">
            <v>0.23499999999999999</v>
          </cell>
          <cell r="T240">
            <v>873.75</v>
          </cell>
        </row>
        <row r="241">
          <cell r="B241">
            <v>45381</v>
          </cell>
          <cell r="D241">
            <v>45406</v>
          </cell>
          <cell r="F241" t="str">
            <v>Americas</v>
          </cell>
          <cell r="G241" t="str">
            <v>USA</v>
          </cell>
          <cell r="H241" t="str">
            <v>Austin</v>
          </cell>
          <cell r="P241">
            <v>0.13</v>
          </cell>
          <cell r="T241">
            <v>258.52</v>
          </cell>
        </row>
        <row r="242">
          <cell r="B242">
            <v>45188</v>
          </cell>
          <cell r="D242">
            <v>45207</v>
          </cell>
          <cell r="F242" t="str">
            <v>Asia</v>
          </cell>
          <cell r="G242" t="str">
            <v>India</v>
          </cell>
          <cell r="H242" t="str">
            <v>Bengaluru</v>
          </cell>
          <cell r="P242">
            <v>8.5999999999999993E-2</v>
          </cell>
          <cell r="T242">
            <v>606.76</v>
          </cell>
        </row>
        <row r="243">
          <cell r="B243">
            <v>45793</v>
          </cell>
          <cell r="D243">
            <v>45804</v>
          </cell>
          <cell r="F243" t="str">
            <v>Asia</v>
          </cell>
          <cell r="G243" t="str">
            <v>China</v>
          </cell>
          <cell r="H243" t="str">
            <v>Beijing</v>
          </cell>
          <cell r="P243">
            <v>9.5000000000000001E-2</v>
          </cell>
          <cell r="T243">
            <v>1337.69</v>
          </cell>
        </row>
        <row r="244">
          <cell r="B244">
            <v>45871</v>
          </cell>
          <cell r="D244">
            <v>45877</v>
          </cell>
          <cell r="F244" t="str">
            <v>Asia</v>
          </cell>
          <cell r="G244" t="str">
            <v>Japan</v>
          </cell>
          <cell r="H244" t="str">
            <v>Osaka</v>
          </cell>
          <cell r="P244">
            <v>0.13600000000000001</v>
          </cell>
          <cell r="T244">
            <v>1793.08</v>
          </cell>
        </row>
        <row r="245">
          <cell r="B245">
            <v>45630</v>
          </cell>
          <cell r="D245">
            <v>45638</v>
          </cell>
          <cell r="F245" t="str">
            <v>Europe</v>
          </cell>
          <cell r="G245" t="str">
            <v>Germany</v>
          </cell>
          <cell r="H245" t="str">
            <v>Frankfurt</v>
          </cell>
          <cell r="P245">
            <v>0.23799999999999999</v>
          </cell>
          <cell r="T245">
            <v>122.74</v>
          </cell>
        </row>
        <row r="246">
          <cell r="B246">
            <v>45035</v>
          </cell>
          <cell r="D246">
            <v>45044</v>
          </cell>
          <cell r="F246" t="str">
            <v>Americas</v>
          </cell>
          <cell r="G246" t="str">
            <v>Brazil</v>
          </cell>
          <cell r="H246" t="str">
            <v>Rio de Janeiro</v>
          </cell>
          <cell r="P246">
            <v>0.17499999999999999</v>
          </cell>
          <cell r="T246">
            <v>927.93</v>
          </cell>
        </row>
        <row r="247">
          <cell r="B247">
            <v>45357</v>
          </cell>
          <cell r="D247">
            <v>45377</v>
          </cell>
          <cell r="F247" t="str">
            <v>Africa</v>
          </cell>
          <cell r="G247" t="str">
            <v>Nigeria</v>
          </cell>
          <cell r="H247" t="str">
            <v>Port Harcourt</v>
          </cell>
          <cell r="P247">
            <v>0.16700000000000001</v>
          </cell>
          <cell r="T247">
            <v>151.88</v>
          </cell>
        </row>
        <row r="248">
          <cell r="B248">
            <v>45338</v>
          </cell>
          <cell r="D248">
            <v>45355</v>
          </cell>
          <cell r="F248" t="str">
            <v>Americas</v>
          </cell>
          <cell r="G248" t="str">
            <v>Canada</v>
          </cell>
          <cell r="H248" t="str">
            <v>Montreal</v>
          </cell>
          <cell r="P248">
            <v>0.26300000000000001</v>
          </cell>
          <cell r="T248">
            <v>2210.4</v>
          </cell>
        </row>
        <row r="249">
          <cell r="B249">
            <v>45769</v>
          </cell>
          <cell r="D249">
            <v>45779</v>
          </cell>
          <cell r="F249" t="str">
            <v>Europe</v>
          </cell>
          <cell r="G249" t="str">
            <v>Germany</v>
          </cell>
          <cell r="H249" t="str">
            <v>Berlin</v>
          </cell>
          <cell r="P249">
            <v>0.151</v>
          </cell>
          <cell r="T249">
            <v>39.74</v>
          </cell>
        </row>
        <row r="250">
          <cell r="B250">
            <v>45604</v>
          </cell>
          <cell r="D250">
            <v>45604</v>
          </cell>
          <cell r="F250" t="str">
            <v>Africa</v>
          </cell>
          <cell r="G250" t="str">
            <v>Kenya</v>
          </cell>
          <cell r="H250" t="str">
            <v>Nakuru</v>
          </cell>
          <cell r="P250">
            <v>0.11</v>
          </cell>
          <cell r="T250">
            <v>1009</v>
          </cell>
        </row>
        <row r="251">
          <cell r="B251">
            <v>45912</v>
          </cell>
          <cell r="D251">
            <v>45930</v>
          </cell>
          <cell r="F251" t="str">
            <v>Asia</v>
          </cell>
          <cell r="G251" t="str">
            <v>Japan</v>
          </cell>
          <cell r="H251" t="str">
            <v>Nagoya</v>
          </cell>
          <cell r="P251">
            <v>0.107</v>
          </cell>
          <cell r="T251">
            <v>1653.64</v>
          </cell>
        </row>
        <row r="252">
          <cell r="B252">
            <v>45537</v>
          </cell>
          <cell r="D252">
            <v>45543</v>
          </cell>
          <cell r="F252" t="str">
            <v>Americas</v>
          </cell>
          <cell r="G252" t="str">
            <v>USA</v>
          </cell>
          <cell r="H252" t="str">
            <v>Austin</v>
          </cell>
          <cell r="P252">
            <v>0.14299999999999999</v>
          </cell>
          <cell r="T252">
            <v>1015.7</v>
          </cell>
        </row>
        <row r="253">
          <cell r="B253">
            <v>44989</v>
          </cell>
          <cell r="D253">
            <v>45009</v>
          </cell>
          <cell r="F253" t="str">
            <v>Americas</v>
          </cell>
          <cell r="G253" t="str">
            <v>Canada</v>
          </cell>
          <cell r="H253" t="str">
            <v>Montreal</v>
          </cell>
          <cell r="P253">
            <v>0.20300000000000001</v>
          </cell>
          <cell r="T253">
            <v>912.45</v>
          </cell>
        </row>
        <row r="254">
          <cell r="B254">
            <v>45366</v>
          </cell>
          <cell r="D254">
            <v>45391</v>
          </cell>
          <cell r="F254" t="str">
            <v>Americas</v>
          </cell>
          <cell r="G254" t="str">
            <v>Canada</v>
          </cell>
          <cell r="H254" t="str">
            <v>Vancouver</v>
          </cell>
          <cell r="P254">
            <v>0.22500000000000001</v>
          </cell>
          <cell r="T254">
            <v>815.19</v>
          </cell>
        </row>
        <row r="255">
          <cell r="B255">
            <v>45502</v>
          </cell>
          <cell r="D255">
            <v>45504</v>
          </cell>
          <cell r="F255" t="str">
            <v>Americas</v>
          </cell>
          <cell r="G255" t="str">
            <v>USA</v>
          </cell>
          <cell r="H255" t="str">
            <v>New York</v>
          </cell>
          <cell r="P255">
            <v>0.122</v>
          </cell>
          <cell r="T255">
            <v>1814.06</v>
          </cell>
        </row>
        <row r="256">
          <cell r="B256">
            <v>45592</v>
          </cell>
          <cell r="D256">
            <v>45616</v>
          </cell>
          <cell r="F256" t="str">
            <v>Asia</v>
          </cell>
          <cell r="G256" t="str">
            <v>Japan</v>
          </cell>
          <cell r="H256" t="str">
            <v>Nagoya</v>
          </cell>
          <cell r="P256">
            <v>5.2999999999999999E-2</v>
          </cell>
          <cell r="T256">
            <v>758.92</v>
          </cell>
        </row>
        <row r="257">
          <cell r="B257">
            <v>45411</v>
          </cell>
          <cell r="D257">
            <v>45431</v>
          </cell>
          <cell r="F257" t="str">
            <v>Europe</v>
          </cell>
          <cell r="G257" t="str">
            <v>Germany</v>
          </cell>
          <cell r="H257" t="str">
            <v>Frankfurt</v>
          </cell>
          <cell r="P257">
            <v>3.4000000000000002E-2</v>
          </cell>
          <cell r="T257">
            <v>1667.44</v>
          </cell>
        </row>
        <row r="258">
          <cell r="B258">
            <v>45204</v>
          </cell>
          <cell r="D258">
            <v>45205</v>
          </cell>
          <cell r="F258" t="str">
            <v>Asia</v>
          </cell>
          <cell r="G258" t="str">
            <v>India</v>
          </cell>
          <cell r="H258" t="str">
            <v>Bengaluru</v>
          </cell>
          <cell r="P258">
            <v>0.17299999999999999</v>
          </cell>
          <cell r="T258">
            <v>2562.5500000000002</v>
          </cell>
        </row>
        <row r="259">
          <cell r="B259">
            <v>45035</v>
          </cell>
          <cell r="D259">
            <v>45053</v>
          </cell>
          <cell r="F259" t="str">
            <v>Europe</v>
          </cell>
          <cell r="G259" t="str">
            <v>United Kingdom</v>
          </cell>
          <cell r="H259" t="str">
            <v>London</v>
          </cell>
          <cell r="P259">
            <v>0.19700000000000001</v>
          </cell>
          <cell r="T259">
            <v>745.38</v>
          </cell>
        </row>
        <row r="260">
          <cell r="B260">
            <v>45835</v>
          </cell>
          <cell r="D260">
            <v>45843</v>
          </cell>
          <cell r="F260" t="str">
            <v>Europe</v>
          </cell>
          <cell r="G260" t="str">
            <v>Germany</v>
          </cell>
          <cell r="H260" t="str">
            <v>Munich</v>
          </cell>
          <cell r="P260">
            <v>0.20499999999999999</v>
          </cell>
          <cell r="T260">
            <v>687.95</v>
          </cell>
        </row>
        <row r="261">
          <cell r="B261">
            <v>45210</v>
          </cell>
          <cell r="D261">
            <v>45212</v>
          </cell>
          <cell r="F261" t="str">
            <v>Americas</v>
          </cell>
          <cell r="G261" t="str">
            <v>Brazil</v>
          </cell>
          <cell r="H261" t="str">
            <v>Brasília</v>
          </cell>
          <cell r="P261">
            <v>0.14000000000000001</v>
          </cell>
          <cell r="T261">
            <v>550.07000000000005</v>
          </cell>
        </row>
        <row r="262">
          <cell r="B262">
            <v>45066</v>
          </cell>
          <cell r="D262">
            <v>45084</v>
          </cell>
          <cell r="F262" t="str">
            <v>Africa</v>
          </cell>
          <cell r="G262" t="str">
            <v>Nigeria</v>
          </cell>
          <cell r="H262" t="str">
            <v>Port Harcourt</v>
          </cell>
          <cell r="P262">
            <v>7.8E-2</v>
          </cell>
          <cell r="T262">
            <v>2068.21</v>
          </cell>
        </row>
        <row r="263">
          <cell r="B263">
            <v>45073</v>
          </cell>
          <cell r="D263">
            <v>45096</v>
          </cell>
          <cell r="F263" t="str">
            <v>Europe</v>
          </cell>
          <cell r="G263" t="str">
            <v>Germany</v>
          </cell>
          <cell r="H263" t="str">
            <v>Berlin</v>
          </cell>
          <cell r="P263">
            <v>4.0000000000000001E-3</v>
          </cell>
          <cell r="T263">
            <v>2576.65</v>
          </cell>
        </row>
        <row r="264">
          <cell r="B264">
            <v>45142</v>
          </cell>
          <cell r="D264">
            <v>45162</v>
          </cell>
          <cell r="F264" t="str">
            <v>Americas</v>
          </cell>
          <cell r="G264" t="str">
            <v>Brazil</v>
          </cell>
          <cell r="H264" t="str">
            <v>Brasília</v>
          </cell>
          <cell r="P264">
            <v>0.216</v>
          </cell>
          <cell r="T264">
            <v>1044.1400000000001</v>
          </cell>
        </row>
        <row r="265">
          <cell r="B265">
            <v>45829</v>
          </cell>
          <cell r="D265">
            <v>45835</v>
          </cell>
          <cell r="F265" t="str">
            <v>Africa</v>
          </cell>
          <cell r="G265" t="str">
            <v>South Africa</v>
          </cell>
          <cell r="H265" t="str">
            <v>Durban</v>
          </cell>
          <cell r="P265">
            <v>5.7000000000000002E-2</v>
          </cell>
          <cell r="T265">
            <v>99.04</v>
          </cell>
        </row>
        <row r="266">
          <cell r="B266">
            <v>45763</v>
          </cell>
          <cell r="D266">
            <v>45773</v>
          </cell>
          <cell r="F266" t="str">
            <v>Africa</v>
          </cell>
          <cell r="G266" t="str">
            <v>Nigeria</v>
          </cell>
          <cell r="H266" t="str">
            <v>Port Harcourt</v>
          </cell>
          <cell r="P266">
            <v>0.126</v>
          </cell>
          <cell r="T266">
            <v>1996.81</v>
          </cell>
        </row>
        <row r="267">
          <cell r="B267">
            <v>45902</v>
          </cell>
          <cell r="D267">
            <v>45911</v>
          </cell>
          <cell r="F267" t="str">
            <v>Americas</v>
          </cell>
          <cell r="G267" t="str">
            <v>Canada</v>
          </cell>
          <cell r="H267" t="str">
            <v>Toronto</v>
          </cell>
          <cell r="P267">
            <v>0.19600000000000001</v>
          </cell>
          <cell r="T267">
            <v>921.68</v>
          </cell>
        </row>
        <row r="268">
          <cell r="B268">
            <v>45573</v>
          </cell>
          <cell r="D268">
            <v>45573</v>
          </cell>
          <cell r="F268" t="str">
            <v>Europe</v>
          </cell>
          <cell r="G268" t="str">
            <v>United Kingdom</v>
          </cell>
          <cell r="H268" t="str">
            <v>London</v>
          </cell>
          <cell r="P268">
            <v>0.184</v>
          </cell>
          <cell r="T268">
            <v>2503.79</v>
          </cell>
        </row>
        <row r="269">
          <cell r="B269">
            <v>45053</v>
          </cell>
          <cell r="D269">
            <v>45060</v>
          </cell>
          <cell r="F269" t="str">
            <v>Africa</v>
          </cell>
          <cell r="G269" t="str">
            <v>Nigeria</v>
          </cell>
          <cell r="H269" t="str">
            <v>Port Harcourt</v>
          </cell>
          <cell r="P269">
            <v>0.107</v>
          </cell>
          <cell r="T269">
            <v>2462.77</v>
          </cell>
        </row>
        <row r="270">
          <cell r="B270">
            <v>45284</v>
          </cell>
          <cell r="D270">
            <v>45292</v>
          </cell>
          <cell r="F270" t="str">
            <v>Americas</v>
          </cell>
          <cell r="G270" t="str">
            <v>Brazil</v>
          </cell>
          <cell r="H270" t="str">
            <v>São Paulo</v>
          </cell>
          <cell r="P270">
            <v>0</v>
          </cell>
          <cell r="T270">
            <v>496.2</v>
          </cell>
        </row>
        <row r="271">
          <cell r="B271">
            <v>45301</v>
          </cell>
          <cell r="D271">
            <v>45314</v>
          </cell>
          <cell r="F271" t="str">
            <v>Europe</v>
          </cell>
          <cell r="G271" t="str">
            <v>France</v>
          </cell>
          <cell r="H271" t="str">
            <v>Marseille</v>
          </cell>
          <cell r="P271">
            <v>0.154</v>
          </cell>
          <cell r="T271">
            <v>907.59</v>
          </cell>
        </row>
        <row r="272">
          <cell r="B272">
            <v>45141</v>
          </cell>
          <cell r="D272">
            <v>45152</v>
          </cell>
          <cell r="F272" t="str">
            <v>Americas</v>
          </cell>
          <cell r="G272" t="str">
            <v>Brazil</v>
          </cell>
          <cell r="H272" t="str">
            <v>Brasília</v>
          </cell>
          <cell r="P272">
            <v>0.13400000000000001</v>
          </cell>
          <cell r="T272">
            <v>334.19</v>
          </cell>
        </row>
        <row r="273">
          <cell r="B273">
            <v>45707</v>
          </cell>
          <cell r="D273">
            <v>45725</v>
          </cell>
          <cell r="F273" t="str">
            <v>Asia</v>
          </cell>
          <cell r="G273" t="str">
            <v>India</v>
          </cell>
          <cell r="H273" t="str">
            <v>Delhi</v>
          </cell>
          <cell r="P273">
            <v>0.17399999999999999</v>
          </cell>
          <cell r="T273">
            <v>538.79</v>
          </cell>
        </row>
        <row r="274">
          <cell r="B274">
            <v>45382</v>
          </cell>
          <cell r="D274">
            <v>45399</v>
          </cell>
          <cell r="F274" t="str">
            <v>Europe</v>
          </cell>
          <cell r="G274" t="str">
            <v>Germany</v>
          </cell>
          <cell r="H274" t="str">
            <v>Frankfurt</v>
          </cell>
          <cell r="P274">
            <v>0.13900000000000001</v>
          </cell>
          <cell r="T274">
            <v>1436.54</v>
          </cell>
        </row>
        <row r="275">
          <cell r="B275">
            <v>45131</v>
          </cell>
          <cell r="D275">
            <v>45151</v>
          </cell>
          <cell r="F275" t="str">
            <v>Americas</v>
          </cell>
          <cell r="G275" t="str">
            <v>Canada</v>
          </cell>
          <cell r="H275" t="str">
            <v>Montreal</v>
          </cell>
          <cell r="P275">
            <v>0.16400000000000001</v>
          </cell>
          <cell r="T275">
            <v>1766.55</v>
          </cell>
        </row>
        <row r="276">
          <cell r="B276">
            <v>45367</v>
          </cell>
          <cell r="D276">
            <v>45395</v>
          </cell>
          <cell r="F276" t="str">
            <v>Europe</v>
          </cell>
          <cell r="G276" t="str">
            <v>France</v>
          </cell>
          <cell r="H276" t="str">
            <v>Paris</v>
          </cell>
          <cell r="P276">
            <v>0.13500000000000001</v>
          </cell>
          <cell r="T276">
            <v>628.54</v>
          </cell>
        </row>
        <row r="277">
          <cell r="B277">
            <v>45316</v>
          </cell>
          <cell r="D277">
            <v>45318</v>
          </cell>
          <cell r="F277" t="str">
            <v>Americas</v>
          </cell>
          <cell r="G277" t="str">
            <v>Brazil</v>
          </cell>
          <cell r="H277" t="str">
            <v>São Paulo</v>
          </cell>
          <cell r="P277">
            <v>0.13500000000000001</v>
          </cell>
          <cell r="T277">
            <v>1650.75</v>
          </cell>
        </row>
        <row r="278">
          <cell r="B278">
            <v>45378</v>
          </cell>
          <cell r="D278">
            <v>45393</v>
          </cell>
          <cell r="F278" t="str">
            <v>Americas</v>
          </cell>
          <cell r="G278" t="str">
            <v>USA</v>
          </cell>
          <cell r="H278" t="str">
            <v>San Francisco</v>
          </cell>
          <cell r="P278">
            <v>0.115</v>
          </cell>
          <cell r="T278">
            <v>2247.14</v>
          </cell>
        </row>
        <row r="279">
          <cell r="B279">
            <v>45832</v>
          </cell>
          <cell r="D279">
            <v>45852</v>
          </cell>
          <cell r="F279" t="str">
            <v>Europe</v>
          </cell>
          <cell r="G279" t="str">
            <v>Germany</v>
          </cell>
          <cell r="H279" t="str">
            <v>Berlin</v>
          </cell>
          <cell r="P279">
            <v>0.151</v>
          </cell>
          <cell r="T279">
            <v>893.19</v>
          </cell>
        </row>
        <row r="280">
          <cell r="B280">
            <v>45459</v>
          </cell>
          <cell r="D280">
            <v>45476</v>
          </cell>
          <cell r="F280" t="str">
            <v>Africa</v>
          </cell>
          <cell r="G280" t="str">
            <v>South Africa</v>
          </cell>
          <cell r="H280" t="str">
            <v>Johannesburg</v>
          </cell>
          <cell r="P280">
            <v>0.12</v>
          </cell>
          <cell r="T280">
            <v>2328.9</v>
          </cell>
        </row>
        <row r="281">
          <cell r="B281">
            <v>45229</v>
          </cell>
          <cell r="D281">
            <v>45244</v>
          </cell>
          <cell r="F281" t="str">
            <v>Asia</v>
          </cell>
          <cell r="G281" t="str">
            <v>India</v>
          </cell>
          <cell r="H281" t="str">
            <v>Bengaluru</v>
          </cell>
          <cell r="P281">
            <v>0.13800000000000001</v>
          </cell>
          <cell r="T281">
            <v>2066.75</v>
          </cell>
        </row>
        <row r="282">
          <cell r="B282">
            <v>45092</v>
          </cell>
          <cell r="D282">
            <v>45100</v>
          </cell>
          <cell r="F282" t="str">
            <v>Americas</v>
          </cell>
          <cell r="G282" t="str">
            <v>USA</v>
          </cell>
          <cell r="H282" t="str">
            <v>San Francisco</v>
          </cell>
          <cell r="P282">
            <v>0.112</v>
          </cell>
          <cell r="T282">
            <v>2182.31</v>
          </cell>
        </row>
        <row r="283">
          <cell r="B283">
            <v>45730</v>
          </cell>
          <cell r="D283">
            <v>45745</v>
          </cell>
          <cell r="F283" t="str">
            <v>Asia</v>
          </cell>
          <cell r="G283" t="str">
            <v>Japan</v>
          </cell>
          <cell r="H283" t="str">
            <v>Tokyo</v>
          </cell>
          <cell r="P283">
            <v>0.317</v>
          </cell>
          <cell r="T283">
            <v>2726.62</v>
          </cell>
        </row>
        <row r="284">
          <cell r="B284">
            <v>45153</v>
          </cell>
          <cell r="D284">
            <v>45163</v>
          </cell>
          <cell r="F284" t="str">
            <v>Africa</v>
          </cell>
          <cell r="G284" t="str">
            <v>Kenya</v>
          </cell>
          <cell r="H284" t="str">
            <v>Nairobi</v>
          </cell>
          <cell r="P284">
            <v>0</v>
          </cell>
          <cell r="T284">
            <v>111.29</v>
          </cell>
        </row>
        <row r="285">
          <cell r="B285">
            <v>45794</v>
          </cell>
          <cell r="D285">
            <v>45805</v>
          </cell>
          <cell r="F285" t="str">
            <v>Asia</v>
          </cell>
          <cell r="G285" t="str">
            <v>India</v>
          </cell>
          <cell r="H285" t="str">
            <v>Bengaluru</v>
          </cell>
          <cell r="P285">
            <v>0.114</v>
          </cell>
          <cell r="T285">
            <v>1100.0899999999999</v>
          </cell>
        </row>
        <row r="286">
          <cell r="B286">
            <v>45304</v>
          </cell>
          <cell r="D286">
            <v>45327</v>
          </cell>
          <cell r="F286" t="str">
            <v>Europe</v>
          </cell>
          <cell r="G286" t="str">
            <v>Germany</v>
          </cell>
          <cell r="H286" t="str">
            <v>Frankfurt</v>
          </cell>
          <cell r="P286">
            <v>0.155</v>
          </cell>
          <cell r="T286">
            <v>1529.14</v>
          </cell>
        </row>
        <row r="287">
          <cell r="B287">
            <v>45101</v>
          </cell>
          <cell r="D287">
            <v>45128</v>
          </cell>
          <cell r="F287" t="str">
            <v>Asia</v>
          </cell>
          <cell r="G287" t="str">
            <v>Japan</v>
          </cell>
          <cell r="H287" t="str">
            <v>Nagoya</v>
          </cell>
          <cell r="P287">
            <v>0.22</v>
          </cell>
          <cell r="T287">
            <v>728.69</v>
          </cell>
        </row>
        <row r="288">
          <cell r="B288">
            <v>45751</v>
          </cell>
          <cell r="D288">
            <v>45760</v>
          </cell>
          <cell r="F288" t="str">
            <v>Europe</v>
          </cell>
          <cell r="G288" t="str">
            <v>Germany</v>
          </cell>
          <cell r="H288" t="str">
            <v>Munich</v>
          </cell>
          <cell r="P288">
            <v>0.13400000000000001</v>
          </cell>
          <cell r="T288">
            <v>6.28</v>
          </cell>
        </row>
        <row r="289">
          <cell r="B289">
            <v>45542</v>
          </cell>
          <cell r="D289">
            <v>45542</v>
          </cell>
          <cell r="F289" t="str">
            <v>Asia</v>
          </cell>
          <cell r="G289" t="str">
            <v>India</v>
          </cell>
          <cell r="H289" t="str">
            <v>Mumbai</v>
          </cell>
          <cell r="P289">
            <v>0.13400000000000001</v>
          </cell>
          <cell r="T289">
            <v>2569.77</v>
          </cell>
        </row>
        <row r="290">
          <cell r="B290">
            <v>45319</v>
          </cell>
          <cell r="D290">
            <v>45321</v>
          </cell>
          <cell r="F290" t="str">
            <v>Africa</v>
          </cell>
          <cell r="G290" t="str">
            <v>South Africa</v>
          </cell>
          <cell r="H290" t="str">
            <v>Cape Town</v>
          </cell>
          <cell r="P290">
            <v>6.6000000000000003E-2</v>
          </cell>
          <cell r="T290">
            <v>1592.02</v>
          </cell>
        </row>
        <row r="291">
          <cell r="B291">
            <v>45125</v>
          </cell>
          <cell r="D291">
            <v>45148</v>
          </cell>
          <cell r="F291" t="str">
            <v>Africa</v>
          </cell>
          <cell r="G291" t="str">
            <v>South Africa</v>
          </cell>
          <cell r="H291" t="str">
            <v>Johannesburg</v>
          </cell>
          <cell r="P291">
            <v>0.192</v>
          </cell>
          <cell r="T291">
            <v>995.47</v>
          </cell>
        </row>
        <row r="292">
          <cell r="B292">
            <v>45897</v>
          </cell>
          <cell r="D292">
            <v>45904</v>
          </cell>
          <cell r="F292" t="str">
            <v>Africa</v>
          </cell>
          <cell r="G292" t="str">
            <v>Nigeria</v>
          </cell>
          <cell r="H292" t="str">
            <v>Port Harcourt</v>
          </cell>
          <cell r="P292">
            <v>0.14599999999999999</v>
          </cell>
          <cell r="T292">
            <v>1240.31</v>
          </cell>
        </row>
        <row r="293">
          <cell r="B293">
            <v>45746</v>
          </cell>
          <cell r="D293">
            <v>45754</v>
          </cell>
          <cell r="F293" t="str">
            <v>Americas</v>
          </cell>
          <cell r="G293" t="str">
            <v>Brazil</v>
          </cell>
          <cell r="H293" t="str">
            <v>São Paulo</v>
          </cell>
          <cell r="P293">
            <v>0.156</v>
          </cell>
          <cell r="T293">
            <v>118.37</v>
          </cell>
        </row>
        <row r="294">
          <cell r="B294">
            <v>45220</v>
          </cell>
          <cell r="D294">
            <v>45239</v>
          </cell>
          <cell r="F294" t="str">
            <v>Europe</v>
          </cell>
          <cell r="G294" t="str">
            <v>United Kingdom</v>
          </cell>
          <cell r="H294" t="str">
            <v>London</v>
          </cell>
          <cell r="P294">
            <v>0.20699999999999999</v>
          </cell>
          <cell r="T294">
            <v>2105.5300000000002</v>
          </cell>
        </row>
        <row r="295">
          <cell r="B295">
            <v>45161</v>
          </cell>
          <cell r="D295">
            <v>45191</v>
          </cell>
          <cell r="F295" t="str">
            <v>Europe</v>
          </cell>
          <cell r="G295" t="str">
            <v>United Kingdom</v>
          </cell>
          <cell r="H295" t="str">
            <v>London</v>
          </cell>
          <cell r="P295">
            <v>5.8999999999999997E-2</v>
          </cell>
          <cell r="T295">
            <v>523</v>
          </cell>
        </row>
        <row r="296">
          <cell r="B296">
            <v>45758</v>
          </cell>
          <cell r="D296">
            <v>45781</v>
          </cell>
          <cell r="F296" t="str">
            <v>Asia</v>
          </cell>
          <cell r="G296" t="str">
            <v>Japan</v>
          </cell>
          <cell r="H296" t="str">
            <v>Osaka</v>
          </cell>
          <cell r="P296">
            <v>0.08</v>
          </cell>
          <cell r="T296">
            <v>1075.3</v>
          </cell>
        </row>
        <row r="297">
          <cell r="B297">
            <v>45809</v>
          </cell>
          <cell r="D297">
            <v>45835</v>
          </cell>
          <cell r="F297" t="str">
            <v>Europe</v>
          </cell>
          <cell r="G297" t="str">
            <v>Germany</v>
          </cell>
          <cell r="H297" t="str">
            <v>Munich</v>
          </cell>
          <cell r="P297">
            <v>0.113</v>
          </cell>
          <cell r="T297">
            <v>3294.57</v>
          </cell>
        </row>
        <row r="298">
          <cell r="B298">
            <v>45353</v>
          </cell>
          <cell r="D298">
            <v>45367</v>
          </cell>
          <cell r="F298" t="str">
            <v>Americas</v>
          </cell>
          <cell r="G298" t="str">
            <v>Canada</v>
          </cell>
          <cell r="H298" t="str">
            <v>Vancouver</v>
          </cell>
          <cell r="P298">
            <v>0.16900000000000001</v>
          </cell>
          <cell r="T298">
            <v>464.05</v>
          </cell>
        </row>
        <row r="299">
          <cell r="B299">
            <v>45097</v>
          </cell>
          <cell r="D299">
            <v>45115</v>
          </cell>
          <cell r="F299" t="str">
            <v>Americas</v>
          </cell>
          <cell r="G299" t="str">
            <v>USA</v>
          </cell>
          <cell r="H299" t="str">
            <v>Austin</v>
          </cell>
          <cell r="P299">
            <v>0.108</v>
          </cell>
          <cell r="T299">
            <v>511.03</v>
          </cell>
        </row>
        <row r="300">
          <cell r="B300">
            <v>45377</v>
          </cell>
          <cell r="D300">
            <v>45387</v>
          </cell>
          <cell r="F300" t="str">
            <v>Americas</v>
          </cell>
          <cell r="G300" t="str">
            <v>USA</v>
          </cell>
          <cell r="H300" t="str">
            <v>Austin</v>
          </cell>
          <cell r="P300">
            <v>0.11899999999999999</v>
          </cell>
          <cell r="T300">
            <v>4.22</v>
          </cell>
        </row>
        <row r="301">
          <cell r="B301">
            <v>45679</v>
          </cell>
          <cell r="D301">
            <v>45679</v>
          </cell>
          <cell r="F301" t="str">
            <v>Europe</v>
          </cell>
          <cell r="G301" t="str">
            <v>France</v>
          </cell>
          <cell r="H301" t="str">
            <v>Lyon</v>
          </cell>
          <cell r="P301">
            <v>0</v>
          </cell>
          <cell r="T301">
            <v>577.24</v>
          </cell>
        </row>
        <row r="302">
          <cell r="B302">
            <v>45787</v>
          </cell>
          <cell r="D302">
            <v>45804</v>
          </cell>
          <cell r="F302" t="str">
            <v>Americas</v>
          </cell>
          <cell r="G302" t="str">
            <v>Canada</v>
          </cell>
          <cell r="H302" t="str">
            <v>Vancouver</v>
          </cell>
          <cell r="P302">
            <v>5.6000000000000001E-2</v>
          </cell>
          <cell r="T302">
            <v>1426.03</v>
          </cell>
        </row>
        <row r="303">
          <cell r="B303">
            <v>45204</v>
          </cell>
          <cell r="D303">
            <v>45230</v>
          </cell>
          <cell r="F303" t="str">
            <v>Asia</v>
          </cell>
          <cell r="G303" t="str">
            <v>China</v>
          </cell>
          <cell r="H303" t="str">
            <v>Shanghai</v>
          </cell>
          <cell r="P303">
            <v>0.19400000000000001</v>
          </cell>
          <cell r="T303">
            <v>1360.12</v>
          </cell>
        </row>
        <row r="304">
          <cell r="B304">
            <v>45125</v>
          </cell>
          <cell r="D304">
            <v>45129</v>
          </cell>
          <cell r="F304" t="str">
            <v>Americas</v>
          </cell>
          <cell r="G304" t="str">
            <v>Brazil</v>
          </cell>
          <cell r="H304" t="str">
            <v>São Paulo</v>
          </cell>
          <cell r="P304">
            <v>0.129</v>
          </cell>
          <cell r="T304">
            <v>2071.1</v>
          </cell>
        </row>
        <row r="305">
          <cell r="B305">
            <v>45830</v>
          </cell>
          <cell r="D305">
            <v>45846</v>
          </cell>
          <cell r="F305" t="str">
            <v>Europe</v>
          </cell>
          <cell r="G305" t="str">
            <v>United Kingdom</v>
          </cell>
          <cell r="H305" t="str">
            <v>London</v>
          </cell>
          <cell r="P305">
            <v>0.17399999999999999</v>
          </cell>
          <cell r="T305">
            <v>979.84</v>
          </cell>
        </row>
        <row r="306">
          <cell r="B306">
            <v>45462</v>
          </cell>
          <cell r="D306">
            <v>45463</v>
          </cell>
          <cell r="F306" t="str">
            <v>Africa</v>
          </cell>
          <cell r="G306" t="str">
            <v>Kenya</v>
          </cell>
          <cell r="H306" t="str">
            <v>Kisumu</v>
          </cell>
          <cell r="P306">
            <v>0.08</v>
          </cell>
          <cell r="T306">
            <v>537.39</v>
          </cell>
        </row>
        <row r="307">
          <cell r="B307">
            <v>45756</v>
          </cell>
          <cell r="D307">
            <v>45759</v>
          </cell>
          <cell r="F307" t="str">
            <v>Europe</v>
          </cell>
          <cell r="G307" t="str">
            <v>France</v>
          </cell>
          <cell r="H307" t="str">
            <v>Lyon</v>
          </cell>
          <cell r="P307">
            <v>3.7999999999999999E-2</v>
          </cell>
          <cell r="T307">
            <v>213.32</v>
          </cell>
        </row>
        <row r="308">
          <cell r="B308">
            <v>45741</v>
          </cell>
          <cell r="D308">
            <v>45742</v>
          </cell>
          <cell r="F308" t="str">
            <v>Africa</v>
          </cell>
          <cell r="G308" t="str">
            <v>Nigeria</v>
          </cell>
          <cell r="H308" t="str">
            <v>Lagos</v>
          </cell>
          <cell r="P308">
            <v>0.1</v>
          </cell>
          <cell r="T308">
            <v>1994.67</v>
          </cell>
        </row>
        <row r="309">
          <cell r="B309">
            <v>45795</v>
          </cell>
          <cell r="D309">
            <v>45817</v>
          </cell>
          <cell r="F309" t="str">
            <v>Americas</v>
          </cell>
          <cell r="G309" t="str">
            <v>USA</v>
          </cell>
          <cell r="H309" t="str">
            <v>New York</v>
          </cell>
          <cell r="P309">
            <v>0.17599999999999999</v>
          </cell>
          <cell r="T309">
            <v>552.84</v>
          </cell>
        </row>
        <row r="310">
          <cell r="B310">
            <v>45679</v>
          </cell>
          <cell r="D310">
            <v>45692</v>
          </cell>
          <cell r="F310" t="str">
            <v>Asia</v>
          </cell>
          <cell r="G310" t="str">
            <v>Japan</v>
          </cell>
          <cell r="H310" t="str">
            <v>Tokyo</v>
          </cell>
          <cell r="P310">
            <v>0.153</v>
          </cell>
          <cell r="T310">
            <v>224.95</v>
          </cell>
        </row>
        <row r="311">
          <cell r="B311">
            <v>44936</v>
          </cell>
          <cell r="D311">
            <v>44955</v>
          </cell>
          <cell r="F311" t="str">
            <v>Europe</v>
          </cell>
          <cell r="G311" t="str">
            <v>France</v>
          </cell>
          <cell r="H311" t="str">
            <v>Lyon</v>
          </cell>
          <cell r="P311">
            <v>8.8999999999999996E-2</v>
          </cell>
          <cell r="T311">
            <v>772.09</v>
          </cell>
        </row>
        <row r="312">
          <cell r="B312">
            <v>45655</v>
          </cell>
          <cell r="D312">
            <v>45669</v>
          </cell>
          <cell r="F312" t="str">
            <v>Europe</v>
          </cell>
          <cell r="G312" t="str">
            <v>United Kingdom</v>
          </cell>
          <cell r="H312" t="str">
            <v>Manchester</v>
          </cell>
          <cell r="P312">
            <v>0.185</v>
          </cell>
          <cell r="T312">
            <v>3149.21</v>
          </cell>
        </row>
        <row r="313">
          <cell r="B313">
            <v>45435</v>
          </cell>
          <cell r="D313">
            <v>45449</v>
          </cell>
          <cell r="F313" t="str">
            <v>Americas</v>
          </cell>
          <cell r="G313" t="str">
            <v>Brazil</v>
          </cell>
          <cell r="H313" t="str">
            <v>Rio de Janeiro</v>
          </cell>
          <cell r="P313">
            <v>4.4999999999999998E-2</v>
          </cell>
          <cell r="T313">
            <v>57.53</v>
          </cell>
        </row>
        <row r="314">
          <cell r="B314">
            <v>45101</v>
          </cell>
          <cell r="D314">
            <v>45108</v>
          </cell>
          <cell r="F314" t="str">
            <v>Americas</v>
          </cell>
          <cell r="G314" t="str">
            <v>Canada</v>
          </cell>
          <cell r="H314" t="str">
            <v>Toronto</v>
          </cell>
          <cell r="P314">
            <v>8.7999999999999995E-2</v>
          </cell>
          <cell r="T314">
            <v>824.81</v>
          </cell>
        </row>
        <row r="315">
          <cell r="B315">
            <v>45600</v>
          </cell>
          <cell r="D315">
            <v>45601</v>
          </cell>
          <cell r="F315" t="str">
            <v>Europe</v>
          </cell>
          <cell r="G315" t="str">
            <v>United Kingdom</v>
          </cell>
          <cell r="H315" t="str">
            <v>London</v>
          </cell>
          <cell r="P315">
            <v>0</v>
          </cell>
          <cell r="T315">
            <v>1493.53</v>
          </cell>
        </row>
        <row r="316">
          <cell r="B316">
            <v>45451</v>
          </cell>
          <cell r="D316">
            <v>45467</v>
          </cell>
          <cell r="F316" t="str">
            <v>Africa</v>
          </cell>
          <cell r="G316" t="str">
            <v>South Africa</v>
          </cell>
          <cell r="H316" t="str">
            <v>Durban</v>
          </cell>
          <cell r="P316">
            <v>3.1E-2</v>
          </cell>
          <cell r="T316">
            <v>741.92</v>
          </cell>
        </row>
        <row r="317">
          <cell r="B317">
            <v>45809</v>
          </cell>
          <cell r="D317">
            <v>45814</v>
          </cell>
          <cell r="F317" t="str">
            <v>Europe</v>
          </cell>
          <cell r="G317" t="str">
            <v>France</v>
          </cell>
          <cell r="H317" t="str">
            <v>Paris</v>
          </cell>
          <cell r="P317">
            <v>0.09</v>
          </cell>
          <cell r="T317">
            <v>742.23</v>
          </cell>
        </row>
        <row r="318">
          <cell r="B318">
            <v>45052</v>
          </cell>
          <cell r="D318">
            <v>45060</v>
          </cell>
          <cell r="F318" t="str">
            <v>Asia</v>
          </cell>
          <cell r="G318" t="str">
            <v>Japan</v>
          </cell>
          <cell r="H318" t="str">
            <v>Osaka</v>
          </cell>
          <cell r="P318">
            <v>0.14099999999999999</v>
          </cell>
          <cell r="T318">
            <v>479.54</v>
          </cell>
        </row>
        <row r="319">
          <cell r="B319">
            <v>45244</v>
          </cell>
          <cell r="D319">
            <v>45260</v>
          </cell>
          <cell r="F319" t="str">
            <v>Americas</v>
          </cell>
          <cell r="G319" t="str">
            <v>Brazil</v>
          </cell>
          <cell r="H319" t="str">
            <v>São Paulo</v>
          </cell>
          <cell r="P319">
            <v>7.4999999999999997E-2</v>
          </cell>
          <cell r="T319">
            <v>1175.25</v>
          </cell>
        </row>
        <row r="320">
          <cell r="B320">
            <v>45748</v>
          </cell>
          <cell r="D320">
            <v>45774</v>
          </cell>
          <cell r="F320" t="str">
            <v>Americas</v>
          </cell>
          <cell r="G320" t="str">
            <v>USA</v>
          </cell>
          <cell r="H320" t="str">
            <v>San Francisco</v>
          </cell>
          <cell r="P320">
            <v>1.4E-2</v>
          </cell>
          <cell r="T320">
            <v>227.45</v>
          </cell>
        </row>
        <row r="321">
          <cell r="B321">
            <v>45008</v>
          </cell>
          <cell r="D321">
            <v>45031</v>
          </cell>
          <cell r="F321" t="str">
            <v>Africa</v>
          </cell>
          <cell r="G321" t="str">
            <v>Kenya</v>
          </cell>
          <cell r="H321" t="str">
            <v>Mombasa</v>
          </cell>
          <cell r="P321">
            <v>0.151</v>
          </cell>
          <cell r="T321">
            <v>1178.6199999999999</v>
          </cell>
        </row>
        <row r="322">
          <cell r="B322">
            <v>45440</v>
          </cell>
          <cell r="D322">
            <v>45461</v>
          </cell>
          <cell r="F322" t="str">
            <v>Europe</v>
          </cell>
          <cell r="G322" t="str">
            <v>Germany</v>
          </cell>
          <cell r="H322" t="str">
            <v>Frankfurt</v>
          </cell>
          <cell r="P322">
            <v>7.5999999999999998E-2</v>
          </cell>
          <cell r="T322">
            <v>2422.1</v>
          </cell>
        </row>
        <row r="323">
          <cell r="B323">
            <v>45293</v>
          </cell>
          <cell r="D323">
            <v>45300</v>
          </cell>
          <cell r="F323" t="str">
            <v>Americas</v>
          </cell>
          <cell r="G323" t="str">
            <v>USA</v>
          </cell>
          <cell r="H323" t="str">
            <v>Chicago</v>
          </cell>
          <cell r="P323">
            <v>0.215</v>
          </cell>
          <cell r="T323">
            <v>433.88</v>
          </cell>
        </row>
        <row r="324">
          <cell r="B324">
            <v>44985</v>
          </cell>
          <cell r="D324">
            <v>44992</v>
          </cell>
          <cell r="F324" t="str">
            <v>Europe</v>
          </cell>
          <cell r="G324" t="str">
            <v>France</v>
          </cell>
          <cell r="H324" t="str">
            <v>Marseille</v>
          </cell>
          <cell r="P324">
            <v>0.10299999999999999</v>
          </cell>
          <cell r="T324">
            <v>3149.13</v>
          </cell>
        </row>
        <row r="325">
          <cell r="B325">
            <v>45340</v>
          </cell>
          <cell r="D325">
            <v>45362</v>
          </cell>
          <cell r="F325" t="str">
            <v>Americas</v>
          </cell>
          <cell r="G325" t="str">
            <v>Brazil</v>
          </cell>
          <cell r="H325" t="str">
            <v>São Paulo</v>
          </cell>
          <cell r="P325">
            <v>0.17599999999999999</v>
          </cell>
          <cell r="T325">
            <v>65.650000000000006</v>
          </cell>
        </row>
        <row r="326">
          <cell r="B326">
            <v>45544</v>
          </cell>
          <cell r="D326">
            <v>45573</v>
          </cell>
          <cell r="F326" t="str">
            <v>Americas</v>
          </cell>
          <cell r="G326" t="str">
            <v>Brazil</v>
          </cell>
          <cell r="H326" t="str">
            <v>São Paulo</v>
          </cell>
          <cell r="P326">
            <v>5.0999999999999997E-2</v>
          </cell>
          <cell r="T326">
            <v>2492.14</v>
          </cell>
        </row>
        <row r="327">
          <cell r="B327">
            <v>45053</v>
          </cell>
          <cell r="D327">
            <v>45075</v>
          </cell>
          <cell r="F327" t="str">
            <v>Africa</v>
          </cell>
          <cell r="G327" t="str">
            <v>South Africa</v>
          </cell>
          <cell r="H327" t="str">
            <v>Durban</v>
          </cell>
          <cell r="P327">
            <v>0.121</v>
          </cell>
          <cell r="T327">
            <v>931.84</v>
          </cell>
        </row>
        <row r="328">
          <cell r="B328">
            <v>45303</v>
          </cell>
          <cell r="D328">
            <v>45320</v>
          </cell>
          <cell r="F328" t="str">
            <v>Asia</v>
          </cell>
          <cell r="G328" t="str">
            <v>India</v>
          </cell>
          <cell r="H328" t="str">
            <v>Hyderabad</v>
          </cell>
          <cell r="P328">
            <v>4.2000000000000003E-2</v>
          </cell>
          <cell r="T328">
            <v>619.51</v>
          </cell>
        </row>
        <row r="329">
          <cell r="B329">
            <v>45087</v>
          </cell>
          <cell r="D329">
            <v>45095</v>
          </cell>
          <cell r="F329" t="str">
            <v>Africa</v>
          </cell>
          <cell r="G329" t="str">
            <v>Kenya</v>
          </cell>
          <cell r="H329" t="str">
            <v>Nakuru</v>
          </cell>
          <cell r="P329">
            <v>0.109</v>
          </cell>
          <cell r="T329">
            <v>1421.55</v>
          </cell>
        </row>
        <row r="330">
          <cell r="B330">
            <v>45796</v>
          </cell>
          <cell r="D330">
            <v>45803</v>
          </cell>
          <cell r="F330" t="str">
            <v>Americas</v>
          </cell>
          <cell r="G330" t="str">
            <v>Brazil</v>
          </cell>
          <cell r="H330" t="str">
            <v>São Paulo</v>
          </cell>
          <cell r="P330">
            <v>0.34599999999999997</v>
          </cell>
          <cell r="T330">
            <v>952.56</v>
          </cell>
        </row>
        <row r="331">
          <cell r="B331">
            <v>45221</v>
          </cell>
          <cell r="D331">
            <v>45246</v>
          </cell>
          <cell r="F331" t="str">
            <v>Americas</v>
          </cell>
          <cell r="G331" t="str">
            <v>Canada</v>
          </cell>
          <cell r="H331" t="str">
            <v>Toronto</v>
          </cell>
          <cell r="P331">
            <v>0.2</v>
          </cell>
          <cell r="T331">
            <v>3154.14</v>
          </cell>
        </row>
        <row r="332">
          <cell r="B332">
            <v>45668</v>
          </cell>
          <cell r="D332">
            <v>45680</v>
          </cell>
          <cell r="F332" t="str">
            <v>Americas</v>
          </cell>
          <cell r="G332" t="str">
            <v>USA</v>
          </cell>
          <cell r="H332" t="str">
            <v>Austin</v>
          </cell>
          <cell r="P332">
            <v>6.5000000000000002E-2</v>
          </cell>
          <cell r="T332">
            <v>226.14</v>
          </cell>
        </row>
        <row r="333">
          <cell r="B333">
            <v>45914</v>
          </cell>
          <cell r="D333">
            <v>45926</v>
          </cell>
          <cell r="F333" t="str">
            <v>Europe</v>
          </cell>
          <cell r="G333" t="str">
            <v>United Kingdom</v>
          </cell>
          <cell r="H333" t="str">
            <v>London</v>
          </cell>
          <cell r="P333">
            <v>0.23899999999999999</v>
          </cell>
          <cell r="T333">
            <v>885.92</v>
          </cell>
        </row>
        <row r="334">
          <cell r="B334">
            <v>45168</v>
          </cell>
          <cell r="D334">
            <v>45172</v>
          </cell>
          <cell r="F334" t="str">
            <v>Asia</v>
          </cell>
          <cell r="G334" t="str">
            <v>India</v>
          </cell>
          <cell r="H334" t="str">
            <v>Delhi</v>
          </cell>
          <cell r="P334">
            <v>0.27</v>
          </cell>
          <cell r="T334">
            <v>2433.34</v>
          </cell>
        </row>
        <row r="335">
          <cell r="B335">
            <v>45245</v>
          </cell>
          <cell r="D335">
            <v>45266</v>
          </cell>
          <cell r="F335" t="str">
            <v>Europe</v>
          </cell>
          <cell r="G335" t="str">
            <v>United Kingdom</v>
          </cell>
          <cell r="H335" t="str">
            <v>Manchester</v>
          </cell>
          <cell r="P335">
            <v>2.8000000000000001E-2</v>
          </cell>
          <cell r="T335">
            <v>1154.3399999999999</v>
          </cell>
        </row>
        <row r="336">
          <cell r="B336">
            <v>45774</v>
          </cell>
          <cell r="D336">
            <v>45804</v>
          </cell>
          <cell r="F336" t="str">
            <v>Asia</v>
          </cell>
          <cell r="G336" t="str">
            <v>India</v>
          </cell>
          <cell r="H336" t="str">
            <v>Unknown</v>
          </cell>
          <cell r="P336">
            <v>0.14499999999999999</v>
          </cell>
          <cell r="T336">
            <v>1135.99</v>
          </cell>
        </row>
        <row r="337">
          <cell r="B337">
            <v>45391</v>
          </cell>
          <cell r="D337">
            <v>45400</v>
          </cell>
          <cell r="F337" t="str">
            <v>Europe</v>
          </cell>
          <cell r="G337" t="str">
            <v>France</v>
          </cell>
          <cell r="H337" t="str">
            <v>Lyon</v>
          </cell>
          <cell r="P337">
            <v>0.158</v>
          </cell>
          <cell r="T337">
            <v>2751.84</v>
          </cell>
        </row>
        <row r="338">
          <cell r="B338">
            <v>45484</v>
          </cell>
          <cell r="D338">
            <v>45504</v>
          </cell>
          <cell r="F338" t="str">
            <v>Asia</v>
          </cell>
          <cell r="G338" t="str">
            <v>China</v>
          </cell>
          <cell r="H338" t="str">
            <v>Shenzhen</v>
          </cell>
          <cell r="P338">
            <v>6.6000000000000003E-2</v>
          </cell>
          <cell r="T338">
            <v>1374.72</v>
          </cell>
        </row>
        <row r="339">
          <cell r="B339">
            <v>45340</v>
          </cell>
          <cell r="D339">
            <v>45354</v>
          </cell>
          <cell r="F339" t="str">
            <v>Americas</v>
          </cell>
          <cell r="G339" t="str">
            <v>Brazil</v>
          </cell>
          <cell r="H339" t="str">
            <v>Unknown</v>
          </cell>
          <cell r="P339">
            <v>0.21</v>
          </cell>
          <cell r="T339">
            <v>1318.37</v>
          </cell>
        </row>
        <row r="340">
          <cell r="B340">
            <v>45132</v>
          </cell>
          <cell r="D340">
            <v>45148</v>
          </cell>
          <cell r="F340" t="str">
            <v>Africa</v>
          </cell>
          <cell r="G340" t="str">
            <v>Nigeria</v>
          </cell>
          <cell r="H340" t="str">
            <v>Port Harcourt</v>
          </cell>
          <cell r="P340">
            <v>0.24</v>
          </cell>
          <cell r="T340">
            <v>441.74</v>
          </cell>
        </row>
        <row r="341">
          <cell r="B341">
            <v>45121</v>
          </cell>
          <cell r="D341">
            <v>45128</v>
          </cell>
          <cell r="F341" t="str">
            <v>Africa</v>
          </cell>
          <cell r="G341" t="str">
            <v>South Africa</v>
          </cell>
          <cell r="H341" t="str">
            <v>Durban</v>
          </cell>
          <cell r="P341">
            <v>0.29899999999999999</v>
          </cell>
          <cell r="T341">
            <v>1330.07</v>
          </cell>
        </row>
        <row r="342">
          <cell r="B342">
            <v>45131</v>
          </cell>
          <cell r="D342">
            <v>45157</v>
          </cell>
          <cell r="F342" t="str">
            <v>Africa</v>
          </cell>
          <cell r="G342" t="str">
            <v>Kenya</v>
          </cell>
          <cell r="H342" t="str">
            <v>Nairobi</v>
          </cell>
          <cell r="P342">
            <v>0.56499999999999995</v>
          </cell>
          <cell r="T342">
            <v>1634.86</v>
          </cell>
        </row>
        <row r="343">
          <cell r="B343">
            <v>45029</v>
          </cell>
          <cell r="D343">
            <v>45036</v>
          </cell>
          <cell r="F343" t="str">
            <v>Americas</v>
          </cell>
          <cell r="G343" t="str">
            <v>USA</v>
          </cell>
          <cell r="H343" t="str">
            <v>San Francisco</v>
          </cell>
          <cell r="P343">
            <v>0.28199999999999997</v>
          </cell>
          <cell r="T343">
            <v>70.599999999999994</v>
          </cell>
        </row>
        <row r="344">
          <cell r="B344">
            <v>45594</v>
          </cell>
          <cell r="D344">
            <v>45600</v>
          </cell>
          <cell r="F344" t="str">
            <v>Africa</v>
          </cell>
          <cell r="G344" t="str">
            <v>Kenya</v>
          </cell>
          <cell r="H344" t="str">
            <v>Nairobi</v>
          </cell>
          <cell r="P344">
            <v>0</v>
          </cell>
          <cell r="T344">
            <v>1823.04</v>
          </cell>
        </row>
        <row r="345">
          <cell r="B345">
            <v>45339</v>
          </cell>
          <cell r="D345">
            <v>45355</v>
          </cell>
          <cell r="F345" t="str">
            <v>Asia</v>
          </cell>
          <cell r="G345" t="str">
            <v>India</v>
          </cell>
          <cell r="H345" t="str">
            <v>Delhi</v>
          </cell>
          <cell r="P345">
            <v>0.26100000000000001</v>
          </cell>
          <cell r="T345">
            <v>2015.99</v>
          </cell>
        </row>
        <row r="346">
          <cell r="B346">
            <v>45486</v>
          </cell>
          <cell r="D346">
            <v>45493</v>
          </cell>
          <cell r="F346" t="str">
            <v>Asia</v>
          </cell>
          <cell r="G346" t="str">
            <v>Japan</v>
          </cell>
          <cell r="H346" t="str">
            <v>Nagoya</v>
          </cell>
          <cell r="P346">
            <v>7.0999999999999994E-2</v>
          </cell>
          <cell r="T346">
            <v>244.13</v>
          </cell>
        </row>
        <row r="347">
          <cell r="B347">
            <v>45261</v>
          </cell>
          <cell r="D347">
            <v>45278</v>
          </cell>
          <cell r="F347" t="str">
            <v>Asia</v>
          </cell>
          <cell r="G347" t="str">
            <v>Japan</v>
          </cell>
          <cell r="H347" t="str">
            <v>Nagoya</v>
          </cell>
          <cell r="P347">
            <v>0.02</v>
          </cell>
          <cell r="T347">
            <v>2783.12</v>
          </cell>
        </row>
        <row r="348">
          <cell r="B348">
            <v>45498</v>
          </cell>
          <cell r="D348">
            <v>45506</v>
          </cell>
          <cell r="F348" t="str">
            <v>Americas</v>
          </cell>
          <cell r="G348" t="str">
            <v>Canada</v>
          </cell>
          <cell r="H348" t="str">
            <v>Montreal</v>
          </cell>
          <cell r="P348">
            <v>0.10299999999999999</v>
          </cell>
          <cell r="T348">
            <v>2050.31</v>
          </cell>
        </row>
        <row r="349">
          <cell r="B349">
            <v>45050</v>
          </cell>
          <cell r="D349">
            <v>45062</v>
          </cell>
          <cell r="F349" t="str">
            <v>Africa</v>
          </cell>
          <cell r="G349" t="str">
            <v>Nigeria</v>
          </cell>
          <cell r="H349" t="str">
            <v>Abuja</v>
          </cell>
          <cell r="P349">
            <v>0</v>
          </cell>
          <cell r="T349">
            <v>147.12</v>
          </cell>
        </row>
        <row r="350">
          <cell r="B350">
            <v>45281</v>
          </cell>
          <cell r="D350">
            <v>45297</v>
          </cell>
          <cell r="F350" t="str">
            <v>Africa</v>
          </cell>
          <cell r="G350" t="str">
            <v>Nigeria</v>
          </cell>
          <cell r="H350" t="str">
            <v>Unknown</v>
          </cell>
          <cell r="P350">
            <v>0.14399999999999999</v>
          </cell>
          <cell r="T350">
            <v>1982.98</v>
          </cell>
        </row>
        <row r="351">
          <cell r="B351">
            <v>45825</v>
          </cell>
          <cell r="D351">
            <v>45843</v>
          </cell>
          <cell r="F351" t="str">
            <v>Asia</v>
          </cell>
          <cell r="G351" t="str">
            <v>India</v>
          </cell>
          <cell r="H351" t="str">
            <v>Delhi</v>
          </cell>
          <cell r="P351">
            <v>0.113</v>
          </cell>
          <cell r="T351">
            <v>2299.3000000000002</v>
          </cell>
        </row>
        <row r="352">
          <cell r="B352">
            <v>44980</v>
          </cell>
          <cell r="D352">
            <v>44993</v>
          </cell>
          <cell r="F352" t="str">
            <v>Europe</v>
          </cell>
          <cell r="G352" t="str">
            <v>United Kingdom</v>
          </cell>
          <cell r="H352" t="str">
            <v>Manchester</v>
          </cell>
          <cell r="P352">
            <v>0.188</v>
          </cell>
          <cell r="T352">
            <v>462.61</v>
          </cell>
        </row>
        <row r="353">
          <cell r="B353">
            <v>45262</v>
          </cell>
          <cell r="D353">
            <v>45276</v>
          </cell>
          <cell r="F353" t="str">
            <v>Europe</v>
          </cell>
          <cell r="G353" t="str">
            <v>Germany</v>
          </cell>
          <cell r="H353" t="str">
            <v>Frankfurt</v>
          </cell>
          <cell r="P353">
            <v>0.113</v>
          </cell>
          <cell r="T353">
            <v>1093.3900000000001</v>
          </cell>
        </row>
        <row r="354">
          <cell r="B354">
            <v>45121</v>
          </cell>
          <cell r="D354">
            <v>45121</v>
          </cell>
          <cell r="F354" t="str">
            <v>Africa</v>
          </cell>
          <cell r="G354" t="str">
            <v>Nigeria</v>
          </cell>
          <cell r="H354" t="str">
            <v>Lagos</v>
          </cell>
          <cell r="P354">
            <v>3.9E-2</v>
          </cell>
          <cell r="T354">
            <v>1454.22</v>
          </cell>
        </row>
        <row r="355">
          <cell r="B355">
            <v>45512</v>
          </cell>
          <cell r="D355">
            <v>45524</v>
          </cell>
          <cell r="F355" t="str">
            <v>Asia</v>
          </cell>
          <cell r="G355" t="str">
            <v>Japan</v>
          </cell>
          <cell r="H355" t="str">
            <v>Osaka</v>
          </cell>
          <cell r="P355">
            <v>0.17899999999999999</v>
          </cell>
          <cell r="T355">
            <v>2120.4</v>
          </cell>
        </row>
        <row r="356">
          <cell r="B356">
            <v>45603</v>
          </cell>
          <cell r="D356">
            <v>45622</v>
          </cell>
          <cell r="F356" t="str">
            <v>Americas</v>
          </cell>
          <cell r="G356" t="str">
            <v>Brazil</v>
          </cell>
          <cell r="H356" t="str">
            <v>Rio de Janeiro</v>
          </cell>
          <cell r="P356">
            <v>0.128</v>
          </cell>
          <cell r="T356">
            <v>128.68</v>
          </cell>
        </row>
        <row r="357">
          <cell r="B357">
            <v>45292</v>
          </cell>
          <cell r="D357">
            <v>45318</v>
          </cell>
          <cell r="F357" t="str">
            <v>Europe</v>
          </cell>
          <cell r="G357" t="str">
            <v>United Kingdom</v>
          </cell>
          <cell r="H357" t="str">
            <v>Manchester</v>
          </cell>
          <cell r="P357">
            <v>0.16700000000000001</v>
          </cell>
          <cell r="T357">
            <v>1325.96</v>
          </cell>
        </row>
        <row r="358">
          <cell r="B358">
            <v>45883</v>
          </cell>
          <cell r="D358">
            <v>45911</v>
          </cell>
          <cell r="F358" t="str">
            <v>Americas</v>
          </cell>
          <cell r="G358" t="str">
            <v>Brazil</v>
          </cell>
          <cell r="H358" t="str">
            <v>São Paulo</v>
          </cell>
          <cell r="P358">
            <v>0</v>
          </cell>
          <cell r="T358">
            <v>2439.33</v>
          </cell>
        </row>
        <row r="359">
          <cell r="B359">
            <v>45385</v>
          </cell>
          <cell r="D359">
            <v>45403</v>
          </cell>
          <cell r="F359" t="str">
            <v>Americas</v>
          </cell>
          <cell r="G359" t="str">
            <v>Brazil</v>
          </cell>
          <cell r="H359" t="str">
            <v>Brasília</v>
          </cell>
          <cell r="P359">
            <v>0.17</v>
          </cell>
          <cell r="T359">
            <v>2201.54</v>
          </cell>
        </row>
        <row r="360">
          <cell r="B360">
            <v>45621</v>
          </cell>
          <cell r="D360">
            <v>45633</v>
          </cell>
          <cell r="F360" t="str">
            <v>Asia</v>
          </cell>
          <cell r="G360" t="str">
            <v>China</v>
          </cell>
          <cell r="H360" t="str">
            <v>Shanghai</v>
          </cell>
          <cell r="P360">
            <v>0</v>
          </cell>
          <cell r="T360">
            <v>814.36</v>
          </cell>
        </row>
        <row r="361">
          <cell r="B361">
            <v>45309</v>
          </cell>
          <cell r="D361">
            <v>45325</v>
          </cell>
          <cell r="F361" t="str">
            <v>Africa</v>
          </cell>
          <cell r="G361" t="str">
            <v>South Africa</v>
          </cell>
          <cell r="H361" t="str">
            <v>Cape Town</v>
          </cell>
          <cell r="P361">
            <v>0.17599999999999999</v>
          </cell>
          <cell r="T361">
            <v>1382.91</v>
          </cell>
        </row>
        <row r="362">
          <cell r="B362">
            <v>45466</v>
          </cell>
          <cell r="D362">
            <v>45468</v>
          </cell>
          <cell r="F362" t="str">
            <v>Europe</v>
          </cell>
          <cell r="G362" t="str">
            <v>United Kingdom</v>
          </cell>
          <cell r="H362" t="str">
            <v>Birmingham</v>
          </cell>
          <cell r="P362">
            <v>0.11</v>
          </cell>
          <cell r="T362">
            <v>1646.43</v>
          </cell>
        </row>
        <row r="363">
          <cell r="B363">
            <v>45833</v>
          </cell>
          <cell r="D363">
            <v>45848</v>
          </cell>
          <cell r="F363" t="str">
            <v>Europe</v>
          </cell>
          <cell r="G363" t="str">
            <v>United Kingdom</v>
          </cell>
          <cell r="H363" t="str">
            <v>Birmingham</v>
          </cell>
          <cell r="P363">
            <v>7.8E-2</v>
          </cell>
          <cell r="T363">
            <v>400.84</v>
          </cell>
        </row>
        <row r="364">
          <cell r="B364">
            <v>45108</v>
          </cell>
          <cell r="D364">
            <v>45115</v>
          </cell>
          <cell r="F364" t="str">
            <v>Africa</v>
          </cell>
          <cell r="G364" t="str">
            <v>Nigeria</v>
          </cell>
          <cell r="H364" t="str">
            <v>Port Harcourt</v>
          </cell>
          <cell r="P364">
            <v>1.4E-2</v>
          </cell>
          <cell r="T364">
            <v>1780.56</v>
          </cell>
        </row>
        <row r="365">
          <cell r="B365">
            <v>45360</v>
          </cell>
          <cell r="D365">
            <v>45377</v>
          </cell>
          <cell r="F365" t="str">
            <v>Asia</v>
          </cell>
          <cell r="G365" t="str">
            <v>China</v>
          </cell>
          <cell r="H365" t="str">
            <v>Shenzhen</v>
          </cell>
          <cell r="P365">
            <v>0.27200000000000002</v>
          </cell>
          <cell r="T365">
            <v>1118.43</v>
          </cell>
        </row>
        <row r="366">
          <cell r="B366">
            <v>45082</v>
          </cell>
          <cell r="D366">
            <v>45105</v>
          </cell>
          <cell r="F366" t="str">
            <v>Europe</v>
          </cell>
          <cell r="G366" t="str">
            <v>United Kingdom</v>
          </cell>
          <cell r="H366" t="str">
            <v>Birmingham</v>
          </cell>
          <cell r="P366">
            <v>0.13200000000000001</v>
          </cell>
          <cell r="T366">
            <v>771.12</v>
          </cell>
        </row>
        <row r="367">
          <cell r="B367">
            <v>45737</v>
          </cell>
          <cell r="D367">
            <v>45756</v>
          </cell>
          <cell r="F367" t="str">
            <v>Asia</v>
          </cell>
          <cell r="G367" t="str">
            <v>Japan</v>
          </cell>
          <cell r="H367" t="str">
            <v>Tokyo</v>
          </cell>
          <cell r="P367">
            <v>8.9999999999999993E-3</v>
          </cell>
          <cell r="T367">
            <v>1210.04</v>
          </cell>
        </row>
        <row r="368">
          <cell r="B368">
            <v>45445</v>
          </cell>
          <cell r="D368">
            <v>45458</v>
          </cell>
          <cell r="F368" t="str">
            <v>Africa</v>
          </cell>
          <cell r="G368" t="str">
            <v>Kenya</v>
          </cell>
          <cell r="H368" t="str">
            <v>Mombasa</v>
          </cell>
          <cell r="P368">
            <v>0.192</v>
          </cell>
          <cell r="T368">
            <v>3024.03</v>
          </cell>
        </row>
        <row r="369">
          <cell r="B369">
            <v>45731</v>
          </cell>
          <cell r="D369">
            <v>45745</v>
          </cell>
          <cell r="F369" t="str">
            <v>Asia</v>
          </cell>
          <cell r="G369" t="str">
            <v>India</v>
          </cell>
          <cell r="H369" t="str">
            <v>Mumbai</v>
          </cell>
          <cell r="P369">
            <v>0.105</v>
          </cell>
          <cell r="T369">
            <v>2303.46</v>
          </cell>
        </row>
        <row r="370">
          <cell r="B370">
            <v>45194</v>
          </cell>
          <cell r="D370">
            <v>45208</v>
          </cell>
          <cell r="F370" t="str">
            <v>Americas</v>
          </cell>
          <cell r="G370" t="str">
            <v>USA</v>
          </cell>
          <cell r="H370" t="str">
            <v>New York</v>
          </cell>
          <cell r="P370">
            <v>0.106</v>
          </cell>
          <cell r="T370">
            <v>3083.8</v>
          </cell>
        </row>
        <row r="371">
          <cell r="B371">
            <v>45832</v>
          </cell>
          <cell r="D371">
            <v>45861</v>
          </cell>
          <cell r="F371" t="str">
            <v>Americas</v>
          </cell>
          <cell r="G371" t="str">
            <v>Canada</v>
          </cell>
          <cell r="H371" t="str">
            <v>Vancouver</v>
          </cell>
          <cell r="P371">
            <v>0.115</v>
          </cell>
          <cell r="T371">
            <v>322.70999999999998</v>
          </cell>
        </row>
        <row r="372">
          <cell r="B372">
            <v>45286</v>
          </cell>
          <cell r="D372">
            <v>45294</v>
          </cell>
          <cell r="F372" t="str">
            <v>Europe</v>
          </cell>
          <cell r="G372" t="str">
            <v>France</v>
          </cell>
          <cell r="H372" t="str">
            <v>Lyon</v>
          </cell>
          <cell r="P372">
            <v>5.8000000000000003E-2</v>
          </cell>
          <cell r="T372">
            <v>731.29</v>
          </cell>
        </row>
        <row r="373">
          <cell r="B373">
            <v>44962</v>
          </cell>
          <cell r="D373">
            <v>44985</v>
          </cell>
          <cell r="F373" t="str">
            <v>Americas</v>
          </cell>
          <cell r="G373" t="str">
            <v>USA</v>
          </cell>
          <cell r="H373" t="str">
            <v>Austin</v>
          </cell>
          <cell r="P373">
            <v>0</v>
          </cell>
          <cell r="T373">
            <v>1533.95</v>
          </cell>
        </row>
        <row r="374">
          <cell r="B374">
            <v>45022</v>
          </cell>
          <cell r="D374">
            <v>45024</v>
          </cell>
          <cell r="F374" t="str">
            <v>Africa</v>
          </cell>
          <cell r="G374" t="str">
            <v>Nigeria</v>
          </cell>
          <cell r="H374" t="str">
            <v>Abuja</v>
          </cell>
          <cell r="P374">
            <v>0.107</v>
          </cell>
          <cell r="T374">
            <v>1571.66</v>
          </cell>
        </row>
        <row r="375">
          <cell r="B375">
            <v>45751</v>
          </cell>
          <cell r="D375">
            <v>45757</v>
          </cell>
          <cell r="F375" t="str">
            <v>Europe</v>
          </cell>
          <cell r="G375" t="str">
            <v>United Kingdom</v>
          </cell>
          <cell r="H375" t="str">
            <v>Birmingham</v>
          </cell>
          <cell r="P375">
            <v>3.4000000000000002E-2</v>
          </cell>
          <cell r="T375">
            <v>250.73</v>
          </cell>
        </row>
        <row r="376">
          <cell r="B376">
            <v>45429</v>
          </cell>
          <cell r="D376">
            <v>45439</v>
          </cell>
          <cell r="F376" t="str">
            <v>Americas</v>
          </cell>
          <cell r="G376" t="str">
            <v>USA</v>
          </cell>
          <cell r="H376" t="str">
            <v>Austin</v>
          </cell>
          <cell r="P376">
            <v>0.25600000000000001</v>
          </cell>
          <cell r="T376">
            <v>3472.81</v>
          </cell>
        </row>
        <row r="377">
          <cell r="B377">
            <v>45354</v>
          </cell>
          <cell r="D377">
            <v>45370</v>
          </cell>
          <cell r="F377" t="str">
            <v>Asia</v>
          </cell>
          <cell r="G377" t="str">
            <v>China</v>
          </cell>
          <cell r="H377" t="str">
            <v>Beijing</v>
          </cell>
          <cell r="P377">
            <v>6.3E-2</v>
          </cell>
          <cell r="T377">
            <v>1206.04</v>
          </cell>
        </row>
        <row r="378">
          <cell r="B378">
            <v>45835</v>
          </cell>
          <cell r="D378">
            <v>45849</v>
          </cell>
          <cell r="F378" t="str">
            <v>Asia</v>
          </cell>
          <cell r="G378" t="str">
            <v>China</v>
          </cell>
          <cell r="H378" t="str">
            <v>Shanghai</v>
          </cell>
          <cell r="P378">
            <v>9.9000000000000005E-2</v>
          </cell>
          <cell r="T378">
            <v>2197.23</v>
          </cell>
        </row>
        <row r="379">
          <cell r="B379">
            <v>44998</v>
          </cell>
          <cell r="D379">
            <v>45020</v>
          </cell>
          <cell r="F379" t="str">
            <v>Africa</v>
          </cell>
          <cell r="G379" t="str">
            <v>South Africa</v>
          </cell>
          <cell r="H379" t="str">
            <v>Durban</v>
          </cell>
          <cell r="P379">
            <v>0.13900000000000001</v>
          </cell>
          <cell r="T379">
            <v>1620.6</v>
          </cell>
        </row>
        <row r="380">
          <cell r="B380">
            <v>45664</v>
          </cell>
          <cell r="D380">
            <v>45677</v>
          </cell>
          <cell r="F380" t="str">
            <v>Africa</v>
          </cell>
          <cell r="G380" t="str">
            <v>South Africa</v>
          </cell>
          <cell r="H380" t="str">
            <v>Cape Town</v>
          </cell>
          <cell r="P380">
            <v>9.1999999999999998E-2</v>
          </cell>
          <cell r="T380">
            <v>1034.6600000000001</v>
          </cell>
        </row>
        <row r="381">
          <cell r="B381">
            <v>45694</v>
          </cell>
          <cell r="D381">
            <v>45703</v>
          </cell>
          <cell r="F381" t="str">
            <v>Americas</v>
          </cell>
          <cell r="G381" t="str">
            <v>Brazil</v>
          </cell>
          <cell r="H381" t="str">
            <v>São Paulo</v>
          </cell>
          <cell r="P381">
            <v>3.2000000000000001E-2</v>
          </cell>
          <cell r="T381">
            <v>1905.42</v>
          </cell>
        </row>
        <row r="382">
          <cell r="B382">
            <v>45688</v>
          </cell>
          <cell r="D382">
            <v>45705</v>
          </cell>
          <cell r="F382" t="str">
            <v>Europe</v>
          </cell>
          <cell r="G382" t="str">
            <v>United Kingdom</v>
          </cell>
          <cell r="H382" t="str">
            <v>London</v>
          </cell>
          <cell r="P382">
            <v>0.16300000000000001</v>
          </cell>
          <cell r="T382">
            <v>541.55999999999995</v>
          </cell>
        </row>
        <row r="383">
          <cell r="B383">
            <v>45876</v>
          </cell>
          <cell r="D383">
            <v>45906</v>
          </cell>
          <cell r="F383" t="str">
            <v>Americas</v>
          </cell>
          <cell r="G383" t="str">
            <v>Canada</v>
          </cell>
          <cell r="H383" t="str">
            <v>Montreal</v>
          </cell>
          <cell r="P383">
            <v>0.17599999999999999</v>
          </cell>
          <cell r="T383">
            <v>1116.5999999999999</v>
          </cell>
        </row>
        <row r="384">
          <cell r="B384">
            <v>45861</v>
          </cell>
          <cell r="D384">
            <v>45886</v>
          </cell>
          <cell r="F384" t="str">
            <v>Europe</v>
          </cell>
          <cell r="G384" t="str">
            <v>United Kingdom</v>
          </cell>
          <cell r="H384" t="str">
            <v>Birmingham</v>
          </cell>
          <cell r="P384">
            <v>7.8E-2</v>
          </cell>
          <cell r="T384">
            <v>1455</v>
          </cell>
        </row>
        <row r="385">
          <cell r="B385">
            <v>45097</v>
          </cell>
          <cell r="D385">
            <v>45115</v>
          </cell>
          <cell r="F385" t="str">
            <v>Americas</v>
          </cell>
          <cell r="G385" t="str">
            <v>USA</v>
          </cell>
          <cell r="H385" t="str">
            <v>New York</v>
          </cell>
          <cell r="P385">
            <v>0.09</v>
          </cell>
          <cell r="T385">
            <v>1278.3</v>
          </cell>
        </row>
        <row r="386">
          <cell r="B386">
            <v>45491</v>
          </cell>
          <cell r="D386">
            <v>45511</v>
          </cell>
          <cell r="F386" t="str">
            <v>Europe</v>
          </cell>
          <cell r="G386" t="str">
            <v>France</v>
          </cell>
          <cell r="H386" t="str">
            <v>Marseille</v>
          </cell>
          <cell r="P386">
            <v>5.8000000000000003E-2</v>
          </cell>
          <cell r="T386">
            <v>899.83</v>
          </cell>
        </row>
        <row r="387">
          <cell r="B387">
            <v>45066</v>
          </cell>
          <cell r="D387">
            <v>45096</v>
          </cell>
          <cell r="F387" t="str">
            <v>Asia</v>
          </cell>
          <cell r="G387" t="str">
            <v>India</v>
          </cell>
          <cell r="H387" t="str">
            <v>Delhi</v>
          </cell>
          <cell r="P387">
            <v>0.19</v>
          </cell>
          <cell r="T387">
            <v>878.73</v>
          </cell>
        </row>
        <row r="388">
          <cell r="B388">
            <v>45789</v>
          </cell>
          <cell r="D388">
            <v>45803</v>
          </cell>
          <cell r="F388" t="str">
            <v>Asia</v>
          </cell>
          <cell r="G388" t="str">
            <v>India</v>
          </cell>
          <cell r="H388" t="str">
            <v>Hyderabad</v>
          </cell>
          <cell r="P388">
            <v>0.104</v>
          </cell>
          <cell r="T388">
            <v>594.41999999999996</v>
          </cell>
        </row>
        <row r="389">
          <cell r="B389">
            <v>45419</v>
          </cell>
          <cell r="D389">
            <v>45424</v>
          </cell>
          <cell r="F389" t="str">
            <v>Africa</v>
          </cell>
          <cell r="G389" t="str">
            <v>Nigeria</v>
          </cell>
          <cell r="H389" t="str">
            <v>Abuja</v>
          </cell>
          <cell r="P389">
            <v>0.127</v>
          </cell>
          <cell r="T389">
            <v>1617.85</v>
          </cell>
        </row>
        <row r="390">
          <cell r="B390">
            <v>45199</v>
          </cell>
          <cell r="D390">
            <v>45202</v>
          </cell>
          <cell r="F390" t="str">
            <v>Asia</v>
          </cell>
          <cell r="G390" t="str">
            <v>China</v>
          </cell>
          <cell r="H390" t="str">
            <v>Beijing</v>
          </cell>
          <cell r="P390">
            <v>0.14699999999999999</v>
          </cell>
          <cell r="T390">
            <v>972.91</v>
          </cell>
        </row>
        <row r="391">
          <cell r="B391">
            <v>45225</v>
          </cell>
          <cell r="D391">
            <v>45235</v>
          </cell>
          <cell r="F391" t="str">
            <v>Africa</v>
          </cell>
          <cell r="G391" t="str">
            <v>South Africa</v>
          </cell>
          <cell r="H391" t="str">
            <v>Cape Town</v>
          </cell>
          <cell r="P391">
            <v>7.1999999999999995E-2</v>
          </cell>
          <cell r="T391">
            <v>42.56</v>
          </cell>
        </row>
        <row r="392">
          <cell r="B392">
            <v>45823</v>
          </cell>
          <cell r="D392">
            <v>45838</v>
          </cell>
          <cell r="F392" t="str">
            <v>Africa</v>
          </cell>
          <cell r="G392" t="str">
            <v>South Africa</v>
          </cell>
          <cell r="H392" t="str">
            <v>Johannesburg</v>
          </cell>
          <cell r="P392">
            <v>8.9999999999999993E-3</v>
          </cell>
          <cell r="T392">
            <v>1480.83</v>
          </cell>
        </row>
        <row r="393">
          <cell r="B393">
            <v>45514</v>
          </cell>
          <cell r="D393">
            <v>45542</v>
          </cell>
          <cell r="F393" t="str">
            <v>Europe</v>
          </cell>
          <cell r="G393" t="str">
            <v>France</v>
          </cell>
          <cell r="H393" t="str">
            <v>Marseille</v>
          </cell>
          <cell r="P393">
            <v>0.105</v>
          </cell>
          <cell r="T393">
            <v>564.26</v>
          </cell>
        </row>
        <row r="394">
          <cell r="B394">
            <v>45208</v>
          </cell>
          <cell r="D394">
            <v>45225</v>
          </cell>
          <cell r="F394" t="str">
            <v>Asia</v>
          </cell>
          <cell r="G394" t="str">
            <v>China</v>
          </cell>
          <cell r="H394" t="str">
            <v>Shanghai</v>
          </cell>
          <cell r="P394">
            <v>0.35699999999999998</v>
          </cell>
          <cell r="T394">
            <v>2137.21</v>
          </cell>
        </row>
        <row r="395">
          <cell r="B395">
            <v>45360</v>
          </cell>
          <cell r="D395">
            <v>45377</v>
          </cell>
          <cell r="F395" t="str">
            <v>Americas</v>
          </cell>
          <cell r="G395" t="str">
            <v>USA</v>
          </cell>
          <cell r="H395" t="str">
            <v>San Francisco</v>
          </cell>
          <cell r="P395">
            <v>0.254</v>
          </cell>
          <cell r="T395">
            <v>1680.93</v>
          </cell>
        </row>
        <row r="396">
          <cell r="B396">
            <v>45075</v>
          </cell>
          <cell r="D396">
            <v>45097</v>
          </cell>
          <cell r="F396" t="str">
            <v>Europe</v>
          </cell>
          <cell r="G396" t="str">
            <v>United Kingdom</v>
          </cell>
          <cell r="H396" t="str">
            <v>London</v>
          </cell>
          <cell r="P396">
            <v>0.14799999999999999</v>
          </cell>
          <cell r="T396">
            <v>2905.06</v>
          </cell>
        </row>
        <row r="397">
          <cell r="B397">
            <v>45804</v>
          </cell>
          <cell r="D397">
            <v>45816</v>
          </cell>
          <cell r="F397" t="str">
            <v>Asia</v>
          </cell>
          <cell r="G397" t="str">
            <v>Japan</v>
          </cell>
          <cell r="H397" t="str">
            <v>Osaka</v>
          </cell>
          <cell r="P397">
            <v>9.8000000000000004E-2</v>
          </cell>
          <cell r="T397">
            <v>842.09</v>
          </cell>
        </row>
        <row r="398">
          <cell r="B398">
            <v>45890</v>
          </cell>
          <cell r="D398">
            <v>45914</v>
          </cell>
          <cell r="F398" t="str">
            <v>Europe</v>
          </cell>
          <cell r="G398" t="str">
            <v>Germany</v>
          </cell>
          <cell r="H398" t="str">
            <v>Berlin</v>
          </cell>
          <cell r="P398">
            <v>0.10299999999999999</v>
          </cell>
          <cell r="T398">
            <v>3131.37</v>
          </cell>
        </row>
        <row r="399">
          <cell r="B399">
            <v>45638</v>
          </cell>
          <cell r="D399">
            <v>45646</v>
          </cell>
          <cell r="F399" t="str">
            <v>Asia</v>
          </cell>
          <cell r="G399" t="str">
            <v>Japan</v>
          </cell>
          <cell r="H399" t="str">
            <v>Tokyo</v>
          </cell>
          <cell r="P399">
            <v>0.24099999999999999</v>
          </cell>
          <cell r="T399">
            <v>1444.72</v>
          </cell>
        </row>
        <row r="400">
          <cell r="B400">
            <v>45914</v>
          </cell>
          <cell r="D400">
            <v>45923</v>
          </cell>
          <cell r="F400" t="str">
            <v>Africa</v>
          </cell>
          <cell r="G400" t="str">
            <v>South Africa</v>
          </cell>
          <cell r="H400" t="str">
            <v>Durban</v>
          </cell>
          <cell r="P400">
            <v>8.3000000000000004E-2</v>
          </cell>
          <cell r="T400">
            <v>2875.8</v>
          </cell>
        </row>
        <row r="401">
          <cell r="B401">
            <v>45541</v>
          </cell>
          <cell r="D401">
            <v>45569</v>
          </cell>
          <cell r="F401" t="str">
            <v>Africa</v>
          </cell>
          <cell r="G401" t="str">
            <v>South Africa</v>
          </cell>
          <cell r="H401" t="str">
            <v>Cape Town</v>
          </cell>
          <cell r="P401">
            <v>0.122</v>
          </cell>
          <cell r="T401">
            <v>1641.61</v>
          </cell>
        </row>
        <row r="402">
          <cell r="B402">
            <v>45759</v>
          </cell>
          <cell r="D402">
            <v>45777</v>
          </cell>
          <cell r="F402" t="str">
            <v>Africa</v>
          </cell>
          <cell r="G402" t="str">
            <v>Kenya</v>
          </cell>
          <cell r="H402" t="str">
            <v>Kisumu</v>
          </cell>
          <cell r="P402">
            <v>2.5000000000000001E-2</v>
          </cell>
          <cell r="T402">
            <v>1299.02</v>
          </cell>
        </row>
        <row r="403">
          <cell r="B403">
            <v>45516</v>
          </cell>
          <cell r="D403">
            <v>45519</v>
          </cell>
          <cell r="F403" t="str">
            <v>Americas</v>
          </cell>
          <cell r="G403" t="str">
            <v>USA</v>
          </cell>
          <cell r="H403" t="str">
            <v>Chicago</v>
          </cell>
          <cell r="P403">
            <v>0.18</v>
          </cell>
          <cell r="T403">
            <v>1118.56</v>
          </cell>
        </row>
        <row r="404">
          <cell r="B404">
            <v>45601</v>
          </cell>
          <cell r="D404">
            <v>45604</v>
          </cell>
          <cell r="F404" t="str">
            <v>Americas</v>
          </cell>
          <cell r="G404" t="str">
            <v>Canada</v>
          </cell>
          <cell r="H404" t="str">
            <v>Toronto</v>
          </cell>
          <cell r="P404">
            <v>0.106</v>
          </cell>
          <cell r="T404">
            <v>1184.71</v>
          </cell>
        </row>
        <row r="405">
          <cell r="B405">
            <v>45497</v>
          </cell>
          <cell r="D405">
            <v>45512</v>
          </cell>
          <cell r="F405" t="str">
            <v>Europe</v>
          </cell>
          <cell r="G405" t="str">
            <v>France</v>
          </cell>
          <cell r="H405" t="str">
            <v>Marseille</v>
          </cell>
          <cell r="P405">
            <v>0.126</v>
          </cell>
          <cell r="T405">
            <v>1201.47</v>
          </cell>
        </row>
        <row r="406">
          <cell r="B406">
            <v>45677</v>
          </cell>
          <cell r="D406">
            <v>45691</v>
          </cell>
          <cell r="F406" t="str">
            <v>Americas</v>
          </cell>
          <cell r="G406" t="str">
            <v>Brazil</v>
          </cell>
          <cell r="H406" t="str">
            <v>Brasília</v>
          </cell>
          <cell r="P406">
            <v>0.111</v>
          </cell>
          <cell r="T406">
            <v>880.99</v>
          </cell>
        </row>
        <row r="407">
          <cell r="B407">
            <v>44991</v>
          </cell>
          <cell r="D407">
            <v>45020</v>
          </cell>
          <cell r="F407" t="str">
            <v>Asia</v>
          </cell>
          <cell r="G407" t="str">
            <v>China</v>
          </cell>
          <cell r="H407" t="str">
            <v>Beijing</v>
          </cell>
          <cell r="P407">
            <v>6.4000000000000001E-2</v>
          </cell>
          <cell r="T407">
            <v>2050.87</v>
          </cell>
        </row>
        <row r="408">
          <cell r="B408">
            <v>45646</v>
          </cell>
          <cell r="D408">
            <v>45671</v>
          </cell>
          <cell r="F408" t="str">
            <v>Asia</v>
          </cell>
          <cell r="G408" t="str">
            <v>India</v>
          </cell>
          <cell r="H408" t="str">
            <v>Delhi</v>
          </cell>
          <cell r="P408">
            <v>7.6999999999999999E-2</v>
          </cell>
          <cell r="T408">
            <v>1737.9</v>
          </cell>
        </row>
        <row r="409">
          <cell r="B409">
            <v>45709</v>
          </cell>
          <cell r="D409">
            <v>45737</v>
          </cell>
          <cell r="F409" t="str">
            <v>Africa</v>
          </cell>
          <cell r="G409" t="str">
            <v>Nigeria</v>
          </cell>
          <cell r="H409" t="str">
            <v>Abuja</v>
          </cell>
          <cell r="P409">
            <v>0.13800000000000001</v>
          </cell>
          <cell r="T409">
            <v>1388.31</v>
          </cell>
        </row>
        <row r="410">
          <cell r="B410">
            <v>45724</v>
          </cell>
          <cell r="D410">
            <v>45731</v>
          </cell>
          <cell r="F410" t="str">
            <v>Asia</v>
          </cell>
          <cell r="G410" t="str">
            <v>India</v>
          </cell>
          <cell r="H410" t="str">
            <v>Bengaluru</v>
          </cell>
          <cell r="P410">
            <v>0.19600000000000001</v>
          </cell>
          <cell r="T410">
            <v>529.14</v>
          </cell>
        </row>
        <row r="411">
          <cell r="B411">
            <v>45276</v>
          </cell>
          <cell r="D411">
            <v>45279</v>
          </cell>
          <cell r="F411" t="str">
            <v>Asia</v>
          </cell>
          <cell r="G411" t="str">
            <v>China</v>
          </cell>
          <cell r="H411" t="str">
            <v>Beijing</v>
          </cell>
          <cell r="P411">
            <v>0</v>
          </cell>
          <cell r="T411">
            <v>1972.38</v>
          </cell>
        </row>
        <row r="412">
          <cell r="B412">
            <v>45534</v>
          </cell>
          <cell r="D412">
            <v>45540</v>
          </cell>
          <cell r="F412" t="str">
            <v>Asia</v>
          </cell>
          <cell r="G412" t="str">
            <v>Japan</v>
          </cell>
          <cell r="H412" t="str">
            <v>Nagoya</v>
          </cell>
          <cell r="P412">
            <v>0.24099999999999999</v>
          </cell>
          <cell r="T412">
            <v>876.81</v>
          </cell>
        </row>
        <row r="413">
          <cell r="B413">
            <v>45430</v>
          </cell>
          <cell r="D413">
            <v>45433</v>
          </cell>
          <cell r="F413" t="str">
            <v>Europe</v>
          </cell>
          <cell r="G413" t="str">
            <v>France</v>
          </cell>
          <cell r="H413" t="str">
            <v>Marseille</v>
          </cell>
          <cell r="P413">
            <v>0.23899999999999999</v>
          </cell>
          <cell r="T413">
            <v>824.26</v>
          </cell>
        </row>
        <row r="414">
          <cell r="B414">
            <v>45002</v>
          </cell>
          <cell r="D414">
            <v>45022</v>
          </cell>
          <cell r="F414" t="str">
            <v>Europe</v>
          </cell>
          <cell r="G414" t="str">
            <v>Germany</v>
          </cell>
          <cell r="H414" t="str">
            <v>Munich</v>
          </cell>
          <cell r="P414">
            <v>0.112</v>
          </cell>
          <cell r="T414">
            <v>1159.3499999999999</v>
          </cell>
        </row>
        <row r="415">
          <cell r="B415">
            <v>45163</v>
          </cell>
          <cell r="D415">
            <v>45185</v>
          </cell>
          <cell r="F415" t="str">
            <v>Africa</v>
          </cell>
          <cell r="G415" t="str">
            <v>Nigeria</v>
          </cell>
          <cell r="H415" t="str">
            <v>Abuja</v>
          </cell>
          <cell r="P415">
            <v>8.3000000000000004E-2</v>
          </cell>
          <cell r="T415">
            <v>2513.5100000000002</v>
          </cell>
        </row>
        <row r="416">
          <cell r="B416">
            <v>45449</v>
          </cell>
          <cell r="D416">
            <v>45467</v>
          </cell>
          <cell r="F416" t="str">
            <v>Asia</v>
          </cell>
          <cell r="G416" t="str">
            <v>India</v>
          </cell>
          <cell r="H416" t="str">
            <v>Bengaluru</v>
          </cell>
          <cell r="P416">
            <v>7.1999999999999995E-2</v>
          </cell>
          <cell r="T416">
            <v>3087.13</v>
          </cell>
        </row>
        <row r="417">
          <cell r="B417">
            <v>45167</v>
          </cell>
          <cell r="D417">
            <v>45182</v>
          </cell>
          <cell r="F417" t="str">
            <v>Americas</v>
          </cell>
          <cell r="G417" t="str">
            <v>Canada</v>
          </cell>
          <cell r="H417" t="str">
            <v>Vancouver</v>
          </cell>
          <cell r="P417">
            <v>3.2000000000000001E-2</v>
          </cell>
          <cell r="T417">
            <v>2717.15</v>
          </cell>
        </row>
        <row r="418">
          <cell r="B418">
            <v>45626</v>
          </cell>
          <cell r="D418">
            <v>45636</v>
          </cell>
          <cell r="F418" t="str">
            <v>Asia</v>
          </cell>
          <cell r="G418" t="str">
            <v>India</v>
          </cell>
          <cell r="H418" t="str">
            <v>Hyderabad</v>
          </cell>
          <cell r="P418">
            <v>0.245</v>
          </cell>
          <cell r="T418">
            <v>901.79</v>
          </cell>
        </row>
        <row r="419">
          <cell r="B419">
            <v>45813</v>
          </cell>
          <cell r="D419">
            <v>45822</v>
          </cell>
          <cell r="F419" t="str">
            <v>Asia</v>
          </cell>
          <cell r="G419" t="str">
            <v>India</v>
          </cell>
          <cell r="H419" t="str">
            <v>Delhi</v>
          </cell>
          <cell r="P419">
            <v>0.09</v>
          </cell>
          <cell r="T419">
            <v>796.15</v>
          </cell>
        </row>
        <row r="420">
          <cell r="B420">
            <v>45730</v>
          </cell>
          <cell r="D420">
            <v>45755</v>
          </cell>
          <cell r="F420" t="str">
            <v>Asia</v>
          </cell>
          <cell r="G420" t="str">
            <v>China</v>
          </cell>
          <cell r="H420" t="str">
            <v>Unknown</v>
          </cell>
          <cell r="P420">
            <v>0.217</v>
          </cell>
          <cell r="T420">
            <v>157.82</v>
          </cell>
        </row>
        <row r="421">
          <cell r="B421">
            <v>45307</v>
          </cell>
          <cell r="D421">
            <v>45333</v>
          </cell>
          <cell r="F421" t="str">
            <v>Europe</v>
          </cell>
          <cell r="G421" t="str">
            <v>Germany</v>
          </cell>
          <cell r="H421" t="str">
            <v>Frankfurt</v>
          </cell>
          <cell r="P421">
            <v>0.22600000000000001</v>
          </cell>
          <cell r="T421">
            <v>819.06</v>
          </cell>
        </row>
        <row r="422">
          <cell r="B422">
            <v>45211</v>
          </cell>
          <cell r="D422">
            <v>45228</v>
          </cell>
          <cell r="F422" t="str">
            <v>Asia</v>
          </cell>
          <cell r="G422" t="str">
            <v>Japan</v>
          </cell>
          <cell r="H422" t="str">
            <v>Nagoya</v>
          </cell>
          <cell r="P422">
            <v>0.151</v>
          </cell>
          <cell r="T422">
            <v>1711.16</v>
          </cell>
        </row>
        <row r="423">
          <cell r="B423">
            <v>45713</v>
          </cell>
          <cell r="D423">
            <v>45733</v>
          </cell>
          <cell r="F423" t="str">
            <v>Americas</v>
          </cell>
          <cell r="G423" t="str">
            <v>USA</v>
          </cell>
          <cell r="H423" t="str">
            <v>San Francisco</v>
          </cell>
          <cell r="P423">
            <v>1.9E-2</v>
          </cell>
          <cell r="T423">
            <v>1696.35</v>
          </cell>
        </row>
        <row r="424">
          <cell r="B424">
            <v>45841</v>
          </cell>
          <cell r="D424">
            <v>45844</v>
          </cell>
          <cell r="F424" t="str">
            <v>Africa</v>
          </cell>
          <cell r="G424" t="str">
            <v>Nigeria</v>
          </cell>
          <cell r="H424" t="str">
            <v>Lagos</v>
          </cell>
          <cell r="P424">
            <v>0.157</v>
          </cell>
          <cell r="T424">
            <v>2884.34</v>
          </cell>
        </row>
        <row r="425">
          <cell r="B425">
            <v>45915</v>
          </cell>
          <cell r="D425">
            <v>45925</v>
          </cell>
          <cell r="F425" t="str">
            <v>Asia</v>
          </cell>
          <cell r="G425" t="str">
            <v>India</v>
          </cell>
          <cell r="H425" t="str">
            <v>Delhi</v>
          </cell>
          <cell r="P425">
            <v>0.16800000000000001</v>
          </cell>
          <cell r="T425">
            <v>1483.74</v>
          </cell>
        </row>
        <row r="426">
          <cell r="B426">
            <v>45341</v>
          </cell>
          <cell r="D426">
            <v>45357</v>
          </cell>
          <cell r="F426" t="str">
            <v>Asia</v>
          </cell>
          <cell r="G426" t="str">
            <v>China</v>
          </cell>
          <cell r="H426" t="str">
            <v>Beijing</v>
          </cell>
          <cell r="P426">
            <v>0.24299999999999999</v>
          </cell>
          <cell r="T426">
            <v>3197.47</v>
          </cell>
        </row>
        <row r="427">
          <cell r="B427">
            <v>45349</v>
          </cell>
          <cell r="D427">
            <v>45377</v>
          </cell>
          <cell r="F427" t="str">
            <v>Asia</v>
          </cell>
          <cell r="G427" t="str">
            <v>India</v>
          </cell>
          <cell r="H427" t="str">
            <v>Mumbai</v>
          </cell>
          <cell r="P427">
            <v>0.17299999999999999</v>
          </cell>
          <cell r="T427">
            <v>2322.6999999999998</v>
          </cell>
        </row>
        <row r="428">
          <cell r="B428">
            <v>45897</v>
          </cell>
          <cell r="D428">
            <v>45905</v>
          </cell>
          <cell r="F428" t="str">
            <v>Africa</v>
          </cell>
          <cell r="G428" t="str">
            <v>Nigeria</v>
          </cell>
          <cell r="H428" t="str">
            <v>Port Harcourt</v>
          </cell>
          <cell r="P428">
            <v>0.25</v>
          </cell>
          <cell r="T428">
            <v>1932.42</v>
          </cell>
        </row>
        <row r="429">
          <cell r="B429">
            <v>45522</v>
          </cell>
          <cell r="D429">
            <v>45547</v>
          </cell>
          <cell r="F429" t="str">
            <v>Asia</v>
          </cell>
          <cell r="G429" t="str">
            <v>India</v>
          </cell>
          <cell r="H429" t="str">
            <v>Mumbai</v>
          </cell>
          <cell r="P429">
            <v>0.314</v>
          </cell>
          <cell r="T429">
            <v>1590.36</v>
          </cell>
        </row>
        <row r="430">
          <cell r="B430">
            <v>45347</v>
          </cell>
          <cell r="D430">
            <v>45360</v>
          </cell>
          <cell r="F430" t="str">
            <v>Europe</v>
          </cell>
          <cell r="G430" t="str">
            <v>France</v>
          </cell>
          <cell r="H430" t="str">
            <v>Marseille</v>
          </cell>
          <cell r="P430">
            <v>0</v>
          </cell>
          <cell r="T430">
            <v>395.61</v>
          </cell>
        </row>
        <row r="431">
          <cell r="B431">
            <v>45784</v>
          </cell>
          <cell r="D431">
            <v>45790</v>
          </cell>
          <cell r="F431" t="str">
            <v>Asia</v>
          </cell>
          <cell r="G431" t="str">
            <v>India</v>
          </cell>
          <cell r="H431" t="str">
            <v>Bengaluru</v>
          </cell>
          <cell r="P431">
            <v>0.17499999999999999</v>
          </cell>
          <cell r="T431">
            <v>2077.69</v>
          </cell>
        </row>
        <row r="432">
          <cell r="B432">
            <v>45597</v>
          </cell>
          <cell r="D432">
            <v>45608</v>
          </cell>
          <cell r="F432" t="str">
            <v>Europe</v>
          </cell>
          <cell r="G432" t="str">
            <v>Germany</v>
          </cell>
          <cell r="H432" t="str">
            <v>Frankfurt</v>
          </cell>
          <cell r="P432">
            <v>0.115</v>
          </cell>
          <cell r="T432">
            <v>1330.85</v>
          </cell>
        </row>
        <row r="433">
          <cell r="B433">
            <v>45654</v>
          </cell>
          <cell r="D433">
            <v>45665</v>
          </cell>
          <cell r="F433" t="str">
            <v>Asia</v>
          </cell>
          <cell r="G433" t="str">
            <v>China</v>
          </cell>
          <cell r="H433" t="str">
            <v>Shenzhen</v>
          </cell>
          <cell r="P433">
            <v>0</v>
          </cell>
          <cell r="T433">
            <v>2764.65</v>
          </cell>
        </row>
        <row r="434">
          <cell r="B434">
            <v>45220</v>
          </cell>
          <cell r="D434">
            <v>45220</v>
          </cell>
          <cell r="F434" t="str">
            <v>Europe</v>
          </cell>
          <cell r="G434" t="str">
            <v>United Kingdom</v>
          </cell>
          <cell r="H434" t="str">
            <v>Manchester</v>
          </cell>
          <cell r="P434">
            <v>5.6000000000000001E-2</v>
          </cell>
          <cell r="T434">
            <v>278.35000000000002</v>
          </cell>
        </row>
        <row r="435">
          <cell r="B435">
            <v>45636</v>
          </cell>
          <cell r="D435">
            <v>45645</v>
          </cell>
          <cell r="F435" t="str">
            <v>Africa</v>
          </cell>
          <cell r="G435" t="str">
            <v>Nigeria</v>
          </cell>
          <cell r="H435" t="str">
            <v>Lagos</v>
          </cell>
          <cell r="P435">
            <v>5.8999999999999997E-2</v>
          </cell>
          <cell r="T435">
            <v>984.36</v>
          </cell>
        </row>
        <row r="436">
          <cell r="B436">
            <v>45542</v>
          </cell>
          <cell r="D436">
            <v>45553</v>
          </cell>
          <cell r="F436" t="str">
            <v>Asia</v>
          </cell>
          <cell r="G436" t="str">
            <v>China</v>
          </cell>
          <cell r="H436" t="str">
            <v>Beijing</v>
          </cell>
          <cell r="P436">
            <v>0.214</v>
          </cell>
          <cell r="T436">
            <v>190.84</v>
          </cell>
        </row>
        <row r="437">
          <cell r="B437">
            <v>45217</v>
          </cell>
          <cell r="D437">
            <v>45219</v>
          </cell>
          <cell r="F437" t="str">
            <v>Africa</v>
          </cell>
          <cell r="G437" t="str">
            <v>Kenya</v>
          </cell>
          <cell r="H437" t="str">
            <v>Kisumu</v>
          </cell>
          <cell r="P437">
            <v>0</v>
          </cell>
          <cell r="T437">
            <v>908.3</v>
          </cell>
        </row>
        <row r="438">
          <cell r="B438">
            <v>45650</v>
          </cell>
          <cell r="D438">
            <v>45670</v>
          </cell>
          <cell r="F438" t="str">
            <v>Asia</v>
          </cell>
          <cell r="G438" t="str">
            <v>India</v>
          </cell>
          <cell r="H438" t="str">
            <v>Bengaluru</v>
          </cell>
          <cell r="P438">
            <v>0.113</v>
          </cell>
          <cell r="T438">
            <v>284.23</v>
          </cell>
        </row>
        <row r="439">
          <cell r="B439">
            <v>45037</v>
          </cell>
          <cell r="D439">
            <v>45044</v>
          </cell>
          <cell r="F439" t="str">
            <v>Asia</v>
          </cell>
          <cell r="G439" t="str">
            <v>Japan</v>
          </cell>
          <cell r="H439" t="str">
            <v>Nagoya</v>
          </cell>
          <cell r="P439">
            <v>0.14699999999999999</v>
          </cell>
          <cell r="T439">
            <v>1229.3399999999999</v>
          </cell>
        </row>
        <row r="440">
          <cell r="B440">
            <v>45290</v>
          </cell>
          <cell r="D440">
            <v>45299</v>
          </cell>
          <cell r="F440" t="str">
            <v>Europe</v>
          </cell>
          <cell r="G440" t="str">
            <v>France</v>
          </cell>
          <cell r="H440" t="str">
            <v>Marseille</v>
          </cell>
          <cell r="P440">
            <v>0.17399999999999999</v>
          </cell>
          <cell r="T440">
            <v>1224.72</v>
          </cell>
        </row>
        <row r="441">
          <cell r="B441">
            <v>44978</v>
          </cell>
          <cell r="D441">
            <v>44997</v>
          </cell>
          <cell r="F441" t="str">
            <v>Africa</v>
          </cell>
          <cell r="G441" t="str">
            <v>Kenya</v>
          </cell>
          <cell r="H441" t="str">
            <v>Nakuru</v>
          </cell>
          <cell r="P441">
            <v>4.1000000000000002E-2</v>
          </cell>
          <cell r="T441">
            <v>485.86</v>
          </cell>
        </row>
        <row r="442">
          <cell r="B442">
            <v>45063</v>
          </cell>
          <cell r="D442">
            <v>45080</v>
          </cell>
          <cell r="F442" t="str">
            <v>Asia</v>
          </cell>
          <cell r="G442" t="str">
            <v>China</v>
          </cell>
          <cell r="H442" t="str">
            <v>Beijing</v>
          </cell>
          <cell r="P442">
            <v>0.15</v>
          </cell>
          <cell r="T442">
            <v>2210.94</v>
          </cell>
        </row>
        <row r="443">
          <cell r="B443">
            <v>45374</v>
          </cell>
          <cell r="D443">
            <v>45377</v>
          </cell>
          <cell r="F443" t="str">
            <v>Asia</v>
          </cell>
          <cell r="G443" t="str">
            <v>India</v>
          </cell>
          <cell r="H443" t="str">
            <v>Bengaluru</v>
          </cell>
          <cell r="P443">
            <v>0.14799999999999999</v>
          </cell>
          <cell r="T443">
            <v>571.89</v>
          </cell>
        </row>
        <row r="444">
          <cell r="B444">
            <v>45189</v>
          </cell>
          <cell r="D444">
            <v>45197</v>
          </cell>
          <cell r="F444" t="str">
            <v>Asia</v>
          </cell>
          <cell r="G444" t="str">
            <v>India</v>
          </cell>
          <cell r="H444" t="str">
            <v>Unknown</v>
          </cell>
          <cell r="P444">
            <v>0.157</v>
          </cell>
          <cell r="T444">
            <v>3398.37</v>
          </cell>
        </row>
        <row r="445">
          <cell r="B445">
            <v>45526</v>
          </cell>
          <cell r="D445">
            <v>45539</v>
          </cell>
          <cell r="F445" t="str">
            <v>Europe</v>
          </cell>
          <cell r="G445" t="str">
            <v>Germany</v>
          </cell>
          <cell r="H445" t="str">
            <v>Frankfurt</v>
          </cell>
          <cell r="P445">
            <v>4.2999999999999997E-2</v>
          </cell>
          <cell r="T445">
            <v>194.62</v>
          </cell>
        </row>
        <row r="446">
          <cell r="B446">
            <v>45560</v>
          </cell>
          <cell r="D446">
            <v>45568</v>
          </cell>
          <cell r="F446" t="str">
            <v>Americas</v>
          </cell>
          <cell r="G446" t="str">
            <v>Canada</v>
          </cell>
          <cell r="H446" t="str">
            <v>Toronto</v>
          </cell>
          <cell r="P446">
            <v>0</v>
          </cell>
          <cell r="T446">
            <v>1031.6400000000001</v>
          </cell>
        </row>
        <row r="447">
          <cell r="B447">
            <v>45090</v>
          </cell>
          <cell r="D447">
            <v>45101</v>
          </cell>
          <cell r="F447" t="str">
            <v>Americas</v>
          </cell>
          <cell r="G447" t="str">
            <v>Canada</v>
          </cell>
          <cell r="H447" t="str">
            <v>Toronto</v>
          </cell>
          <cell r="P447">
            <v>2.8000000000000001E-2</v>
          </cell>
          <cell r="T447">
            <v>495.19</v>
          </cell>
        </row>
        <row r="448">
          <cell r="B448">
            <v>45284</v>
          </cell>
          <cell r="D448">
            <v>45304</v>
          </cell>
          <cell r="F448" t="str">
            <v>Asia</v>
          </cell>
          <cell r="G448" t="str">
            <v>Japan</v>
          </cell>
          <cell r="H448" t="str">
            <v>Nagoya</v>
          </cell>
          <cell r="P448">
            <v>7.3999999999999996E-2</v>
          </cell>
          <cell r="T448">
            <v>1319.04</v>
          </cell>
        </row>
        <row r="449">
          <cell r="B449">
            <v>45746</v>
          </cell>
          <cell r="D449">
            <v>45776</v>
          </cell>
          <cell r="F449" t="str">
            <v>Africa</v>
          </cell>
          <cell r="G449" t="str">
            <v>South Africa</v>
          </cell>
          <cell r="H449" t="str">
            <v>Durban</v>
          </cell>
          <cell r="P449">
            <v>0.29299999999999998</v>
          </cell>
          <cell r="T449">
            <v>314.87</v>
          </cell>
        </row>
        <row r="450">
          <cell r="B450">
            <v>45446</v>
          </cell>
          <cell r="D450">
            <v>45467</v>
          </cell>
          <cell r="F450" t="str">
            <v>Americas</v>
          </cell>
          <cell r="G450" t="str">
            <v>Canada</v>
          </cell>
          <cell r="H450" t="str">
            <v>Toronto</v>
          </cell>
          <cell r="P450">
            <v>0.104</v>
          </cell>
          <cell r="T450">
            <v>2210.17</v>
          </cell>
        </row>
        <row r="451">
          <cell r="B451">
            <v>45454</v>
          </cell>
          <cell r="D451">
            <v>45482</v>
          </cell>
          <cell r="F451" t="str">
            <v>Africa</v>
          </cell>
          <cell r="G451" t="str">
            <v>Nigeria</v>
          </cell>
          <cell r="H451" t="str">
            <v>Port Harcourt</v>
          </cell>
          <cell r="P451">
            <v>0.216</v>
          </cell>
          <cell r="T451">
            <v>1045</v>
          </cell>
        </row>
        <row r="452">
          <cell r="B452">
            <v>45129</v>
          </cell>
          <cell r="D452">
            <v>45136</v>
          </cell>
          <cell r="F452" t="str">
            <v>Asia</v>
          </cell>
          <cell r="G452" t="str">
            <v>India</v>
          </cell>
          <cell r="H452" t="str">
            <v>Delhi</v>
          </cell>
          <cell r="P452">
            <v>0.16500000000000001</v>
          </cell>
          <cell r="T452">
            <v>2132.19</v>
          </cell>
        </row>
        <row r="453">
          <cell r="B453">
            <v>44945</v>
          </cell>
          <cell r="D453">
            <v>44960</v>
          </cell>
          <cell r="F453" t="str">
            <v>Europe</v>
          </cell>
          <cell r="G453" t="str">
            <v>United Kingdom</v>
          </cell>
          <cell r="H453" t="str">
            <v>London</v>
          </cell>
          <cell r="P453">
            <v>6.6000000000000003E-2</v>
          </cell>
          <cell r="T453">
            <v>2101.5500000000002</v>
          </cell>
        </row>
        <row r="454">
          <cell r="B454">
            <v>45413</v>
          </cell>
          <cell r="D454">
            <v>45428</v>
          </cell>
          <cell r="F454" t="str">
            <v>Asia</v>
          </cell>
          <cell r="G454" t="str">
            <v>India</v>
          </cell>
          <cell r="H454" t="str">
            <v>Bengaluru</v>
          </cell>
          <cell r="P454">
            <v>7.0999999999999994E-2</v>
          </cell>
          <cell r="T454">
            <v>2125.44</v>
          </cell>
        </row>
        <row r="455">
          <cell r="B455">
            <v>45817</v>
          </cell>
          <cell r="D455">
            <v>45832</v>
          </cell>
          <cell r="F455" t="str">
            <v>Asia</v>
          </cell>
          <cell r="G455" t="str">
            <v>Japan</v>
          </cell>
          <cell r="H455" t="str">
            <v>Nagoya</v>
          </cell>
          <cell r="P455">
            <v>0.115</v>
          </cell>
          <cell r="T455">
            <v>712.75</v>
          </cell>
        </row>
        <row r="456">
          <cell r="B456">
            <v>45070</v>
          </cell>
          <cell r="D456">
            <v>45098</v>
          </cell>
          <cell r="F456" t="str">
            <v>Americas</v>
          </cell>
          <cell r="G456" t="str">
            <v>USA</v>
          </cell>
          <cell r="H456" t="str">
            <v>Austin</v>
          </cell>
          <cell r="P456">
            <v>1.7000000000000001E-2</v>
          </cell>
          <cell r="T456">
            <v>1568.83</v>
          </cell>
        </row>
        <row r="457">
          <cell r="B457">
            <v>45653</v>
          </cell>
          <cell r="D457">
            <v>45655</v>
          </cell>
          <cell r="F457" t="str">
            <v>Americas</v>
          </cell>
          <cell r="G457" t="str">
            <v>Canada</v>
          </cell>
          <cell r="H457" t="str">
            <v>Vancouver</v>
          </cell>
          <cell r="P457">
            <v>0.111</v>
          </cell>
          <cell r="T457">
            <v>2074.34</v>
          </cell>
        </row>
        <row r="458">
          <cell r="B458">
            <v>45265</v>
          </cell>
          <cell r="D458">
            <v>45272</v>
          </cell>
          <cell r="F458" t="str">
            <v>Americas</v>
          </cell>
          <cell r="G458" t="str">
            <v>Brazil</v>
          </cell>
          <cell r="H458" t="str">
            <v>Brasília</v>
          </cell>
          <cell r="P458">
            <v>0</v>
          </cell>
          <cell r="T458">
            <v>495.19</v>
          </cell>
        </row>
        <row r="459">
          <cell r="B459">
            <v>45048</v>
          </cell>
          <cell r="D459">
            <v>45065</v>
          </cell>
          <cell r="F459" t="str">
            <v>Asia</v>
          </cell>
          <cell r="G459" t="str">
            <v>China</v>
          </cell>
          <cell r="H459" t="str">
            <v>Shanghai</v>
          </cell>
          <cell r="P459">
            <v>0.13600000000000001</v>
          </cell>
          <cell r="T459">
            <v>757.59</v>
          </cell>
        </row>
        <row r="460">
          <cell r="B460">
            <v>45260</v>
          </cell>
          <cell r="D460">
            <v>45270</v>
          </cell>
          <cell r="F460" t="str">
            <v>Europe</v>
          </cell>
          <cell r="G460" t="str">
            <v>Germany</v>
          </cell>
          <cell r="H460" t="str">
            <v>Munich</v>
          </cell>
          <cell r="P460">
            <v>0.125</v>
          </cell>
          <cell r="T460">
            <v>415.96</v>
          </cell>
        </row>
        <row r="461">
          <cell r="B461">
            <v>45417</v>
          </cell>
          <cell r="D461">
            <v>45430</v>
          </cell>
          <cell r="F461" t="str">
            <v>Europe</v>
          </cell>
          <cell r="G461" t="str">
            <v>France</v>
          </cell>
          <cell r="H461" t="str">
            <v>Marseille</v>
          </cell>
          <cell r="P461">
            <v>0</v>
          </cell>
          <cell r="T461">
            <v>1870.89</v>
          </cell>
        </row>
        <row r="462">
          <cell r="B462">
            <v>45116</v>
          </cell>
          <cell r="D462">
            <v>45126</v>
          </cell>
          <cell r="F462" t="str">
            <v>Asia</v>
          </cell>
          <cell r="G462" t="str">
            <v>Japan</v>
          </cell>
          <cell r="H462" t="str">
            <v>Tokyo</v>
          </cell>
          <cell r="P462">
            <v>0.107</v>
          </cell>
          <cell r="T462">
            <v>206.88</v>
          </cell>
        </row>
        <row r="463">
          <cell r="B463">
            <v>45063</v>
          </cell>
          <cell r="D463">
            <v>45092</v>
          </cell>
          <cell r="F463" t="str">
            <v>Africa</v>
          </cell>
          <cell r="G463" t="str">
            <v>South Africa</v>
          </cell>
          <cell r="H463" t="str">
            <v>Durban</v>
          </cell>
          <cell r="P463">
            <v>0.129</v>
          </cell>
          <cell r="T463">
            <v>62.82</v>
          </cell>
        </row>
        <row r="464">
          <cell r="B464">
            <v>45358</v>
          </cell>
          <cell r="D464">
            <v>45385</v>
          </cell>
          <cell r="F464" t="str">
            <v>Europe</v>
          </cell>
          <cell r="G464" t="str">
            <v>Germany</v>
          </cell>
          <cell r="H464" t="str">
            <v>Frankfurt</v>
          </cell>
          <cell r="P464">
            <v>0.152</v>
          </cell>
          <cell r="T464">
            <v>956.49</v>
          </cell>
        </row>
        <row r="465">
          <cell r="B465">
            <v>45757</v>
          </cell>
          <cell r="D465">
            <v>45766</v>
          </cell>
          <cell r="F465" t="str">
            <v>Africa</v>
          </cell>
          <cell r="G465" t="str">
            <v>South Africa</v>
          </cell>
          <cell r="H465" t="str">
            <v>Durban</v>
          </cell>
          <cell r="P465">
            <v>0.124</v>
          </cell>
          <cell r="T465">
            <v>165.7</v>
          </cell>
        </row>
        <row r="466">
          <cell r="B466">
            <v>45865</v>
          </cell>
          <cell r="D466">
            <v>45884</v>
          </cell>
          <cell r="F466" t="str">
            <v>Asia</v>
          </cell>
          <cell r="G466" t="str">
            <v>Japan</v>
          </cell>
          <cell r="H466" t="str">
            <v>Tokyo</v>
          </cell>
          <cell r="P466">
            <v>0.25700000000000001</v>
          </cell>
          <cell r="T466">
            <v>608.36</v>
          </cell>
        </row>
        <row r="467">
          <cell r="B467">
            <v>45618</v>
          </cell>
          <cell r="D467">
            <v>45641</v>
          </cell>
          <cell r="F467" t="str">
            <v>Africa</v>
          </cell>
          <cell r="G467" t="str">
            <v>Kenya</v>
          </cell>
          <cell r="H467" t="str">
            <v>Mombasa</v>
          </cell>
          <cell r="P467">
            <v>0.21099999999999999</v>
          </cell>
          <cell r="T467">
            <v>2665.91</v>
          </cell>
        </row>
        <row r="468">
          <cell r="B468">
            <v>45466</v>
          </cell>
          <cell r="D468">
            <v>45471</v>
          </cell>
          <cell r="F468" t="str">
            <v>Africa</v>
          </cell>
          <cell r="G468" t="str">
            <v>Nigeria</v>
          </cell>
          <cell r="H468" t="str">
            <v>Port Harcourt</v>
          </cell>
          <cell r="P468">
            <v>0.22900000000000001</v>
          </cell>
          <cell r="T468">
            <v>587.95000000000005</v>
          </cell>
        </row>
        <row r="469">
          <cell r="B469">
            <v>45278</v>
          </cell>
          <cell r="D469">
            <v>45305</v>
          </cell>
          <cell r="F469" t="str">
            <v>Asia</v>
          </cell>
          <cell r="G469" t="str">
            <v>India</v>
          </cell>
          <cell r="H469" t="str">
            <v>Mumbai</v>
          </cell>
          <cell r="P469">
            <v>7.0999999999999994E-2</v>
          </cell>
          <cell r="T469">
            <v>2193.13</v>
          </cell>
        </row>
        <row r="470">
          <cell r="B470">
            <v>45809</v>
          </cell>
          <cell r="D470">
            <v>45813</v>
          </cell>
          <cell r="F470" t="str">
            <v>Europe</v>
          </cell>
          <cell r="G470" t="str">
            <v>Germany</v>
          </cell>
          <cell r="H470" t="str">
            <v>Munich</v>
          </cell>
          <cell r="P470">
            <v>0.23</v>
          </cell>
          <cell r="T470">
            <v>2187.8000000000002</v>
          </cell>
        </row>
        <row r="471">
          <cell r="B471">
            <v>45739</v>
          </cell>
          <cell r="D471">
            <v>45749</v>
          </cell>
          <cell r="F471" t="str">
            <v>Europe</v>
          </cell>
          <cell r="G471" t="str">
            <v>Germany</v>
          </cell>
          <cell r="H471" t="str">
            <v>Berlin</v>
          </cell>
          <cell r="P471">
            <v>4.5999999999999999E-2</v>
          </cell>
          <cell r="T471">
            <v>1002.11</v>
          </cell>
        </row>
        <row r="472">
          <cell r="B472">
            <v>45060</v>
          </cell>
          <cell r="D472">
            <v>45068</v>
          </cell>
          <cell r="F472" t="str">
            <v>Africa</v>
          </cell>
          <cell r="G472" t="str">
            <v>Kenya</v>
          </cell>
          <cell r="H472" t="str">
            <v>Mombasa</v>
          </cell>
          <cell r="P472">
            <v>4.9000000000000002E-2</v>
          </cell>
          <cell r="T472">
            <v>913.78</v>
          </cell>
        </row>
        <row r="473">
          <cell r="B473">
            <v>45167</v>
          </cell>
          <cell r="D473">
            <v>45188</v>
          </cell>
          <cell r="F473" t="str">
            <v>Europe</v>
          </cell>
          <cell r="G473" t="str">
            <v>France</v>
          </cell>
          <cell r="H473" t="str">
            <v>Lyon</v>
          </cell>
          <cell r="P473">
            <v>0.13800000000000001</v>
          </cell>
          <cell r="T473">
            <v>1843.51</v>
          </cell>
        </row>
        <row r="474">
          <cell r="B474">
            <v>45841</v>
          </cell>
          <cell r="D474">
            <v>45861</v>
          </cell>
          <cell r="F474" t="str">
            <v>Asia</v>
          </cell>
          <cell r="G474" t="str">
            <v>China</v>
          </cell>
          <cell r="H474" t="str">
            <v>Beijing</v>
          </cell>
          <cell r="P474">
            <v>7.3999999999999996E-2</v>
          </cell>
          <cell r="T474">
            <v>1383.6</v>
          </cell>
        </row>
        <row r="475">
          <cell r="B475">
            <v>45328</v>
          </cell>
          <cell r="D475">
            <v>45350</v>
          </cell>
          <cell r="F475" t="str">
            <v>Africa</v>
          </cell>
          <cell r="G475" t="str">
            <v>Kenya</v>
          </cell>
          <cell r="H475" t="str">
            <v>Kisumu</v>
          </cell>
          <cell r="P475">
            <v>0.126</v>
          </cell>
          <cell r="T475">
            <v>1588.53</v>
          </cell>
        </row>
        <row r="476">
          <cell r="B476">
            <v>45882</v>
          </cell>
          <cell r="D476">
            <v>45903</v>
          </cell>
          <cell r="F476" t="str">
            <v>Europe</v>
          </cell>
          <cell r="G476" t="str">
            <v>France</v>
          </cell>
          <cell r="H476" t="str">
            <v>Paris</v>
          </cell>
          <cell r="P476">
            <v>0.20499999999999999</v>
          </cell>
          <cell r="T476">
            <v>1344.05</v>
          </cell>
        </row>
        <row r="477">
          <cell r="B477">
            <v>45069</v>
          </cell>
          <cell r="D477">
            <v>45071</v>
          </cell>
          <cell r="F477" t="str">
            <v>Americas</v>
          </cell>
          <cell r="G477" t="str">
            <v>Brazil</v>
          </cell>
          <cell r="H477" t="str">
            <v>Rio de Janeiro</v>
          </cell>
          <cell r="P477">
            <v>4.2000000000000003E-2</v>
          </cell>
          <cell r="T477">
            <v>1290.29</v>
          </cell>
        </row>
        <row r="478">
          <cell r="B478">
            <v>45422</v>
          </cell>
          <cell r="D478">
            <v>45428</v>
          </cell>
          <cell r="F478" t="str">
            <v>Europe</v>
          </cell>
          <cell r="G478" t="str">
            <v>United Kingdom</v>
          </cell>
          <cell r="H478" t="str">
            <v>Birmingham</v>
          </cell>
          <cell r="P478">
            <v>8.8999999999999996E-2</v>
          </cell>
          <cell r="T478">
            <v>221.58</v>
          </cell>
        </row>
        <row r="479">
          <cell r="B479">
            <v>44999</v>
          </cell>
          <cell r="D479">
            <v>45003</v>
          </cell>
          <cell r="F479" t="str">
            <v>Europe</v>
          </cell>
          <cell r="G479" t="str">
            <v>Germany</v>
          </cell>
          <cell r="H479" t="str">
            <v>Frankfurt</v>
          </cell>
          <cell r="P479">
            <v>0.16500000000000001</v>
          </cell>
          <cell r="T479">
            <v>360.34</v>
          </cell>
        </row>
        <row r="480">
          <cell r="B480">
            <v>45123</v>
          </cell>
          <cell r="D480">
            <v>45151</v>
          </cell>
          <cell r="F480" t="str">
            <v>Europe</v>
          </cell>
          <cell r="G480" t="str">
            <v>United Kingdom</v>
          </cell>
          <cell r="H480" t="str">
            <v>Manchester</v>
          </cell>
          <cell r="P480">
            <v>0.216</v>
          </cell>
          <cell r="T480">
            <v>2545.81</v>
          </cell>
        </row>
        <row r="481">
          <cell r="B481">
            <v>45032</v>
          </cell>
          <cell r="D481">
            <v>45035</v>
          </cell>
          <cell r="F481" t="str">
            <v>Europe</v>
          </cell>
          <cell r="G481" t="str">
            <v>Germany</v>
          </cell>
          <cell r="H481" t="str">
            <v>Munich</v>
          </cell>
          <cell r="P481">
            <v>0.02</v>
          </cell>
          <cell r="T481">
            <v>699.47</v>
          </cell>
        </row>
        <row r="482">
          <cell r="B482">
            <v>45293</v>
          </cell>
          <cell r="D482">
            <v>45306</v>
          </cell>
          <cell r="F482" t="str">
            <v>Asia</v>
          </cell>
          <cell r="G482" t="str">
            <v>Japan</v>
          </cell>
          <cell r="H482" t="str">
            <v>Nagoya</v>
          </cell>
          <cell r="P482">
            <v>7.5999999999999998E-2</v>
          </cell>
          <cell r="T482">
            <v>2738.69</v>
          </cell>
        </row>
        <row r="483">
          <cell r="B483">
            <v>45538</v>
          </cell>
          <cell r="D483">
            <v>45542</v>
          </cell>
          <cell r="F483" t="str">
            <v>Asia</v>
          </cell>
          <cell r="G483" t="str">
            <v>Japan</v>
          </cell>
          <cell r="H483" t="str">
            <v>Tokyo</v>
          </cell>
          <cell r="P483">
            <v>9.0999999999999998E-2</v>
          </cell>
          <cell r="T483">
            <v>94.78</v>
          </cell>
        </row>
        <row r="484">
          <cell r="B484">
            <v>45899</v>
          </cell>
          <cell r="D484">
            <v>45903</v>
          </cell>
          <cell r="F484" t="str">
            <v>Europe</v>
          </cell>
          <cell r="G484" t="str">
            <v>France</v>
          </cell>
          <cell r="H484" t="str">
            <v>Marseille</v>
          </cell>
          <cell r="P484">
            <v>0.13200000000000001</v>
          </cell>
          <cell r="T484">
            <v>2777.35</v>
          </cell>
        </row>
        <row r="485">
          <cell r="B485">
            <v>45775</v>
          </cell>
          <cell r="D485">
            <v>45796</v>
          </cell>
          <cell r="F485" t="str">
            <v>Europe</v>
          </cell>
          <cell r="G485" t="str">
            <v>Germany</v>
          </cell>
          <cell r="H485" t="str">
            <v>Berlin</v>
          </cell>
          <cell r="P485">
            <v>5.2999999999999999E-2</v>
          </cell>
          <cell r="T485">
            <v>492.18</v>
          </cell>
        </row>
        <row r="486">
          <cell r="B486">
            <v>45148</v>
          </cell>
          <cell r="D486">
            <v>45153</v>
          </cell>
          <cell r="F486" t="str">
            <v>Americas</v>
          </cell>
          <cell r="G486" t="str">
            <v>Brazil</v>
          </cell>
          <cell r="H486" t="str">
            <v>São Paulo</v>
          </cell>
          <cell r="P486">
            <v>0.123</v>
          </cell>
          <cell r="T486">
            <v>1921.65</v>
          </cell>
        </row>
        <row r="487">
          <cell r="B487">
            <v>45634</v>
          </cell>
          <cell r="D487">
            <v>45634</v>
          </cell>
          <cell r="F487" t="str">
            <v>Europe</v>
          </cell>
          <cell r="G487" t="str">
            <v>France</v>
          </cell>
          <cell r="H487" t="str">
            <v>Lyon</v>
          </cell>
          <cell r="P487">
            <v>9.1999999999999998E-2</v>
          </cell>
          <cell r="T487">
            <v>290.33</v>
          </cell>
        </row>
        <row r="488">
          <cell r="B488">
            <v>45224</v>
          </cell>
          <cell r="D488">
            <v>45254</v>
          </cell>
          <cell r="F488" t="str">
            <v>Europe</v>
          </cell>
          <cell r="G488" t="str">
            <v>France</v>
          </cell>
          <cell r="H488" t="str">
            <v>Paris</v>
          </cell>
          <cell r="P488">
            <v>0.222</v>
          </cell>
          <cell r="T488">
            <v>602.91999999999996</v>
          </cell>
        </row>
        <row r="489">
          <cell r="B489">
            <v>45613</v>
          </cell>
          <cell r="D489">
            <v>45624</v>
          </cell>
          <cell r="F489" t="str">
            <v>Americas</v>
          </cell>
          <cell r="G489" t="str">
            <v>Canada</v>
          </cell>
          <cell r="H489" t="str">
            <v>Unknown</v>
          </cell>
          <cell r="P489">
            <v>7.3999999999999996E-2</v>
          </cell>
          <cell r="T489">
            <v>2077.5</v>
          </cell>
        </row>
        <row r="490">
          <cell r="B490">
            <v>45424</v>
          </cell>
          <cell r="D490">
            <v>45436</v>
          </cell>
          <cell r="F490" t="str">
            <v>Europe</v>
          </cell>
          <cell r="G490" t="str">
            <v>United Kingdom</v>
          </cell>
          <cell r="H490" t="str">
            <v>Manchester</v>
          </cell>
          <cell r="P490">
            <v>0.19700000000000001</v>
          </cell>
          <cell r="T490">
            <v>172.88</v>
          </cell>
        </row>
        <row r="491">
          <cell r="B491">
            <v>45792</v>
          </cell>
          <cell r="D491">
            <v>45813</v>
          </cell>
          <cell r="F491" t="str">
            <v>Asia</v>
          </cell>
          <cell r="G491" t="str">
            <v>Japan</v>
          </cell>
          <cell r="H491" t="str">
            <v>Osaka</v>
          </cell>
          <cell r="P491">
            <v>0.13500000000000001</v>
          </cell>
          <cell r="T491">
            <v>2778.74</v>
          </cell>
        </row>
        <row r="492">
          <cell r="B492">
            <v>45403</v>
          </cell>
          <cell r="D492">
            <v>45431</v>
          </cell>
          <cell r="F492" t="str">
            <v>Africa</v>
          </cell>
          <cell r="G492" t="str">
            <v>Nigeria</v>
          </cell>
          <cell r="H492" t="str">
            <v>Lagos</v>
          </cell>
          <cell r="P492">
            <v>0</v>
          </cell>
          <cell r="T492">
            <v>309.47000000000003</v>
          </cell>
        </row>
        <row r="493">
          <cell r="B493">
            <v>45523</v>
          </cell>
          <cell r="D493">
            <v>45542</v>
          </cell>
          <cell r="F493" t="str">
            <v>Europe</v>
          </cell>
          <cell r="G493" t="str">
            <v>France</v>
          </cell>
          <cell r="H493" t="str">
            <v>Lyon</v>
          </cell>
          <cell r="P493">
            <v>0</v>
          </cell>
          <cell r="T493">
            <v>666.41</v>
          </cell>
        </row>
        <row r="494">
          <cell r="B494">
            <v>45861</v>
          </cell>
          <cell r="D494">
            <v>45888</v>
          </cell>
          <cell r="F494" t="str">
            <v>Asia</v>
          </cell>
          <cell r="G494" t="str">
            <v>Japan</v>
          </cell>
          <cell r="H494" t="str">
            <v>Nagoya</v>
          </cell>
          <cell r="P494">
            <v>8.3000000000000004E-2</v>
          </cell>
          <cell r="T494">
            <v>744.27</v>
          </cell>
        </row>
        <row r="495">
          <cell r="B495">
            <v>45352</v>
          </cell>
          <cell r="D495">
            <v>45359</v>
          </cell>
          <cell r="F495" t="str">
            <v>Americas</v>
          </cell>
          <cell r="G495" t="str">
            <v>Brazil</v>
          </cell>
          <cell r="H495" t="str">
            <v>São Paulo</v>
          </cell>
          <cell r="P495">
            <v>0.13200000000000001</v>
          </cell>
          <cell r="T495">
            <v>12.69</v>
          </cell>
        </row>
        <row r="496">
          <cell r="B496">
            <v>45439</v>
          </cell>
          <cell r="D496">
            <v>45460</v>
          </cell>
          <cell r="F496" t="str">
            <v>Asia</v>
          </cell>
          <cell r="G496" t="str">
            <v>India</v>
          </cell>
          <cell r="H496" t="str">
            <v>Delhi</v>
          </cell>
          <cell r="P496">
            <v>4.2000000000000003E-2</v>
          </cell>
          <cell r="T496">
            <v>651.55999999999995</v>
          </cell>
        </row>
        <row r="497">
          <cell r="B497">
            <v>45508</v>
          </cell>
          <cell r="D497">
            <v>45521</v>
          </cell>
          <cell r="F497" t="str">
            <v>Americas</v>
          </cell>
          <cell r="G497" t="str">
            <v>USA</v>
          </cell>
          <cell r="H497" t="str">
            <v>Austin</v>
          </cell>
          <cell r="P497">
            <v>0.113</v>
          </cell>
          <cell r="T497">
            <v>754.22</v>
          </cell>
        </row>
        <row r="498">
          <cell r="B498">
            <v>45097</v>
          </cell>
          <cell r="D498">
            <v>45111</v>
          </cell>
          <cell r="F498" t="str">
            <v>Americas</v>
          </cell>
          <cell r="G498" t="str">
            <v>Brazil</v>
          </cell>
          <cell r="H498" t="str">
            <v>Brasília</v>
          </cell>
          <cell r="P498">
            <v>0.14199999999999999</v>
          </cell>
          <cell r="T498">
            <v>2981.01</v>
          </cell>
        </row>
        <row r="499">
          <cell r="B499">
            <v>45544</v>
          </cell>
          <cell r="D499">
            <v>45548</v>
          </cell>
          <cell r="F499" t="str">
            <v>Europe</v>
          </cell>
          <cell r="G499" t="str">
            <v>United Kingdom</v>
          </cell>
          <cell r="H499" t="str">
            <v>London</v>
          </cell>
          <cell r="P499">
            <v>4.2000000000000003E-2</v>
          </cell>
          <cell r="T499">
            <v>976.17</v>
          </cell>
        </row>
        <row r="500">
          <cell r="B500">
            <v>45224</v>
          </cell>
          <cell r="D500">
            <v>45227</v>
          </cell>
          <cell r="F500" t="str">
            <v>Americas</v>
          </cell>
          <cell r="G500" t="str">
            <v>Brazil</v>
          </cell>
          <cell r="H500" t="str">
            <v>Brasília</v>
          </cell>
          <cell r="P500">
            <v>5.7000000000000002E-2</v>
          </cell>
          <cell r="T500">
            <v>1145.9000000000001</v>
          </cell>
        </row>
        <row r="501">
          <cell r="B501">
            <v>45908</v>
          </cell>
          <cell r="D501">
            <v>45935</v>
          </cell>
          <cell r="F501" t="str">
            <v>Americas</v>
          </cell>
          <cell r="G501" t="str">
            <v>Brazil</v>
          </cell>
          <cell r="H501" t="str">
            <v>Rio de Janeiro</v>
          </cell>
          <cell r="P501">
            <v>0.218</v>
          </cell>
          <cell r="T501">
            <v>1630.39</v>
          </cell>
        </row>
        <row r="502">
          <cell r="B502">
            <v>45048</v>
          </cell>
          <cell r="D502">
            <v>45062</v>
          </cell>
          <cell r="F502" t="str">
            <v>Asia</v>
          </cell>
          <cell r="G502" t="str">
            <v>India</v>
          </cell>
          <cell r="H502" t="str">
            <v>Bengaluru</v>
          </cell>
          <cell r="P502">
            <v>4.1000000000000002E-2</v>
          </cell>
          <cell r="T502">
            <v>963.73</v>
          </cell>
        </row>
        <row r="503">
          <cell r="B503">
            <v>45408</v>
          </cell>
          <cell r="D503">
            <v>45415</v>
          </cell>
          <cell r="F503" t="str">
            <v>Europe</v>
          </cell>
          <cell r="G503" t="str">
            <v>United Kingdom</v>
          </cell>
          <cell r="H503" t="str">
            <v>London</v>
          </cell>
          <cell r="P503">
            <v>0.16700000000000001</v>
          </cell>
          <cell r="T503">
            <v>891.73</v>
          </cell>
        </row>
        <row r="504">
          <cell r="B504">
            <v>44980</v>
          </cell>
          <cell r="D504">
            <v>45003</v>
          </cell>
          <cell r="F504" t="str">
            <v>Asia</v>
          </cell>
          <cell r="G504" t="str">
            <v>China</v>
          </cell>
          <cell r="H504" t="str">
            <v>Beijing</v>
          </cell>
          <cell r="P504">
            <v>6.9000000000000006E-2</v>
          </cell>
          <cell r="T504">
            <v>1667.82</v>
          </cell>
        </row>
        <row r="505">
          <cell r="B505">
            <v>45740</v>
          </cell>
          <cell r="D505">
            <v>45741</v>
          </cell>
          <cell r="F505" t="str">
            <v>Asia</v>
          </cell>
          <cell r="G505" t="str">
            <v>China</v>
          </cell>
          <cell r="H505" t="str">
            <v>Beijing</v>
          </cell>
          <cell r="P505">
            <v>0.10100000000000001</v>
          </cell>
          <cell r="T505">
            <v>1921.51</v>
          </cell>
        </row>
        <row r="506">
          <cell r="B506">
            <v>45726</v>
          </cell>
          <cell r="D506">
            <v>45743</v>
          </cell>
          <cell r="F506" t="str">
            <v>Americas</v>
          </cell>
          <cell r="G506" t="str">
            <v>Brazil</v>
          </cell>
          <cell r="H506" t="str">
            <v>Rio de Janeiro</v>
          </cell>
          <cell r="P506">
            <v>7.0000000000000007E-2</v>
          </cell>
          <cell r="T506">
            <v>1217.43</v>
          </cell>
        </row>
        <row r="507">
          <cell r="B507">
            <v>45387</v>
          </cell>
          <cell r="D507">
            <v>45391</v>
          </cell>
          <cell r="F507" t="str">
            <v>Africa</v>
          </cell>
          <cell r="G507" t="str">
            <v>Nigeria</v>
          </cell>
          <cell r="H507" t="str">
            <v>Lagos</v>
          </cell>
          <cell r="P507">
            <v>0.123</v>
          </cell>
          <cell r="T507">
            <v>970.27</v>
          </cell>
        </row>
        <row r="508">
          <cell r="B508">
            <v>45774</v>
          </cell>
          <cell r="D508">
            <v>45794</v>
          </cell>
          <cell r="F508" t="str">
            <v>Americas</v>
          </cell>
          <cell r="G508" t="str">
            <v>USA</v>
          </cell>
          <cell r="H508" t="str">
            <v>Austin</v>
          </cell>
          <cell r="P508">
            <v>0.23499999999999999</v>
          </cell>
          <cell r="T508">
            <v>1624.67</v>
          </cell>
        </row>
        <row r="509">
          <cell r="B509">
            <v>45589</v>
          </cell>
          <cell r="D509">
            <v>45593</v>
          </cell>
          <cell r="F509" t="str">
            <v>Asia</v>
          </cell>
          <cell r="G509" t="str">
            <v>China</v>
          </cell>
          <cell r="H509" t="str">
            <v>Shanghai</v>
          </cell>
          <cell r="P509">
            <v>0.02</v>
          </cell>
          <cell r="T509">
            <v>2606.11</v>
          </cell>
        </row>
        <row r="510">
          <cell r="B510">
            <v>45029</v>
          </cell>
          <cell r="D510">
            <v>45036</v>
          </cell>
          <cell r="F510" t="str">
            <v>Europe</v>
          </cell>
          <cell r="G510" t="str">
            <v>France</v>
          </cell>
          <cell r="H510" t="str">
            <v>Lyon</v>
          </cell>
          <cell r="P510">
            <v>9.8000000000000004E-2</v>
          </cell>
          <cell r="T510">
            <v>434.72</v>
          </cell>
        </row>
        <row r="511">
          <cell r="B511">
            <v>45608</v>
          </cell>
          <cell r="D511">
            <v>45617</v>
          </cell>
          <cell r="F511" t="str">
            <v>Asia</v>
          </cell>
          <cell r="G511" t="str">
            <v>India</v>
          </cell>
          <cell r="H511" t="str">
            <v>Mumbai</v>
          </cell>
          <cell r="P511">
            <v>0.108</v>
          </cell>
          <cell r="T511">
            <v>1860.41</v>
          </cell>
        </row>
        <row r="512">
          <cell r="B512">
            <v>45056</v>
          </cell>
          <cell r="D512">
            <v>45060</v>
          </cell>
          <cell r="F512" t="str">
            <v>Asia</v>
          </cell>
          <cell r="G512" t="str">
            <v>India</v>
          </cell>
          <cell r="H512" t="str">
            <v>Delhi</v>
          </cell>
          <cell r="P512">
            <v>0.20899999999999999</v>
          </cell>
          <cell r="T512">
            <v>833.69</v>
          </cell>
        </row>
        <row r="513">
          <cell r="B513">
            <v>45353</v>
          </cell>
          <cell r="D513">
            <v>45374</v>
          </cell>
          <cell r="F513" t="str">
            <v>Americas</v>
          </cell>
          <cell r="G513" t="str">
            <v>USA</v>
          </cell>
          <cell r="H513" t="str">
            <v>Chicago</v>
          </cell>
          <cell r="P513">
            <v>0.11899999999999999</v>
          </cell>
          <cell r="T513">
            <v>333.48</v>
          </cell>
        </row>
        <row r="514">
          <cell r="B514">
            <v>45575</v>
          </cell>
          <cell r="D514">
            <v>45576</v>
          </cell>
          <cell r="F514" t="str">
            <v>Europe</v>
          </cell>
          <cell r="G514" t="str">
            <v>United Kingdom</v>
          </cell>
          <cell r="H514" t="str">
            <v>Manchester</v>
          </cell>
          <cell r="P514">
            <v>0.14599999999999999</v>
          </cell>
          <cell r="T514">
            <v>1784.7</v>
          </cell>
        </row>
        <row r="515">
          <cell r="B515">
            <v>45078</v>
          </cell>
          <cell r="D515">
            <v>45085</v>
          </cell>
          <cell r="F515" t="str">
            <v>Europe</v>
          </cell>
          <cell r="G515" t="str">
            <v>Germany</v>
          </cell>
          <cell r="H515" t="str">
            <v>Frankfurt</v>
          </cell>
          <cell r="P515">
            <v>3.2000000000000001E-2</v>
          </cell>
          <cell r="T515">
            <v>1072.29</v>
          </cell>
        </row>
        <row r="516">
          <cell r="B516">
            <v>45661</v>
          </cell>
          <cell r="D516">
            <v>45662</v>
          </cell>
          <cell r="F516" t="str">
            <v>Asia</v>
          </cell>
          <cell r="G516" t="str">
            <v>India</v>
          </cell>
          <cell r="H516" t="str">
            <v>Delhi</v>
          </cell>
          <cell r="P516">
            <v>0</v>
          </cell>
          <cell r="T516">
            <v>3028.05</v>
          </cell>
        </row>
        <row r="517">
          <cell r="B517">
            <v>45874</v>
          </cell>
          <cell r="D517">
            <v>45897</v>
          </cell>
          <cell r="F517" t="str">
            <v>Asia</v>
          </cell>
          <cell r="G517" t="str">
            <v>India</v>
          </cell>
          <cell r="H517" t="str">
            <v>Mumbai</v>
          </cell>
          <cell r="P517">
            <v>0</v>
          </cell>
          <cell r="T517">
            <v>987.24</v>
          </cell>
        </row>
        <row r="518">
          <cell r="B518">
            <v>45199</v>
          </cell>
          <cell r="D518">
            <v>45229</v>
          </cell>
          <cell r="F518" t="str">
            <v>Asia</v>
          </cell>
          <cell r="G518" t="str">
            <v>Japan</v>
          </cell>
          <cell r="H518" t="str">
            <v>Tokyo</v>
          </cell>
          <cell r="P518">
            <v>0.157</v>
          </cell>
          <cell r="T518">
            <v>975.43</v>
          </cell>
        </row>
        <row r="519">
          <cell r="B519">
            <v>45794</v>
          </cell>
          <cell r="D519">
            <v>45807</v>
          </cell>
          <cell r="F519" t="str">
            <v>Africa</v>
          </cell>
          <cell r="G519" t="str">
            <v>Nigeria</v>
          </cell>
          <cell r="H519" t="str">
            <v>Lagos</v>
          </cell>
          <cell r="P519">
            <v>0.107</v>
          </cell>
          <cell r="T519">
            <v>141.43</v>
          </cell>
        </row>
        <row r="520">
          <cell r="B520">
            <v>45413</v>
          </cell>
          <cell r="D520">
            <v>45438</v>
          </cell>
          <cell r="F520" t="str">
            <v>Europe</v>
          </cell>
          <cell r="G520" t="str">
            <v>Germany</v>
          </cell>
          <cell r="H520" t="str">
            <v>Berlin</v>
          </cell>
          <cell r="P520">
            <v>0.13800000000000001</v>
          </cell>
          <cell r="T520">
            <v>1625.42</v>
          </cell>
        </row>
        <row r="521">
          <cell r="B521">
            <v>45047</v>
          </cell>
          <cell r="D521">
            <v>45064</v>
          </cell>
          <cell r="F521" t="str">
            <v>Africa</v>
          </cell>
          <cell r="G521" t="str">
            <v>Nigeria</v>
          </cell>
          <cell r="H521" t="str">
            <v>Port Harcourt</v>
          </cell>
          <cell r="P521">
            <v>4.9000000000000002E-2</v>
          </cell>
          <cell r="T521">
            <v>299.94</v>
          </cell>
        </row>
        <row r="522">
          <cell r="B522">
            <v>45482</v>
          </cell>
          <cell r="D522">
            <v>45512</v>
          </cell>
          <cell r="F522" t="str">
            <v>Europe</v>
          </cell>
          <cell r="G522" t="str">
            <v>France</v>
          </cell>
          <cell r="H522" t="str">
            <v>Marseille</v>
          </cell>
          <cell r="P522">
            <v>0.18</v>
          </cell>
          <cell r="T522">
            <v>1503.96</v>
          </cell>
        </row>
        <row r="523">
          <cell r="B523">
            <v>45056</v>
          </cell>
          <cell r="D523">
            <v>45073</v>
          </cell>
          <cell r="F523" t="str">
            <v>Asia</v>
          </cell>
          <cell r="G523" t="str">
            <v>India</v>
          </cell>
          <cell r="H523" t="str">
            <v>Mumbai</v>
          </cell>
          <cell r="P523">
            <v>0.1</v>
          </cell>
          <cell r="T523">
            <v>3101.11</v>
          </cell>
        </row>
        <row r="524">
          <cell r="B524">
            <v>45482</v>
          </cell>
          <cell r="D524">
            <v>45485</v>
          </cell>
          <cell r="F524" t="str">
            <v>Asia</v>
          </cell>
          <cell r="G524" t="str">
            <v>China</v>
          </cell>
          <cell r="H524" t="str">
            <v>Shanghai</v>
          </cell>
          <cell r="P524">
            <v>0</v>
          </cell>
          <cell r="T524">
            <v>979.42</v>
          </cell>
        </row>
        <row r="525">
          <cell r="B525">
            <v>45406</v>
          </cell>
          <cell r="D525">
            <v>45422</v>
          </cell>
          <cell r="F525" t="str">
            <v>Africa</v>
          </cell>
          <cell r="G525" t="str">
            <v>Kenya</v>
          </cell>
          <cell r="H525" t="str">
            <v>Kisumu</v>
          </cell>
          <cell r="P525">
            <v>9.4E-2</v>
          </cell>
          <cell r="T525">
            <v>1186.26</v>
          </cell>
        </row>
        <row r="526">
          <cell r="B526">
            <v>45304</v>
          </cell>
          <cell r="D526">
            <v>45306</v>
          </cell>
          <cell r="F526" t="str">
            <v>Americas</v>
          </cell>
          <cell r="G526" t="str">
            <v>USA</v>
          </cell>
          <cell r="H526" t="str">
            <v>San Francisco</v>
          </cell>
          <cell r="P526">
            <v>0.17</v>
          </cell>
          <cell r="T526">
            <v>1938.33</v>
          </cell>
        </row>
        <row r="527">
          <cell r="B527">
            <v>45398</v>
          </cell>
          <cell r="D527">
            <v>45409</v>
          </cell>
          <cell r="F527" t="str">
            <v>Africa</v>
          </cell>
          <cell r="G527" t="str">
            <v>Kenya</v>
          </cell>
          <cell r="H527" t="str">
            <v>Nakuru</v>
          </cell>
          <cell r="P527">
            <v>0.22500000000000001</v>
          </cell>
          <cell r="T527">
            <v>826.47</v>
          </cell>
        </row>
        <row r="528">
          <cell r="B528">
            <v>45695</v>
          </cell>
          <cell r="D528">
            <v>45704</v>
          </cell>
          <cell r="F528" t="str">
            <v>Africa</v>
          </cell>
          <cell r="G528" t="str">
            <v>Nigeria</v>
          </cell>
          <cell r="H528" t="str">
            <v>Lagos</v>
          </cell>
          <cell r="P528">
            <v>0.13500000000000001</v>
          </cell>
          <cell r="T528">
            <v>118.17</v>
          </cell>
        </row>
        <row r="529">
          <cell r="B529">
            <v>44938</v>
          </cell>
          <cell r="D529">
            <v>44952</v>
          </cell>
          <cell r="F529" t="str">
            <v>Asia</v>
          </cell>
          <cell r="G529" t="str">
            <v>China</v>
          </cell>
          <cell r="H529" t="str">
            <v>Shenzhen</v>
          </cell>
          <cell r="P529">
            <v>0</v>
          </cell>
          <cell r="T529">
            <v>1425.87</v>
          </cell>
        </row>
        <row r="530">
          <cell r="B530">
            <v>45448</v>
          </cell>
          <cell r="D530">
            <v>45466</v>
          </cell>
          <cell r="F530" t="str">
            <v>Africa</v>
          </cell>
          <cell r="G530" t="str">
            <v>Kenya</v>
          </cell>
          <cell r="H530" t="str">
            <v>Nairobi</v>
          </cell>
          <cell r="P530">
            <v>5.8999999999999997E-2</v>
          </cell>
          <cell r="T530">
            <v>1594.78</v>
          </cell>
        </row>
        <row r="531">
          <cell r="B531">
            <v>45162</v>
          </cell>
          <cell r="D531">
            <v>45189</v>
          </cell>
          <cell r="F531" t="str">
            <v>Africa</v>
          </cell>
          <cell r="G531" t="str">
            <v>South Africa</v>
          </cell>
          <cell r="H531" t="str">
            <v>Durban</v>
          </cell>
          <cell r="P531">
            <v>0</v>
          </cell>
          <cell r="T531">
            <v>3342.11</v>
          </cell>
        </row>
        <row r="532">
          <cell r="B532">
            <v>45316</v>
          </cell>
          <cell r="D532">
            <v>45330</v>
          </cell>
          <cell r="F532" t="str">
            <v>Asia</v>
          </cell>
          <cell r="G532" t="str">
            <v>Japan</v>
          </cell>
          <cell r="H532" t="str">
            <v>Osaka</v>
          </cell>
          <cell r="P532">
            <v>3.7999999999999999E-2</v>
          </cell>
          <cell r="T532">
            <v>1069.77</v>
          </cell>
        </row>
        <row r="533">
          <cell r="B533">
            <v>45727</v>
          </cell>
          <cell r="D533">
            <v>45742</v>
          </cell>
          <cell r="F533" t="str">
            <v>Europe</v>
          </cell>
          <cell r="G533" t="str">
            <v>Germany</v>
          </cell>
          <cell r="H533" t="str">
            <v>Berlin</v>
          </cell>
          <cell r="P533">
            <v>0.122</v>
          </cell>
          <cell r="T533">
            <v>140.82</v>
          </cell>
        </row>
        <row r="534">
          <cell r="B534">
            <v>45769</v>
          </cell>
          <cell r="D534">
            <v>45789</v>
          </cell>
          <cell r="F534" t="str">
            <v>Europe</v>
          </cell>
          <cell r="G534" t="str">
            <v>France</v>
          </cell>
          <cell r="H534" t="str">
            <v>Lyon</v>
          </cell>
          <cell r="P534">
            <v>0.114</v>
          </cell>
          <cell r="T534">
            <v>67.040000000000006</v>
          </cell>
        </row>
        <row r="535">
          <cell r="B535">
            <v>45155</v>
          </cell>
          <cell r="D535">
            <v>45172</v>
          </cell>
          <cell r="F535" t="str">
            <v>Africa</v>
          </cell>
          <cell r="G535" t="str">
            <v>South Africa</v>
          </cell>
          <cell r="H535" t="str">
            <v>Durban</v>
          </cell>
          <cell r="P535">
            <v>6.6000000000000003E-2</v>
          </cell>
          <cell r="T535">
            <v>1276.67</v>
          </cell>
        </row>
        <row r="536">
          <cell r="B536">
            <v>45832</v>
          </cell>
          <cell r="D536">
            <v>45852</v>
          </cell>
          <cell r="F536" t="str">
            <v>Africa</v>
          </cell>
          <cell r="G536" t="str">
            <v>South Africa</v>
          </cell>
          <cell r="H536" t="str">
            <v>Johannesburg</v>
          </cell>
          <cell r="P536">
            <v>0.248</v>
          </cell>
          <cell r="T536">
            <v>2821.36</v>
          </cell>
        </row>
        <row r="537">
          <cell r="B537">
            <v>45667</v>
          </cell>
          <cell r="D537">
            <v>45694</v>
          </cell>
          <cell r="F537" t="str">
            <v>Americas</v>
          </cell>
          <cell r="G537" t="str">
            <v>Brazil</v>
          </cell>
          <cell r="H537" t="str">
            <v>Brasília</v>
          </cell>
          <cell r="P537">
            <v>0.19</v>
          </cell>
          <cell r="T537">
            <v>1559.19</v>
          </cell>
        </row>
        <row r="538">
          <cell r="B538">
            <v>45108</v>
          </cell>
          <cell r="D538">
            <v>45118</v>
          </cell>
          <cell r="F538" t="str">
            <v>Europe</v>
          </cell>
          <cell r="G538" t="str">
            <v>France</v>
          </cell>
          <cell r="H538" t="str">
            <v>Paris</v>
          </cell>
          <cell r="P538">
            <v>0.14899999999999999</v>
          </cell>
          <cell r="T538">
            <v>656.66</v>
          </cell>
        </row>
        <row r="539">
          <cell r="B539">
            <v>45520</v>
          </cell>
          <cell r="D539">
            <v>45530</v>
          </cell>
          <cell r="F539" t="str">
            <v>Americas</v>
          </cell>
          <cell r="G539" t="str">
            <v>USA</v>
          </cell>
          <cell r="H539" t="str">
            <v>Chicago</v>
          </cell>
          <cell r="P539">
            <v>8.6999999999999994E-2</v>
          </cell>
          <cell r="T539">
            <v>2657.84</v>
          </cell>
        </row>
        <row r="540">
          <cell r="B540">
            <v>45114</v>
          </cell>
          <cell r="D540">
            <v>45120</v>
          </cell>
          <cell r="F540" t="str">
            <v>Africa</v>
          </cell>
          <cell r="G540" t="str">
            <v>South Africa</v>
          </cell>
          <cell r="H540" t="str">
            <v>Cape Town</v>
          </cell>
          <cell r="P540">
            <v>4.3999999999999997E-2</v>
          </cell>
          <cell r="T540">
            <v>1424.74</v>
          </cell>
        </row>
        <row r="541">
          <cell r="B541">
            <v>45288</v>
          </cell>
          <cell r="D541">
            <v>45292</v>
          </cell>
          <cell r="F541" t="str">
            <v>Africa</v>
          </cell>
          <cell r="G541" t="str">
            <v>South Africa</v>
          </cell>
          <cell r="H541" t="str">
            <v>Cape Town</v>
          </cell>
          <cell r="P541">
            <v>0.107</v>
          </cell>
          <cell r="T541">
            <v>2318.7399999999998</v>
          </cell>
        </row>
        <row r="542">
          <cell r="B542">
            <v>44952</v>
          </cell>
          <cell r="D542">
            <v>44972</v>
          </cell>
          <cell r="F542" t="str">
            <v>Europe</v>
          </cell>
          <cell r="G542" t="str">
            <v>Germany</v>
          </cell>
          <cell r="H542" t="str">
            <v>Berlin</v>
          </cell>
          <cell r="P542">
            <v>8.8999999999999996E-2</v>
          </cell>
          <cell r="T542">
            <v>366.7</v>
          </cell>
        </row>
        <row r="543">
          <cell r="B543">
            <v>45115</v>
          </cell>
          <cell r="D543">
            <v>45116</v>
          </cell>
          <cell r="F543" t="str">
            <v>Africa</v>
          </cell>
          <cell r="G543" t="str">
            <v>Kenya</v>
          </cell>
          <cell r="H543" t="str">
            <v>Nairobi</v>
          </cell>
          <cell r="P543">
            <v>0</v>
          </cell>
          <cell r="T543">
            <v>2797.41</v>
          </cell>
        </row>
        <row r="544">
          <cell r="B544">
            <v>45450</v>
          </cell>
          <cell r="D544">
            <v>45452</v>
          </cell>
          <cell r="F544" t="str">
            <v>Asia</v>
          </cell>
          <cell r="G544" t="str">
            <v>China</v>
          </cell>
          <cell r="H544" t="str">
            <v>Shanghai</v>
          </cell>
          <cell r="P544">
            <v>0.13300000000000001</v>
          </cell>
          <cell r="T544">
            <v>2209.66</v>
          </cell>
        </row>
        <row r="545">
          <cell r="B545">
            <v>44968</v>
          </cell>
          <cell r="D545">
            <v>44969</v>
          </cell>
          <cell r="F545" t="str">
            <v>Africa</v>
          </cell>
          <cell r="G545" t="str">
            <v>Nigeria</v>
          </cell>
          <cell r="H545" t="str">
            <v>Port Harcourt</v>
          </cell>
          <cell r="P545">
            <v>5.8999999999999997E-2</v>
          </cell>
          <cell r="T545">
            <v>839.04</v>
          </cell>
        </row>
        <row r="546">
          <cell r="B546">
            <v>45108</v>
          </cell>
          <cell r="D546">
            <v>45115</v>
          </cell>
          <cell r="F546" t="str">
            <v>Europe</v>
          </cell>
          <cell r="G546" t="str">
            <v>Germany</v>
          </cell>
          <cell r="H546" t="str">
            <v>Frankfurt</v>
          </cell>
          <cell r="P546">
            <v>0.115</v>
          </cell>
          <cell r="T546">
            <v>1139.1500000000001</v>
          </cell>
        </row>
        <row r="547">
          <cell r="B547">
            <v>45889</v>
          </cell>
          <cell r="D547">
            <v>45895</v>
          </cell>
          <cell r="F547" t="str">
            <v>Americas</v>
          </cell>
          <cell r="G547" t="str">
            <v>USA</v>
          </cell>
          <cell r="H547" t="str">
            <v>New York</v>
          </cell>
          <cell r="P547">
            <v>0.21199999999999999</v>
          </cell>
          <cell r="T547">
            <v>1712.03</v>
          </cell>
        </row>
        <row r="548">
          <cell r="B548">
            <v>45355</v>
          </cell>
          <cell r="D548">
            <v>45367</v>
          </cell>
          <cell r="F548" t="str">
            <v>Africa</v>
          </cell>
          <cell r="G548" t="str">
            <v>South Africa</v>
          </cell>
          <cell r="H548" t="str">
            <v>Johannesburg</v>
          </cell>
          <cell r="P548">
            <v>0.23699999999999999</v>
          </cell>
          <cell r="T548">
            <v>1054.29</v>
          </cell>
        </row>
        <row r="549">
          <cell r="B549">
            <v>45177</v>
          </cell>
          <cell r="D549">
            <v>45201</v>
          </cell>
          <cell r="F549" t="str">
            <v>Americas</v>
          </cell>
          <cell r="G549" t="str">
            <v>Canada</v>
          </cell>
          <cell r="H549" t="str">
            <v>Toronto</v>
          </cell>
          <cell r="P549">
            <v>0.20799999999999999</v>
          </cell>
          <cell r="T549">
            <v>2451.2199999999998</v>
          </cell>
        </row>
        <row r="550">
          <cell r="B550">
            <v>44985</v>
          </cell>
          <cell r="D550">
            <v>44991</v>
          </cell>
          <cell r="F550" t="str">
            <v>Europe</v>
          </cell>
          <cell r="G550" t="str">
            <v>Germany</v>
          </cell>
          <cell r="H550" t="str">
            <v>Frankfurt</v>
          </cell>
          <cell r="P550">
            <v>0.123</v>
          </cell>
          <cell r="T550">
            <v>1251.21</v>
          </cell>
        </row>
        <row r="551">
          <cell r="B551">
            <v>45486</v>
          </cell>
          <cell r="D551">
            <v>45507</v>
          </cell>
          <cell r="F551" t="str">
            <v>Americas</v>
          </cell>
          <cell r="G551" t="str">
            <v>Brazil</v>
          </cell>
          <cell r="H551" t="str">
            <v>Rio de Janeiro</v>
          </cell>
          <cell r="P551">
            <v>0.17499999999999999</v>
          </cell>
          <cell r="T551">
            <v>1104.8</v>
          </cell>
        </row>
        <row r="552">
          <cell r="B552">
            <v>45633</v>
          </cell>
          <cell r="D552">
            <v>45652</v>
          </cell>
          <cell r="F552" t="str">
            <v>Europe</v>
          </cell>
          <cell r="G552" t="str">
            <v>United Kingdom</v>
          </cell>
          <cell r="H552" t="str">
            <v>London</v>
          </cell>
          <cell r="P552">
            <v>0.17</v>
          </cell>
          <cell r="T552">
            <v>2383.41</v>
          </cell>
        </row>
        <row r="553">
          <cell r="B553">
            <v>45875</v>
          </cell>
          <cell r="D553">
            <v>45892</v>
          </cell>
          <cell r="F553" t="str">
            <v>Americas</v>
          </cell>
          <cell r="G553" t="str">
            <v>Brazil</v>
          </cell>
          <cell r="H553" t="str">
            <v>Brasília</v>
          </cell>
          <cell r="P553">
            <v>0.21199999999999999</v>
          </cell>
          <cell r="T553">
            <v>213.06</v>
          </cell>
        </row>
        <row r="554">
          <cell r="B554">
            <v>44988</v>
          </cell>
          <cell r="D554">
            <v>45005</v>
          </cell>
          <cell r="F554" t="str">
            <v>Asia</v>
          </cell>
          <cell r="G554" t="str">
            <v>Japan</v>
          </cell>
          <cell r="H554" t="str">
            <v>Nagoya</v>
          </cell>
          <cell r="P554">
            <v>0.157</v>
          </cell>
          <cell r="T554">
            <v>2030.64</v>
          </cell>
        </row>
        <row r="555">
          <cell r="B555">
            <v>45704</v>
          </cell>
          <cell r="D555">
            <v>45733</v>
          </cell>
          <cell r="F555" t="str">
            <v>Europe</v>
          </cell>
          <cell r="G555" t="str">
            <v>Germany</v>
          </cell>
          <cell r="H555" t="str">
            <v>Munich</v>
          </cell>
          <cell r="P555">
            <v>4.2000000000000003E-2</v>
          </cell>
          <cell r="T555">
            <v>956.7</v>
          </cell>
        </row>
        <row r="556">
          <cell r="B556">
            <v>45703</v>
          </cell>
          <cell r="D556">
            <v>45717</v>
          </cell>
          <cell r="F556" t="str">
            <v>Africa</v>
          </cell>
          <cell r="G556" t="str">
            <v>Kenya</v>
          </cell>
          <cell r="H556" t="str">
            <v>Mombasa</v>
          </cell>
          <cell r="P556">
            <v>8.6999999999999994E-2</v>
          </cell>
          <cell r="T556">
            <v>1447.68</v>
          </cell>
        </row>
        <row r="557">
          <cell r="B557">
            <v>45535</v>
          </cell>
          <cell r="D557">
            <v>45561</v>
          </cell>
          <cell r="F557" t="str">
            <v>Asia</v>
          </cell>
          <cell r="G557" t="str">
            <v>Japan</v>
          </cell>
          <cell r="H557" t="str">
            <v>Tokyo</v>
          </cell>
          <cell r="P557">
            <v>0.125</v>
          </cell>
          <cell r="T557">
            <v>2949.62</v>
          </cell>
        </row>
        <row r="558">
          <cell r="B558">
            <v>45053</v>
          </cell>
          <cell r="D558">
            <v>45066</v>
          </cell>
          <cell r="F558" t="str">
            <v>Asia</v>
          </cell>
          <cell r="G558" t="str">
            <v>India</v>
          </cell>
          <cell r="H558" t="str">
            <v>Mumbai</v>
          </cell>
          <cell r="P558">
            <v>0</v>
          </cell>
          <cell r="T558">
            <v>2580.5700000000002</v>
          </cell>
        </row>
        <row r="559">
          <cell r="B559">
            <v>45791</v>
          </cell>
          <cell r="D559">
            <v>45798</v>
          </cell>
          <cell r="F559" t="str">
            <v>Americas</v>
          </cell>
          <cell r="G559" t="str">
            <v>Canada</v>
          </cell>
          <cell r="H559" t="str">
            <v>Vancouver</v>
          </cell>
          <cell r="P559">
            <v>5.3999999999999999E-2</v>
          </cell>
          <cell r="T559">
            <v>1978.91</v>
          </cell>
        </row>
        <row r="560">
          <cell r="B560">
            <v>45362</v>
          </cell>
          <cell r="D560">
            <v>45380</v>
          </cell>
          <cell r="F560" t="str">
            <v>Americas</v>
          </cell>
          <cell r="G560" t="str">
            <v>USA</v>
          </cell>
          <cell r="H560" t="str">
            <v>New York</v>
          </cell>
          <cell r="P560">
            <v>0.21099999999999999</v>
          </cell>
          <cell r="T560">
            <v>1481.45</v>
          </cell>
        </row>
        <row r="561">
          <cell r="B561">
            <v>45430</v>
          </cell>
          <cell r="D561">
            <v>45434</v>
          </cell>
          <cell r="F561" t="str">
            <v>Africa</v>
          </cell>
          <cell r="G561" t="str">
            <v>Kenya</v>
          </cell>
          <cell r="H561" t="str">
            <v>Nairobi</v>
          </cell>
          <cell r="P561">
            <v>0.122</v>
          </cell>
          <cell r="T561">
            <v>1658.92</v>
          </cell>
        </row>
        <row r="562">
          <cell r="B562">
            <v>45299</v>
          </cell>
          <cell r="D562">
            <v>45303</v>
          </cell>
          <cell r="F562" t="str">
            <v>Asia</v>
          </cell>
          <cell r="G562" t="str">
            <v>India</v>
          </cell>
          <cell r="H562" t="str">
            <v>Bengaluru</v>
          </cell>
          <cell r="P562">
            <v>0.12</v>
          </cell>
          <cell r="T562">
            <v>602.34</v>
          </cell>
        </row>
        <row r="563">
          <cell r="B563">
            <v>45590</v>
          </cell>
          <cell r="D563">
            <v>45601</v>
          </cell>
          <cell r="F563" t="str">
            <v>Americas</v>
          </cell>
          <cell r="G563" t="str">
            <v>USA</v>
          </cell>
          <cell r="H563" t="str">
            <v>New York</v>
          </cell>
          <cell r="P563">
            <v>0.14499999999999999</v>
          </cell>
          <cell r="T563">
            <v>527.64</v>
          </cell>
        </row>
        <row r="564">
          <cell r="B564">
            <v>45626</v>
          </cell>
          <cell r="D564">
            <v>45645</v>
          </cell>
          <cell r="F564" t="str">
            <v>Africa</v>
          </cell>
          <cell r="G564" t="str">
            <v>Kenya</v>
          </cell>
          <cell r="H564" t="str">
            <v>Kisumu</v>
          </cell>
          <cell r="P564">
            <v>5.5E-2</v>
          </cell>
          <cell r="T564">
            <v>1841.9</v>
          </cell>
        </row>
        <row r="565">
          <cell r="B565">
            <v>45029</v>
          </cell>
          <cell r="D565">
            <v>45048</v>
          </cell>
          <cell r="F565" t="str">
            <v>Americas</v>
          </cell>
          <cell r="G565" t="str">
            <v>Canada</v>
          </cell>
          <cell r="H565" t="str">
            <v>Montreal</v>
          </cell>
          <cell r="P565">
            <v>0.13700000000000001</v>
          </cell>
          <cell r="T565">
            <v>1645.48</v>
          </cell>
        </row>
        <row r="566">
          <cell r="B566">
            <v>45692</v>
          </cell>
          <cell r="D566">
            <v>45696</v>
          </cell>
          <cell r="F566" t="str">
            <v>Europe</v>
          </cell>
          <cell r="G566" t="str">
            <v>United Kingdom</v>
          </cell>
          <cell r="H566" t="str">
            <v>Manchester</v>
          </cell>
          <cell r="P566">
            <v>6.8000000000000005E-2</v>
          </cell>
          <cell r="T566">
            <v>727.22</v>
          </cell>
        </row>
        <row r="567">
          <cell r="B567">
            <v>45315</v>
          </cell>
          <cell r="D567">
            <v>45326</v>
          </cell>
          <cell r="F567" t="str">
            <v>Europe</v>
          </cell>
          <cell r="G567" t="str">
            <v>United Kingdom</v>
          </cell>
          <cell r="H567" t="str">
            <v>Manchester</v>
          </cell>
          <cell r="P567">
            <v>0.14299999999999999</v>
          </cell>
          <cell r="T567">
            <v>1233.79</v>
          </cell>
        </row>
        <row r="568">
          <cell r="B568">
            <v>45330</v>
          </cell>
          <cell r="D568">
            <v>45331</v>
          </cell>
          <cell r="F568" t="str">
            <v>Africa</v>
          </cell>
          <cell r="G568" t="str">
            <v>Kenya</v>
          </cell>
          <cell r="H568" t="str">
            <v>Mombasa</v>
          </cell>
          <cell r="P568">
            <v>0.126</v>
          </cell>
          <cell r="T568">
            <v>1543.76</v>
          </cell>
        </row>
        <row r="569">
          <cell r="B569">
            <v>45834</v>
          </cell>
          <cell r="D569">
            <v>45849</v>
          </cell>
          <cell r="F569" t="str">
            <v>Africa</v>
          </cell>
          <cell r="G569" t="str">
            <v>Nigeria</v>
          </cell>
          <cell r="H569" t="str">
            <v>Port Harcourt</v>
          </cell>
          <cell r="P569">
            <v>9.1999999999999998E-2</v>
          </cell>
          <cell r="T569">
            <v>2115.19</v>
          </cell>
        </row>
        <row r="570">
          <cell r="B570">
            <v>45600</v>
          </cell>
          <cell r="D570">
            <v>45603</v>
          </cell>
          <cell r="F570" t="str">
            <v>Europe</v>
          </cell>
          <cell r="G570" t="str">
            <v>France</v>
          </cell>
          <cell r="H570" t="str">
            <v>Lyon</v>
          </cell>
          <cell r="P570">
            <v>0.19700000000000001</v>
          </cell>
          <cell r="T570">
            <v>1837.19</v>
          </cell>
        </row>
        <row r="571">
          <cell r="B571">
            <v>45342</v>
          </cell>
          <cell r="D571">
            <v>45342</v>
          </cell>
          <cell r="F571" t="str">
            <v>Americas</v>
          </cell>
          <cell r="G571" t="str">
            <v>USA</v>
          </cell>
          <cell r="H571" t="str">
            <v>New York</v>
          </cell>
          <cell r="P571">
            <v>0</v>
          </cell>
          <cell r="T571">
            <v>2858.93</v>
          </cell>
        </row>
        <row r="572">
          <cell r="B572">
            <v>45760</v>
          </cell>
          <cell r="D572">
            <v>45761</v>
          </cell>
          <cell r="F572" t="str">
            <v>Asia</v>
          </cell>
          <cell r="G572" t="str">
            <v>Japan</v>
          </cell>
          <cell r="H572" t="str">
            <v>Osaka</v>
          </cell>
          <cell r="P572">
            <v>2.9000000000000001E-2</v>
          </cell>
          <cell r="T572">
            <v>289.92</v>
          </cell>
        </row>
        <row r="573">
          <cell r="B573">
            <v>45078</v>
          </cell>
          <cell r="D573">
            <v>45078</v>
          </cell>
          <cell r="F573" t="str">
            <v>Asia</v>
          </cell>
          <cell r="G573" t="str">
            <v>India</v>
          </cell>
          <cell r="H573" t="str">
            <v>Bengaluru</v>
          </cell>
          <cell r="P573">
            <v>8.2000000000000003E-2</v>
          </cell>
          <cell r="T573">
            <v>997.2</v>
          </cell>
        </row>
        <row r="574">
          <cell r="B574">
            <v>45740</v>
          </cell>
          <cell r="D574">
            <v>45751</v>
          </cell>
          <cell r="F574" t="str">
            <v>Asia</v>
          </cell>
          <cell r="G574" t="str">
            <v>India</v>
          </cell>
          <cell r="H574" t="str">
            <v>Mumbai</v>
          </cell>
          <cell r="P574">
            <v>6.4000000000000001E-2</v>
          </cell>
          <cell r="T574">
            <v>47.29</v>
          </cell>
        </row>
        <row r="575">
          <cell r="B575">
            <v>45293</v>
          </cell>
          <cell r="D575">
            <v>45293</v>
          </cell>
          <cell r="F575" t="str">
            <v>Americas</v>
          </cell>
          <cell r="G575" t="str">
            <v>Canada</v>
          </cell>
          <cell r="H575" t="str">
            <v>Vancouver</v>
          </cell>
          <cell r="P575">
            <v>0.20699999999999999</v>
          </cell>
          <cell r="T575">
            <v>754.24</v>
          </cell>
        </row>
        <row r="576">
          <cell r="B576">
            <v>45279</v>
          </cell>
          <cell r="D576">
            <v>45292</v>
          </cell>
          <cell r="F576" t="str">
            <v>Americas</v>
          </cell>
          <cell r="G576" t="str">
            <v>Canada</v>
          </cell>
          <cell r="H576" t="str">
            <v>Toronto</v>
          </cell>
          <cell r="P576">
            <v>5.6000000000000001E-2</v>
          </cell>
          <cell r="T576">
            <v>901.48</v>
          </cell>
        </row>
        <row r="577">
          <cell r="B577">
            <v>45042</v>
          </cell>
          <cell r="D577">
            <v>45042</v>
          </cell>
          <cell r="F577" t="str">
            <v>Europe</v>
          </cell>
          <cell r="G577" t="str">
            <v>France</v>
          </cell>
          <cell r="H577" t="str">
            <v>Marseille</v>
          </cell>
          <cell r="P577">
            <v>0.121</v>
          </cell>
          <cell r="T577">
            <v>113.08</v>
          </cell>
        </row>
        <row r="578">
          <cell r="B578">
            <v>45872</v>
          </cell>
          <cell r="D578">
            <v>45885</v>
          </cell>
          <cell r="F578" t="str">
            <v>Americas</v>
          </cell>
          <cell r="G578" t="str">
            <v>Canada</v>
          </cell>
          <cell r="H578" t="str">
            <v>Montreal</v>
          </cell>
          <cell r="P578">
            <v>7.1999999999999995E-2</v>
          </cell>
          <cell r="T578">
            <v>868.62</v>
          </cell>
        </row>
        <row r="579">
          <cell r="B579">
            <v>45140</v>
          </cell>
          <cell r="D579">
            <v>45157</v>
          </cell>
          <cell r="F579" t="str">
            <v>Americas</v>
          </cell>
          <cell r="G579" t="str">
            <v>Canada</v>
          </cell>
          <cell r="H579" t="str">
            <v>Vancouver</v>
          </cell>
          <cell r="P579">
            <v>7.1999999999999995E-2</v>
          </cell>
          <cell r="T579">
            <v>347.9</v>
          </cell>
        </row>
        <row r="580">
          <cell r="B580">
            <v>45092</v>
          </cell>
          <cell r="D580">
            <v>45119</v>
          </cell>
          <cell r="F580" t="str">
            <v>Europe</v>
          </cell>
          <cell r="G580" t="str">
            <v>United Kingdom</v>
          </cell>
          <cell r="H580" t="str">
            <v>Manchester</v>
          </cell>
          <cell r="P580">
            <v>0.13500000000000001</v>
          </cell>
          <cell r="T580">
            <v>1111.8800000000001</v>
          </cell>
        </row>
        <row r="581">
          <cell r="B581">
            <v>45607</v>
          </cell>
          <cell r="D581">
            <v>45620</v>
          </cell>
          <cell r="F581" t="str">
            <v>Europe</v>
          </cell>
          <cell r="G581" t="str">
            <v>United Kingdom</v>
          </cell>
          <cell r="H581" t="str">
            <v>London</v>
          </cell>
          <cell r="P581">
            <v>6.7000000000000004E-2</v>
          </cell>
          <cell r="T581">
            <v>327.72</v>
          </cell>
        </row>
        <row r="582">
          <cell r="B582">
            <v>45849</v>
          </cell>
          <cell r="D582">
            <v>45872</v>
          </cell>
          <cell r="F582" t="str">
            <v>Africa</v>
          </cell>
          <cell r="G582" t="str">
            <v>Kenya</v>
          </cell>
          <cell r="H582" t="str">
            <v>Nakuru</v>
          </cell>
          <cell r="P582">
            <v>0.13200000000000001</v>
          </cell>
          <cell r="T582">
            <v>486.13</v>
          </cell>
        </row>
        <row r="583">
          <cell r="B583">
            <v>45080</v>
          </cell>
          <cell r="D583">
            <v>45108</v>
          </cell>
          <cell r="F583" t="str">
            <v>Americas</v>
          </cell>
          <cell r="G583" t="str">
            <v>Brazil</v>
          </cell>
          <cell r="H583" t="str">
            <v>Brasília</v>
          </cell>
          <cell r="P583">
            <v>0.01</v>
          </cell>
          <cell r="T583">
            <v>2066.6</v>
          </cell>
        </row>
        <row r="584">
          <cell r="B584">
            <v>44955</v>
          </cell>
          <cell r="D584">
            <v>44963</v>
          </cell>
          <cell r="F584" t="str">
            <v>Americas</v>
          </cell>
          <cell r="G584" t="str">
            <v>Brazil</v>
          </cell>
          <cell r="H584" t="str">
            <v>Brasília</v>
          </cell>
          <cell r="P584">
            <v>0.22600000000000001</v>
          </cell>
          <cell r="T584">
            <v>86.2</v>
          </cell>
        </row>
        <row r="585">
          <cell r="B585">
            <v>45541</v>
          </cell>
          <cell r="D585">
            <v>45548</v>
          </cell>
          <cell r="F585" t="str">
            <v>Asia</v>
          </cell>
          <cell r="G585" t="str">
            <v>Japan</v>
          </cell>
          <cell r="H585" t="str">
            <v>Osaka</v>
          </cell>
          <cell r="P585">
            <v>0.16300000000000001</v>
          </cell>
          <cell r="T585">
            <v>2307.75</v>
          </cell>
        </row>
        <row r="586">
          <cell r="B586">
            <v>45507</v>
          </cell>
          <cell r="D586">
            <v>45513</v>
          </cell>
          <cell r="F586" t="str">
            <v>Africa</v>
          </cell>
          <cell r="G586" t="str">
            <v>Kenya</v>
          </cell>
          <cell r="H586" t="str">
            <v>Mombasa</v>
          </cell>
          <cell r="P586">
            <v>0.14099999999999999</v>
          </cell>
          <cell r="T586">
            <v>1112.81</v>
          </cell>
        </row>
        <row r="587">
          <cell r="B587">
            <v>45764</v>
          </cell>
          <cell r="D587">
            <v>45764</v>
          </cell>
          <cell r="F587" t="str">
            <v>Americas</v>
          </cell>
          <cell r="G587" t="str">
            <v>Brazil</v>
          </cell>
          <cell r="H587" t="str">
            <v>São Paulo</v>
          </cell>
          <cell r="P587">
            <v>4.1000000000000002E-2</v>
          </cell>
          <cell r="T587">
            <v>1125.99</v>
          </cell>
        </row>
        <row r="588">
          <cell r="B588">
            <v>45049</v>
          </cell>
          <cell r="D588">
            <v>45062</v>
          </cell>
          <cell r="F588" t="str">
            <v>Americas</v>
          </cell>
          <cell r="G588" t="str">
            <v>USA</v>
          </cell>
          <cell r="H588" t="str">
            <v>New York</v>
          </cell>
          <cell r="P588">
            <v>0</v>
          </cell>
          <cell r="T588">
            <v>123.62</v>
          </cell>
        </row>
        <row r="589">
          <cell r="B589">
            <v>45364</v>
          </cell>
          <cell r="D589">
            <v>45388</v>
          </cell>
          <cell r="F589" t="str">
            <v>Africa</v>
          </cell>
          <cell r="G589" t="str">
            <v>Nigeria</v>
          </cell>
          <cell r="H589" t="str">
            <v>Abuja</v>
          </cell>
          <cell r="P589">
            <v>9.2999999999999999E-2</v>
          </cell>
          <cell r="T589">
            <v>1731.75</v>
          </cell>
        </row>
        <row r="590">
          <cell r="B590">
            <v>45459</v>
          </cell>
          <cell r="D590">
            <v>45464</v>
          </cell>
          <cell r="F590" t="str">
            <v>Asia</v>
          </cell>
          <cell r="G590" t="str">
            <v>Japan</v>
          </cell>
          <cell r="H590" t="str">
            <v>Tokyo</v>
          </cell>
          <cell r="P590">
            <v>0.10299999999999999</v>
          </cell>
          <cell r="T590">
            <v>3062.01</v>
          </cell>
        </row>
        <row r="591">
          <cell r="B591">
            <v>45703</v>
          </cell>
          <cell r="D591">
            <v>45715</v>
          </cell>
          <cell r="F591" t="str">
            <v>Europe</v>
          </cell>
          <cell r="G591" t="str">
            <v>France</v>
          </cell>
          <cell r="H591" t="str">
            <v>Lyon</v>
          </cell>
          <cell r="P591">
            <v>8.7999999999999995E-2</v>
          </cell>
          <cell r="T591">
            <v>2200.41</v>
          </cell>
        </row>
        <row r="592">
          <cell r="B592">
            <v>45019</v>
          </cell>
          <cell r="D592">
            <v>45032</v>
          </cell>
          <cell r="F592" t="str">
            <v>Europe</v>
          </cell>
          <cell r="G592" t="str">
            <v>France</v>
          </cell>
          <cell r="H592" t="str">
            <v>Marseille</v>
          </cell>
          <cell r="P592">
            <v>0</v>
          </cell>
          <cell r="T592">
            <v>601.49</v>
          </cell>
        </row>
        <row r="593">
          <cell r="B593">
            <v>45899</v>
          </cell>
          <cell r="D593">
            <v>45922</v>
          </cell>
          <cell r="F593" t="str">
            <v>Europe</v>
          </cell>
          <cell r="G593" t="str">
            <v>France</v>
          </cell>
          <cell r="H593" t="str">
            <v>Marseille</v>
          </cell>
          <cell r="P593">
            <v>0.17399999999999999</v>
          </cell>
          <cell r="T593">
            <v>947.77</v>
          </cell>
        </row>
        <row r="594">
          <cell r="B594">
            <v>44984</v>
          </cell>
          <cell r="D594">
            <v>44991</v>
          </cell>
          <cell r="F594" t="str">
            <v>Americas</v>
          </cell>
          <cell r="G594" t="str">
            <v>USA</v>
          </cell>
          <cell r="H594" t="str">
            <v>San Francisco</v>
          </cell>
          <cell r="P594">
            <v>0.14599999999999999</v>
          </cell>
          <cell r="T594">
            <v>2331.48</v>
          </cell>
        </row>
        <row r="595">
          <cell r="B595">
            <v>45504</v>
          </cell>
          <cell r="D595">
            <v>45519</v>
          </cell>
          <cell r="F595" t="str">
            <v>Asia</v>
          </cell>
          <cell r="G595" t="str">
            <v>Japan</v>
          </cell>
          <cell r="H595" t="str">
            <v>Tokyo</v>
          </cell>
          <cell r="P595">
            <v>0.192</v>
          </cell>
          <cell r="T595">
            <v>1417.24</v>
          </cell>
        </row>
        <row r="596">
          <cell r="B596">
            <v>45823</v>
          </cell>
          <cell r="D596">
            <v>45850</v>
          </cell>
          <cell r="F596" t="str">
            <v>Europe</v>
          </cell>
          <cell r="G596" t="str">
            <v>France</v>
          </cell>
          <cell r="H596" t="str">
            <v>Marseille</v>
          </cell>
          <cell r="P596">
            <v>0.08</v>
          </cell>
          <cell r="T596">
            <v>699.5</v>
          </cell>
        </row>
        <row r="597">
          <cell r="B597">
            <v>45473</v>
          </cell>
          <cell r="D597">
            <v>45494</v>
          </cell>
          <cell r="F597" t="str">
            <v>Africa</v>
          </cell>
          <cell r="G597" t="str">
            <v>Kenya</v>
          </cell>
          <cell r="H597" t="str">
            <v>Kisumu</v>
          </cell>
          <cell r="P597">
            <v>7.2999999999999995E-2</v>
          </cell>
          <cell r="T597">
            <v>1787.2</v>
          </cell>
        </row>
        <row r="598">
          <cell r="B598">
            <v>45705</v>
          </cell>
          <cell r="D598">
            <v>45712</v>
          </cell>
          <cell r="F598" t="str">
            <v>Americas</v>
          </cell>
          <cell r="G598" t="str">
            <v>Canada</v>
          </cell>
          <cell r="H598" t="str">
            <v>Toronto</v>
          </cell>
          <cell r="P598">
            <v>4.2999999999999997E-2</v>
          </cell>
          <cell r="T598">
            <v>1698.75</v>
          </cell>
        </row>
        <row r="599">
          <cell r="B599">
            <v>44933</v>
          </cell>
          <cell r="D599">
            <v>44956</v>
          </cell>
          <cell r="F599" t="str">
            <v>Africa</v>
          </cell>
          <cell r="G599" t="str">
            <v>South Africa</v>
          </cell>
          <cell r="H599" t="str">
            <v>Cape Town</v>
          </cell>
          <cell r="P599">
            <v>0.14000000000000001</v>
          </cell>
          <cell r="T599">
            <v>724.7</v>
          </cell>
        </row>
        <row r="600">
          <cell r="B600">
            <v>45726</v>
          </cell>
          <cell r="D600">
            <v>45751</v>
          </cell>
          <cell r="F600" t="str">
            <v>Asia</v>
          </cell>
          <cell r="G600" t="str">
            <v>Japan</v>
          </cell>
          <cell r="H600" t="str">
            <v>Osaka</v>
          </cell>
          <cell r="P600">
            <v>0.187</v>
          </cell>
          <cell r="T600">
            <v>1355.94</v>
          </cell>
        </row>
        <row r="601">
          <cell r="B601">
            <v>45521</v>
          </cell>
          <cell r="D601">
            <v>45528</v>
          </cell>
          <cell r="F601" t="str">
            <v>Americas</v>
          </cell>
          <cell r="G601" t="str">
            <v>Brazil</v>
          </cell>
          <cell r="H601" t="str">
            <v>Rio de Janeiro</v>
          </cell>
          <cell r="P601">
            <v>0.13300000000000001</v>
          </cell>
          <cell r="T601">
            <v>275.07</v>
          </cell>
        </row>
        <row r="602">
          <cell r="B602">
            <v>45360</v>
          </cell>
          <cell r="D602">
            <v>45373</v>
          </cell>
          <cell r="F602" t="str">
            <v>Europe</v>
          </cell>
          <cell r="G602" t="str">
            <v>United Kingdom</v>
          </cell>
          <cell r="H602" t="str">
            <v>Manchester</v>
          </cell>
          <cell r="P602">
            <v>8.9999999999999993E-3</v>
          </cell>
          <cell r="T602">
            <v>1802.44</v>
          </cell>
        </row>
        <row r="603">
          <cell r="B603">
            <v>45523</v>
          </cell>
          <cell r="D603">
            <v>45537</v>
          </cell>
          <cell r="F603" t="str">
            <v>Americas</v>
          </cell>
          <cell r="G603" t="str">
            <v>Canada</v>
          </cell>
          <cell r="H603" t="str">
            <v>Toronto</v>
          </cell>
          <cell r="P603">
            <v>0.16</v>
          </cell>
          <cell r="T603">
            <v>1269.78</v>
          </cell>
        </row>
        <row r="604">
          <cell r="B604">
            <v>45880</v>
          </cell>
          <cell r="D604">
            <v>45897</v>
          </cell>
          <cell r="F604" t="str">
            <v>Europe</v>
          </cell>
          <cell r="G604" t="str">
            <v>France</v>
          </cell>
          <cell r="H604" t="str">
            <v>Paris</v>
          </cell>
          <cell r="P604">
            <v>7.0999999999999994E-2</v>
          </cell>
          <cell r="T604">
            <v>571.9</v>
          </cell>
        </row>
        <row r="605">
          <cell r="B605">
            <v>45793</v>
          </cell>
          <cell r="D605">
            <v>45795</v>
          </cell>
          <cell r="F605" t="str">
            <v>Asia</v>
          </cell>
          <cell r="G605" t="str">
            <v>Japan</v>
          </cell>
          <cell r="H605" t="str">
            <v>Tokyo</v>
          </cell>
          <cell r="P605">
            <v>0.15</v>
          </cell>
          <cell r="T605">
            <v>2755.04</v>
          </cell>
        </row>
        <row r="606">
          <cell r="B606">
            <v>45026</v>
          </cell>
          <cell r="D606">
            <v>45041</v>
          </cell>
          <cell r="F606" t="str">
            <v>Europe</v>
          </cell>
          <cell r="G606" t="str">
            <v>United Kingdom</v>
          </cell>
          <cell r="H606" t="str">
            <v>London</v>
          </cell>
          <cell r="P606">
            <v>0.19</v>
          </cell>
          <cell r="T606">
            <v>962.51</v>
          </cell>
        </row>
        <row r="607">
          <cell r="B607">
            <v>45186</v>
          </cell>
          <cell r="D607">
            <v>45201</v>
          </cell>
          <cell r="F607" t="str">
            <v>Americas</v>
          </cell>
          <cell r="G607" t="str">
            <v>Brazil</v>
          </cell>
          <cell r="H607" t="str">
            <v>Rio de Janeiro</v>
          </cell>
          <cell r="P607">
            <v>0.186</v>
          </cell>
          <cell r="T607">
            <v>668.27</v>
          </cell>
        </row>
        <row r="608">
          <cell r="B608">
            <v>45038</v>
          </cell>
          <cell r="D608">
            <v>45060</v>
          </cell>
          <cell r="F608" t="str">
            <v>Asia</v>
          </cell>
          <cell r="G608" t="str">
            <v>Japan</v>
          </cell>
          <cell r="H608" t="str">
            <v>Nagoya</v>
          </cell>
          <cell r="P608">
            <v>0.10299999999999999</v>
          </cell>
          <cell r="T608">
            <v>1404.33</v>
          </cell>
        </row>
        <row r="609">
          <cell r="B609">
            <v>45827</v>
          </cell>
          <cell r="D609">
            <v>45829</v>
          </cell>
          <cell r="F609" t="str">
            <v>Africa</v>
          </cell>
          <cell r="G609" t="str">
            <v>South Africa</v>
          </cell>
          <cell r="H609" t="str">
            <v>Johannesburg</v>
          </cell>
          <cell r="P609">
            <v>9.7000000000000003E-2</v>
          </cell>
          <cell r="T609">
            <v>3589.89</v>
          </cell>
        </row>
        <row r="610">
          <cell r="B610">
            <v>45623</v>
          </cell>
          <cell r="D610">
            <v>45650</v>
          </cell>
          <cell r="F610" t="str">
            <v>Africa</v>
          </cell>
          <cell r="G610" t="str">
            <v>Kenya</v>
          </cell>
          <cell r="H610" t="str">
            <v>Mombasa</v>
          </cell>
          <cell r="P610">
            <v>0.16300000000000001</v>
          </cell>
          <cell r="T610">
            <v>233.51</v>
          </cell>
        </row>
        <row r="611">
          <cell r="B611">
            <v>45319</v>
          </cell>
          <cell r="D611">
            <v>45326</v>
          </cell>
          <cell r="F611" t="str">
            <v>Africa</v>
          </cell>
          <cell r="G611" t="str">
            <v>South Africa</v>
          </cell>
          <cell r="H611" t="str">
            <v>Cape Town</v>
          </cell>
          <cell r="P611">
            <v>0.12</v>
          </cell>
          <cell r="T611">
            <v>124.25</v>
          </cell>
        </row>
        <row r="612">
          <cell r="B612">
            <v>45032</v>
          </cell>
          <cell r="D612">
            <v>45039</v>
          </cell>
          <cell r="F612" t="str">
            <v>Americas</v>
          </cell>
          <cell r="G612" t="str">
            <v>USA</v>
          </cell>
          <cell r="H612" t="str">
            <v>Austin</v>
          </cell>
          <cell r="P612">
            <v>0.104</v>
          </cell>
          <cell r="T612">
            <v>1431.37</v>
          </cell>
        </row>
        <row r="613">
          <cell r="B613">
            <v>45323</v>
          </cell>
          <cell r="D613">
            <v>45323</v>
          </cell>
          <cell r="F613" t="str">
            <v>Americas</v>
          </cell>
          <cell r="G613" t="str">
            <v>USA</v>
          </cell>
          <cell r="H613" t="str">
            <v>Austin</v>
          </cell>
          <cell r="P613">
            <v>0.19400000000000001</v>
          </cell>
          <cell r="T613">
            <v>1595.52</v>
          </cell>
        </row>
        <row r="614">
          <cell r="B614">
            <v>45584</v>
          </cell>
          <cell r="D614">
            <v>45602</v>
          </cell>
          <cell r="F614" t="str">
            <v>Americas</v>
          </cell>
          <cell r="G614" t="str">
            <v>USA</v>
          </cell>
          <cell r="H614" t="str">
            <v>Chicago</v>
          </cell>
          <cell r="P614">
            <v>0</v>
          </cell>
          <cell r="T614">
            <v>1028.46</v>
          </cell>
        </row>
        <row r="615">
          <cell r="B615">
            <v>45468</v>
          </cell>
          <cell r="D615">
            <v>45473</v>
          </cell>
          <cell r="F615" t="str">
            <v>Africa</v>
          </cell>
          <cell r="G615" t="str">
            <v>Kenya</v>
          </cell>
          <cell r="H615" t="str">
            <v>Kisumu</v>
          </cell>
          <cell r="P615">
            <v>2.1999999999999999E-2</v>
          </cell>
          <cell r="T615">
            <v>3230.35</v>
          </cell>
        </row>
        <row r="616">
          <cell r="B616">
            <v>45137</v>
          </cell>
          <cell r="D616">
            <v>45157</v>
          </cell>
          <cell r="F616" t="str">
            <v>Europe</v>
          </cell>
          <cell r="G616" t="str">
            <v>France</v>
          </cell>
          <cell r="H616" t="str">
            <v>Paris</v>
          </cell>
          <cell r="P616">
            <v>0.17100000000000001</v>
          </cell>
          <cell r="T616">
            <v>2789.61</v>
          </cell>
        </row>
        <row r="617">
          <cell r="B617">
            <v>45727</v>
          </cell>
          <cell r="D617">
            <v>45743</v>
          </cell>
          <cell r="F617" t="str">
            <v>Asia</v>
          </cell>
          <cell r="G617" t="str">
            <v>Japan</v>
          </cell>
          <cell r="H617" t="str">
            <v>Tokyo</v>
          </cell>
          <cell r="P617">
            <v>8.1000000000000003E-2</v>
          </cell>
          <cell r="T617">
            <v>1897.74</v>
          </cell>
        </row>
        <row r="618">
          <cell r="B618">
            <v>45208</v>
          </cell>
          <cell r="D618">
            <v>45210</v>
          </cell>
          <cell r="F618" t="str">
            <v>Africa</v>
          </cell>
          <cell r="G618" t="str">
            <v>Nigeria</v>
          </cell>
          <cell r="H618" t="str">
            <v>Port Harcourt</v>
          </cell>
          <cell r="P618">
            <v>4.0000000000000001E-3</v>
          </cell>
          <cell r="T618">
            <v>902.47</v>
          </cell>
        </row>
        <row r="619">
          <cell r="B619">
            <v>45643</v>
          </cell>
          <cell r="D619">
            <v>45673</v>
          </cell>
          <cell r="F619" t="str">
            <v>Europe</v>
          </cell>
          <cell r="G619" t="str">
            <v>United Kingdom</v>
          </cell>
          <cell r="H619" t="str">
            <v>Manchester</v>
          </cell>
          <cell r="P619">
            <v>0.10199999999999999</v>
          </cell>
          <cell r="T619" t="str">
            <v>1193.87</v>
          </cell>
        </row>
        <row r="620">
          <cell r="B620">
            <v>45849</v>
          </cell>
          <cell r="D620">
            <v>45854</v>
          </cell>
          <cell r="F620" t="str">
            <v>Europe</v>
          </cell>
          <cell r="G620" t="str">
            <v>United Kingdom</v>
          </cell>
          <cell r="H620" t="str">
            <v>London</v>
          </cell>
          <cell r="P620">
            <v>0.109</v>
          </cell>
          <cell r="T620">
            <v>1086.68</v>
          </cell>
        </row>
        <row r="621">
          <cell r="B621">
            <v>45578</v>
          </cell>
          <cell r="D621">
            <v>45589</v>
          </cell>
          <cell r="F621" t="str">
            <v>Europe</v>
          </cell>
          <cell r="G621" t="str">
            <v>France</v>
          </cell>
          <cell r="H621" t="str">
            <v>Paris</v>
          </cell>
          <cell r="P621">
            <v>4.7E-2</v>
          </cell>
          <cell r="T621">
            <v>1010.75</v>
          </cell>
        </row>
        <row r="622">
          <cell r="B622">
            <v>45177</v>
          </cell>
          <cell r="D622">
            <v>45183</v>
          </cell>
          <cell r="F622" t="str">
            <v>Africa</v>
          </cell>
          <cell r="G622" t="str">
            <v>Kenya</v>
          </cell>
          <cell r="H622" t="str">
            <v>Nakuru</v>
          </cell>
          <cell r="P622">
            <v>0.16500000000000001</v>
          </cell>
          <cell r="T622">
            <v>411.48</v>
          </cell>
        </row>
        <row r="623">
          <cell r="B623">
            <v>45764</v>
          </cell>
          <cell r="D623">
            <v>45780</v>
          </cell>
          <cell r="F623" t="str">
            <v>Americas</v>
          </cell>
          <cell r="G623" t="str">
            <v>Brazil</v>
          </cell>
          <cell r="H623" t="str">
            <v>Rio de Janeiro</v>
          </cell>
          <cell r="P623">
            <v>0.186</v>
          </cell>
          <cell r="T623">
            <v>413.34</v>
          </cell>
        </row>
        <row r="624">
          <cell r="B624">
            <v>45501</v>
          </cell>
          <cell r="D624">
            <v>45527</v>
          </cell>
          <cell r="F624" t="str">
            <v>Asia</v>
          </cell>
          <cell r="G624" t="str">
            <v>India</v>
          </cell>
          <cell r="H624" t="str">
            <v>Hyderabad</v>
          </cell>
          <cell r="P624">
            <v>0.192</v>
          </cell>
          <cell r="T624">
            <v>1558.89</v>
          </cell>
        </row>
        <row r="625">
          <cell r="B625">
            <v>45857</v>
          </cell>
          <cell r="D625">
            <v>45869</v>
          </cell>
          <cell r="F625" t="str">
            <v>Africa</v>
          </cell>
          <cell r="G625" t="str">
            <v>Kenya</v>
          </cell>
          <cell r="H625" t="str">
            <v>Nairobi</v>
          </cell>
          <cell r="P625">
            <v>0.113</v>
          </cell>
          <cell r="T625">
            <v>861.16</v>
          </cell>
        </row>
        <row r="626">
          <cell r="B626">
            <v>45141</v>
          </cell>
          <cell r="D626">
            <v>45148</v>
          </cell>
          <cell r="F626" t="str">
            <v>Asia</v>
          </cell>
          <cell r="G626" t="str">
            <v>China</v>
          </cell>
          <cell r="H626" t="str">
            <v>Shanghai</v>
          </cell>
          <cell r="P626">
            <v>0.161</v>
          </cell>
          <cell r="T626">
            <v>2296.25</v>
          </cell>
        </row>
        <row r="627">
          <cell r="B627">
            <v>45249</v>
          </cell>
          <cell r="D627">
            <v>45272</v>
          </cell>
          <cell r="F627" t="str">
            <v>Asia</v>
          </cell>
          <cell r="G627" t="str">
            <v>India</v>
          </cell>
          <cell r="H627" t="str">
            <v>Delhi</v>
          </cell>
          <cell r="P627">
            <v>0.114</v>
          </cell>
          <cell r="T627">
            <v>2636.6</v>
          </cell>
        </row>
        <row r="628">
          <cell r="B628">
            <v>45282</v>
          </cell>
          <cell r="D628">
            <v>45307</v>
          </cell>
          <cell r="F628" t="str">
            <v>Asia</v>
          </cell>
          <cell r="G628" t="str">
            <v>India</v>
          </cell>
          <cell r="H628" t="str">
            <v>Hyderabad</v>
          </cell>
          <cell r="P628">
            <v>0.159</v>
          </cell>
          <cell r="T628">
            <v>978.09</v>
          </cell>
        </row>
        <row r="629">
          <cell r="B629">
            <v>45141</v>
          </cell>
          <cell r="D629">
            <v>45168</v>
          </cell>
          <cell r="F629" t="str">
            <v>Asia</v>
          </cell>
          <cell r="G629" t="str">
            <v>China</v>
          </cell>
          <cell r="H629" t="str">
            <v>Shanghai</v>
          </cell>
          <cell r="P629">
            <v>0.151</v>
          </cell>
          <cell r="T629">
            <v>545.72</v>
          </cell>
        </row>
        <row r="630">
          <cell r="B630">
            <v>45100</v>
          </cell>
          <cell r="D630">
            <v>45125</v>
          </cell>
          <cell r="F630" t="str">
            <v>Americas</v>
          </cell>
          <cell r="G630" t="str">
            <v>Canada</v>
          </cell>
          <cell r="H630" t="str">
            <v>Vancouver</v>
          </cell>
          <cell r="P630">
            <v>0</v>
          </cell>
          <cell r="T630">
            <v>1435.54</v>
          </cell>
        </row>
        <row r="631">
          <cell r="B631">
            <v>45267</v>
          </cell>
          <cell r="D631">
            <v>45293</v>
          </cell>
          <cell r="F631" t="str">
            <v>Europe</v>
          </cell>
          <cell r="G631" t="str">
            <v>Germany</v>
          </cell>
          <cell r="H631" t="str">
            <v>Frankfurt</v>
          </cell>
          <cell r="P631">
            <v>6.2E-2</v>
          </cell>
          <cell r="T631">
            <v>2397.3000000000002</v>
          </cell>
        </row>
        <row r="632">
          <cell r="B632">
            <v>45249</v>
          </cell>
          <cell r="D632">
            <v>45279</v>
          </cell>
          <cell r="F632" t="str">
            <v>Asia</v>
          </cell>
          <cell r="G632" t="str">
            <v>Japan</v>
          </cell>
          <cell r="H632" t="str">
            <v>Nagoya</v>
          </cell>
          <cell r="P632">
            <v>0.13900000000000001</v>
          </cell>
          <cell r="T632">
            <v>1853.86</v>
          </cell>
        </row>
        <row r="633">
          <cell r="B633">
            <v>45716</v>
          </cell>
          <cell r="F633" t="str">
            <v>Asia</v>
          </cell>
          <cell r="G633" t="str">
            <v>Japan</v>
          </cell>
          <cell r="H633" t="str">
            <v>Osaka</v>
          </cell>
          <cell r="P633">
            <v>0.17299999999999999</v>
          </cell>
          <cell r="T633">
            <v>45.98</v>
          </cell>
        </row>
      </sheetData>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Excel_Assignment%20and%20Brief%20(Autosaved)%20(1)%20(Repaired)%20(1).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6054.72369953704" createdVersion="6" refreshedVersion="6" minRefreshableVersion="3" recordCount="632">
  <cacheSource type="worksheet">
    <worksheetSource ref="A1:X633" sheet="Working data"/>
  </cacheSource>
  <cacheFields count="26">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7">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25" base="1">
        <rangePr groupBy="months" startDate="2023-01-02T00:00:00" endDate="2025-09-16T00:00:00"/>
        <groupItems count="14">
          <s v="&lt;1/2/2023"/>
          <s v="Jan"/>
          <s v="Feb"/>
          <s v="Mar"/>
          <s v="Apr"/>
          <s v="May"/>
          <s v="Jun"/>
          <s v="Jul"/>
          <s v="Aug"/>
          <s v="Sep"/>
          <s v="Oct"/>
          <s v="Nov"/>
          <s v="Dec"/>
          <s v="&gt;9/16/2025"/>
        </groupItems>
      </fieldGroup>
    </cacheField>
    <cacheField name="RequiredDate" numFmtId="14">
      <sharedItems containsSemiMixedTypes="0" containsNonDate="0" containsDate="1" containsString="0" minDate="2023-01-05T00:00:00" maxDate="2025-10-06T00:00:00"/>
    </cacheField>
    <cacheField name="New Required Date" numFmtId="14">
      <sharedItems containsSemiMixedTypes="0" containsNonDate="0" containsDate="1" containsString="0" minDate="2023-01-05T00:00:00" maxDate="2025-10-06T00:00:00"/>
    </cacheField>
    <cacheField name="LeadTimeDays " numFmtId="0">
      <sharedItems containsSemiMixedTypes="0" containsString="0" containsNumber="1" containsInteger="1" minValue="0" maxValue="30"/>
    </cacheField>
    <cacheField name="Quarter Period Year" numFmtId="0">
      <sharedItems/>
    </cacheField>
    <cacheField name="Region" numFmtId="0">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ount="7">
        <s v="Components"/>
        <s v="Printers"/>
        <s v="Networking"/>
        <s v="Phones"/>
        <s v="Laptops"/>
        <s v="Monitors"/>
        <s v="Accessories"/>
      </sharedItems>
    </cacheField>
    <cacheField name="Percentage" numFmtId="0">
      <sharedItems containsSemiMixedTypes="0" containsString="0" containsNumber="1" minValue="1.7073934872946381E-4" maxValue="1.274405677716935"/>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Unit Price&lt;Unit Cost" numFmtId="2">
      <sharedItems/>
    </cacheField>
    <cacheField name="DiscountPct" numFmtId="0">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0">
      <sharedItems containsSemiMixedTypes="0" containsString="0" containsNumber="1" minValue="18.659839999999999" maxValue="139277.83032000001" count="632">
        <n v="4866.3287999999993"/>
        <n v="17960.432489999999"/>
        <n v="319.72248000000002"/>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272.98599999999999"/>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sharedItems>
    </cacheField>
    <cacheField name="Cost of goods" numFmtId="0">
      <sharedItems containsSemiMixedTypes="0" containsString="0" containsNumber="1" minValue="22" maxValue="83258.290000000008"/>
    </cacheField>
    <cacheField name="Gross Profit" numFmtId="0">
      <sharedItems containsSemiMixedTypes="0" containsString="0" containsNumber="1" minValue="-68355.013999999996" maxValue="65188.659999999996"/>
    </cacheField>
    <cacheField name="Margin Pct" numFmtId="0">
      <sharedItems containsSemiMixedTypes="0" containsString="0" containsNumber="1" minValue="-250.39750756449047" maxValue="0.59672531214528945"/>
    </cacheField>
    <cacheField name="Quarters" numFmtId="0" databaseField="0">
      <fieldGroup base="1">
        <rangePr groupBy="quarters" startDate="2023-01-02T00:00:00" endDate="2025-09-16T00:00:00"/>
        <groupItems count="6">
          <s v="&lt;1/2/2023"/>
          <s v="Qtr1"/>
          <s v="Qtr2"/>
          <s v="Qtr3"/>
          <s v="Qtr4"/>
          <s v="&gt;9/16/2025"/>
        </groupItems>
      </fieldGroup>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054.732898958333" createdVersion="6" refreshedVersion="6" minRefreshableVersion="3" recordCount="633">
  <cacheSource type="worksheet">
    <worksheetSource ref="A1:X634" sheet="Working data"/>
  </cacheSource>
  <cacheFields count="26">
    <cacheField name="OrderID" numFmtId="0">
      <sharedItems containsBlank="1"/>
    </cacheField>
    <cacheField name="OrderDate" numFmtId="17">
      <sharedItems containsNonDate="0" containsDate="1" containsString="0" containsBlank="1" minDate="2023-01-02T00:00:00" maxDate="2025-09-16T00:00:00" count="469">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m/>
      </sharedItems>
      <fieldGroup par="25" base="1">
        <rangePr groupBy="months" startDate="2023-01-02T00:00:00" endDate="2025-09-16T00:00:00"/>
        <groupItems count="14">
          <s v="(blank)"/>
          <s v="Jan"/>
          <s v="Feb"/>
          <s v="Mar"/>
          <s v="Apr"/>
          <s v="May"/>
          <s v="Jun"/>
          <s v="Jul"/>
          <s v="Aug"/>
          <s v="Sep"/>
          <s v="Oct"/>
          <s v="Nov"/>
          <s v="Dec"/>
          <s v="&gt;9/16/2025"/>
        </groupItems>
      </fieldGroup>
    </cacheField>
    <cacheField name="RequiredDate" numFmtId="14">
      <sharedItems containsNonDate="0" containsDate="1" containsString="0" containsBlank="1" minDate="2023-01-05T00:00:00" maxDate="2025-10-06T00:00:00"/>
    </cacheField>
    <cacheField name="New Required Date" numFmtId="14">
      <sharedItems containsNonDate="0" containsDate="1" containsString="0" containsBlank="1" minDate="2023-01-05T00:00:00" maxDate="2025-10-06T00:00:00"/>
    </cacheField>
    <cacheField name="LeadTimeDays " numFmtId="0">
      <sharedItems containsString="0" containsBlank="1" containsNumber="1" containsInteger="1" minValue="0" maxValue="30"/>
    </cacheField>
    <cacheField name="Quarter Period Year" numFmtId="0">
      <sharedItems containsBlank="1"/>
    </cacheField>
    <cacheField name="Region" numFmtId="0">
      <sharedItems containsBlank="1" count="5">
        <s v="Africa"/>
        <s v="Asia"/>
        <s v="Americas"/>
        <s v="Europe"/>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ount="41">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not provided"/>
        <s v="Austin"/>
        <s v="Frankfurt"/>
        <s v="Beijing"/>
        <s v="New York"/>
        <m/>
      </sharedItems>
    </cacheField>
    <cacheField name="CustomerSegment" numFmtId="0">
      <sharedItems containsBlank="1"/>
    </cacheField>
    <cacheField name="Channel" numFmtId="0">
      <sharedItems containsBlank="1"/>
    </cacheField>
    <cacheField name="Salesperson" numFmtId="0">
      <sharedItems containsBlank="1" count="17">
        <s v="C. Otieno"/>
        <s v="J. Njeri"/>
        <s v="I. Johnson"/>
        <s v="G. Dubois"/>
        <s v="L. Okafor"/>
        <s v="B. Chen"/>
        <s v="E. Garcia"/>
        <s v="O. Wang"/>
        <s v="A. Patel"/>
        <s v="F. Müller"/>
        <s v="H. Kim"/>
        <s v="K. Singh"/>
        <s v="M. Rossi"/>
        <s v="N. Brown"/>
        <s v="D. Smith"/>
        <s v="not provided"/>
        <m/>
      </sharedItems>
    </cacheField>
    <cacheField name="ProductCategory" numFmtId="0">
      <sharedItems containsBlank="1"/>
    </cacheField>
    <cacheField name="Percentage" numFmtId="0">
      <sharedItems containsString="0" containsBlank="1" containsNumber="1" minValue="1.7073934872946381E-4" maxValue="1.274405677716935"/>
    </cacheField>
    <cacheField name="SKU" numFmtId="0">
      <sharedItems containsBlank="1"/>
    </cacheField>
    <cacheField name="UnitCost" numFmtId="2">
      <sharedItems containsString="0" containsBlank="1" containsNumber="1" minValue="5.34" maxValue="1495.79"/>
    </cacheField>
    <cacheField name="UnitPrice" numFmtId="2">
      <sharedItems containsString="0" containsBlank="1" containsNumber="1" minValue="4.22" maxValue="3661.07"/>
    </cacheField>
    <cacheField name="Unit Price&lt;Unit Cost" numFmtId="2">
      <sharedItems containsBlank="1"/>
    </cacheField>
    <cacheField name="DiscountPct" numFmtId="0">
      <sharedItems containsString="0" containsBlank="1" containsNumber="1" minValue="0" maxValue="0.56499999999999995"/>
    </cacheField>
    <cacheField name="Quantity" numFmtId="2">
      <sharedItems containsString="0" containsBlank="1" containsNumber="1" containsInteger="1" minValue="2" maxValue="61"/>
    </cacheField>
    <cacheField name="Gross Revenue" numFmtId="0">
      <sharedItems containsSemiMixedTypes="0" containsString="0" containsNumber="1" minValue="18.659839999999999" maxValue="10928845.716499997" count="633">
        <n v="4866.3287999999993"/>
        <n v="17960.432489999999"/>
        <n v="319.72248000000002"/>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272.98599999999999"/>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n v="10928845.716499997"/>
      </sharedItems>
    </cacheField>
    <cacheField name="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ount="633">
        <n v="2353.1687999999995"/>
        <n v="-15655.657510000005"/>
        <n v="-17209.397519999999"/>
        <n v="-493.1889599999995"/>
        <n v="1012.529700000001"/>
        <n v="1930.6699999999992"/>
        <n v="542.16963999999962"/>
        <n v="174.22776000000005"/>
        <n v="6942.0893400000004"/>
        <n v="19655.722359999992"/>
        <n v="1190.23344"/>
        <n v="-7801.4500000000007"/>
        <n v="1652.8040000000001"/>
        <n v="11932.200000000003"/>
        <n v="-1788.2399999999998"/>
        <n v="281.97720000000027"/>
        <n v="998.17479999999341"/>
        <n v="15758.091040000003"/>
        <n v="18869.124059999998"/>
        <n v="19975.662919999995"/>
        <n v="13321.51072"/>
        <n v="9254.0650400000013"/>
        <n v="3627.0920000000006"/>
        <n v="10028.504800000001"/>
        <n v="13511.830559999999"/>
        <n v="2628.8905599999998"/>
        <n v="580.29999999999973"/>
        <n v="-1162.7325000000005"/>
        <n v="2029.9500000000003"/>
        <n v="9517.3537200000028"/>
        <n v="1380.8273800000024"/>
        <n v="6267.8043199999993"/>
        <n v="3791.7852800000001"/>
        <n v="6765.2"/>
        <n v="14439.149999999998"/>
        <n v="26.034310000000914"/>
        <n v="-289.30311000000074"/>
        <n v="5937.6339200000002"/>
        <n v="3718.9489999999987"/>
        <n v="736.28838000000042"/>
        <n v="13458.530970000003"/>
        <n v="3321.5399999999991"/>
        <n v="11045.845999999998"/>
        <n v="5348.0594200000014"/>
        <n v="3071.0345600000037"/>
        <n v="9363.1594000000005"/>
        <n v="2744.8199999999997"/>
        <n v="65188.659999999996"/>
        <n v="14996.902319999994"/>
        <n v="5766.142359999998"/>
        <n v="3262.0239999999994"/>
        <n v="16.012000000000057"/>
        <n v="-2213.0999999999995"/>
        <n v="-134.55441999999994"/>
        <n v="-51.321600000000018"/>
        <n v="-838.84467999999833"/>
        <n v="16958.649949999999"/>
        <n v="2015.5468000000005"/>
        <n v="-68355.013999999996"/>
        <n v="339.45080000000053"/>
        <n v="10156.301800000008"/>
        <n v="10059.770399999998"/>
        <n v="4309.9539999999997"/>
        <n v="9753.2374500000078"/>
        <n v="6364.275999999998"/>
        <n v="-4787.1626399999986"/>
        <n v="-1301.0384000000031"/>
        <n v="5527.4563499999986"/>
        <n v="-231.24455999999918"/>
        <n v="4519.0624999999991"/>
        <n v="2452.0571999999993"/>
        <n v="3222.8152799999998"/>
        <n v="-3229.0369499999979"/>
        <n v="-3542.4397800000006"/>
        <n v="-161.48279999999886"/>
        <n v="1095.0028600000005"/>
        <n v="17265.827799999995"/>
        <n v="14141.576480000007"/>
        <n v="3308.5931999999993"/>
        <n v="1509.0979800000005"/>
        <n v="23631.505299999997"/>
        <n v="-684.33167999999932"/>
        <n v="2775.8196000000003"/>
        <n v="176.21174999999999"/>
        <n v="2587.1424799999986"/>
        <n v="98.49069999999665"/>
        <n v="532.26440000000184"/>
        <n v="-149.63339999999971"/>
        <n v="6082.1463999999996"/>
        <n v="179.23503999999997"/>
        <n v="3486.5026000000016"/>
        <n v="6327.5579999999991"/>
        <n v="3729.3862399999998"/>
        <n v="10601.273620000004"/>
        <n v="-569.27760000000035"/>
        <n v="23682.78611999999"/>
        <n v="0.36755999999999744"/>
        <n v="12051.719999999998"/>
        <n v="-2333.9909600000001"/>
        <n v="3888.8704799999978"/>
        <n v="31475.329999999998"/>
        <n v="-574.62240000000111"/>
        <n v="7635.2499999999991"/>
        <n v="2749.4340000000007"/>
        <n v="5307.8548499999997"/>
        <n v="-1809.9048000000003"/>
        <n v="17.504369999999994"/>
        <n v="10021.924440000003"/>
        <n v="838.99999999999989"/>
        <n v="-36.079899999999952"/>
        <n v="12820.409999999998"/>
        <n v="9970.4653199999957"/>
        <n v="-13.550940000000004"/>
        <n v="554.49349999999981"/>
        <n v="-626.22"/>
        <n v="12734.366720000002"/>
        <n v="-512.06805000000008"/>
        <n v="33103.559599999993"/>
        <n v="2373.1758"/>
        <n v="187.20848999999998"/>
        <n v="21088.284389999997"/>
        <n v="11306.565629999999"/>
        <n v="-683.90712000000167"/>
        <n v="-90.738400000000183"/>
        <n v="647.40584000000035"/>
        <n v="-4400.9212799999987"/>
        <n v="24667.226140000013"/>
        <n v="-107.15723000000003"/>
        <n v="1222.1486999999997"/>
        <n v="8628.0886800000007"/>
        <n v="4384.2640800000008"/>
        <n v="-1697.6165800000008"/>
        <n v="-6722.3104000000003"/>
        <n v="1056.16408"/>
        <n v="-6157.3283199999987"/>
        <n v="13229.010859999999"/>
        <n v="1225.2638399999978"/>
        <n v="-227.05725000000075"/>
        <n v="9088.9779200000085"/>
        <n v="-69.439300000000003"/>
        <n v="22992.449919999992"/>
        <n v="3695.3442000000005"/>
        <n v="3072.3358599999992"/>
        <n v="2614.3501500000002"/>
        <n v="9464.3270399999983"/>
        <n v="6616.4780800000017"/>
        <n v="-1785.8571000000006"/>
        <n v="3753.26"/>
        <n v="5456.7140000000018"/>
        <n v="19149.805439999996"/>
        <n v="-4311.6158400000013"/>
        <n v="3537.3105000000032"/>
        <n v="-2445.7271999999994"/>
        <n v="14795.950080000001"/>
        <n v="2336.6104000000032"/>
        <n v="614.64468000000124"/>
        <n v="3922.8047000000006"/>
        <n v="10696.672500000001"/>
        <n v="5487.6788399999996"/>
        <n v="12178.014519999993"/>
        <n v="7057.3714999999975"/>
        <n v="1594.9244000000008"/>
        <n v="991.66116000000147"/>
        <n v="5844.0739999999996"/>
        <n v="4504.4463999999998"/>
        <n v="31306.100319999998"/>
        <n v="-687.08130000000165"/>
        <n v="-921.67541999999958"/>
        <n v="1383.4284000000007"/>
        <n v="597.01219999999967"/>
        <n v="1720.7091200000013"/>
        <n v="4700.8295999999991"/>
        <n v="28.5154"/>
        <n v="12598.587599999999"/>
        <n v="505.51567999999997"/>
        <n v="38988.19"/>
        <n v="7162.3605599999992"/>
        <n v="-188.05708999999996"/>
        <n v="3902.0495999999994"/>
        <n v="-163.98382000000038"/>
        <n v="-3.3401600000000009"/>
        <n v="18700.046200000012"/>
        <n v="3856.5059999999999"/>
        <n v="3164.4668300000012"/>
        <n v="2878.2584100000022"/>
        <n v="1576.3499999999985"/>
        <n v="1263.5064600000001"/>
        <n v="-4793.2122499999969"/>
        <n v="9387.2301599999992"/>
        <n v="1059.4094000000005"/>
        <n v="661.72535000000062"/>
        <n v="4296.3850000000002"/>
        <n v="-4346.2051199999987"/>
        <n v="-1516.5235200000006"/>
        <n v="931.85976000000028"/>
        <n v="4994.4471599999997"/>
        <n v="-2229.0502000000051"/>
        <n v="4090.8064399999994"/>
        <n v="349.06241999999929"/>
        <n v="22872.233749999999"/>
        <n v="-40.490820000000895"/>
        <n v="-299.80320000000029"/>
        <n v="9950.4599999999991"/>
        <n v="11703.957579999995"/>
        <n v="13357.942800000001"/>
        <n v="13169.08736"/>
        <n v="1616.3301999999994"/>
        <n v="14990.295839999995"/>
        <n v="2093.1093699999965"/>
        <n v="5798.4071999999978"/>
        <n v="8200.7143200000046"/>
        <n v="420.30719999999997"/>
        <n v="-12.25536000000011"/>
        <n v="11215.619999999999"/>
        <n v="3192.54936"/>
        <n v="1386.4697999999989"/>
        <n v="139.68969000000106"/>
        <n v="1024.7667200000001"/>
        <n v="1444.3124800000005"/>
        <n v="12346.561240000001"/>
        <n v="7038.989099999998"/>
        <n v="180.13699999999994"/>
        <n v="2092.0364"/>
        <n v="38215.171199999982"/>
        <n v="-846.72300000000178"/>
        <n v="10769.349499999998"/>
        <n v="12897.698970000001"/>
        <n v="574.26300000000083"/>
        <n v="4476.3208099999974"/>
        <n v="-2794.4790999999996"/>
        <n v="-206.76991999999996"/>
        <n v="3055.7827299999999"/>
        <n v="903.68360000000007"/>
        <n v="2152.21776"/>
        <n v="1172.1485999999986"/>
        <n v="1269.9647999999979"/>
        <n v="4902.8217599999989"/>
        <n v="56019.54032"/>
        <n v="-309.11250000000018"/>
        <n v="1089.5708"/>
        <n v="1354.0691200000006"/>
        <n v="2339.9156000000012"/>
        <n v="7112.1846399999922"/>
        <n v="171.74303999999995"/>
        <n v="-3967.9639999999999"/>
        <n v="1400.1489199999999"/>
        <n v="1668.5088000000005"/>
        <n v="244.60668000000004"/>
        <n v="378.92000000000007"/>
        <n v="2109.6841600000007"/>
        <n v="5705.2086000000018"/>
        <n v="5892.3036000000011"/>
        <n v="-472.29699999999866"/>
        <n v="12700.39488"/>
        <n v="3613.0251599999992"/>
        <n v="14126.6556"/>
        <n v="5840.7196499999991"/>
        <n v="326.32055999999966"/>
        <n v="1855.922"/>
        <n v="-3886.0768000000007"/>
        <n v="9441.9554400000034"/>
        <n v="7663.3438000000006"/>
        <n v="2357.2576000000008"/>
        <n v="-3.0916800000001103"/>
        <n v="6618.7546199999924"/>
        <n v="-7932.1877600000025"/>
        <n v="17764.670160000009"/>
        <n v="7436.8288800000009"/>
        <n v="-424.0600000000004"/>
        <n v="478.21139999999923"/>
        <n v="1416.9634999999998"/>
        <n v="1906.7286400000003"/>
        <n v="5917.8263200000001"/>
        <n v="7889.1159999999982"/>
        <n v="5377.619099999999"/>
        <n v="101.57250000000022"/>
        <n v="26014.755999999994"/>
        <n v="2985.9064800000001"/>
        <n v="14885.234000000004"/>
        <n v="4140.392499999999"/>
        <n v="7567.2115200000026"/>
        <n v="5287.2502200000008"/>
        <n v="116.6400000000001"/>
        <n v="4215.3568799999994"/>
        <n v="3290.3196000000007"/>
        <n v="95.32740000000058"/>
        <n v="-22.141279999999995"/>
        <n v="10428.937380000001"/>
        <n v="12392.940239999998"/>
        <n v="-6073.8631199999982"/>
        <n v="9686.9653199999993"/>
        <n v="311.12708000000009"/>
        <n v="7380.8740600000019"/>
        <n v="4234.9950000000008"/>
        <n v="1827.6839999999984"/>
        <n v="10919.815130000001"/>
        <n v="1511.2410499999996"/>
        <n v="831.8713200000002"/>
        <n v="-34.959239999999994"/>
        <n v="-318.55999999999949"/>
        <n v="9182.3640799999994"/>
        <n v="4017.1204799999987"/>
        <n v="11756.318200000002"/>
        <n v="-833.82159999999931"/>
        <n v="3153.2256000000002"/>
        <n v="948.27071999999976"/>
        <n v="8274.5520000000033"/>
        <n v="580.64128000000073"/>
        <n v="1910.7941999999989"/>
        <n v="4223.99586"/>
        <n v="14002.633800000003"/>
        <n v="60.978399999999965"/>
        <n v="4212.1007999999993"/>
        <n v="17626.95"/>
        <n v="847.49335999999948"/>
        <n v="3847.7309000000014"/>
        <n v="2656.3869199999999"/>
        <n v="1037.7937500000007"/>
        <n v="880.30409999999983"/>
        <n v="6640.2841399999888"/>
        <n v="12511.704000000002"/>
        <n v="-1411.8323999999975"/>
        <n v="21349.434539999998"/>
        <n v="-342.99719999999991"/>
        <n v="14901.819459999995"/>
        <n v="1982.7283200000002"/>
        <n v="1133.8823200000002"/>
        <n v="1117.1131499999997"/>
        <n v="2392.0423999999994"/>
        <n v="12650.022000000001"/>
        <n v="1329.0108000000002"/>
        <n v="3237.4565599999996"/>
        <n v="2776.3528000000006"/>
        <n v="-314.85760000000028"/>
        <n v="2449.7572500000001"/>
        <n v="7197.3949600000014"/>
        <n v="14008.02656"/>
        <n v="15439.445099999997"/>
        <n v="-1539.9684000000002"/>
        <n v="8725.8939600000012"/>
        <n v="1193.1384000000016"/>
        <n v="408.99759999999969"/>
        <n v="11189.529999999999"/>
        <n v="1548.0996600000017"/>
        <n v="1703.3347799999999"/>
        <n v="6158.3379999999988"/>
        <n v="36649.677010000007"/>
        <n v="1040.7000000000003"/>
        <n v="12237.134079999998"/>
        <n v="6339.2946000000011"/>
        <n v="750.9625200000005"/>
        <n v="1542.8678099999997"/>
        <n v="8381.3829799999985"/>
        <n v="10149.768000000004"/>
        <n v="568.58960000000025"/>
        <n v="9388.5682799999995"/>
        <n v="22253.58"/>
        <n v="17565.881399999995"/>
        <n v="222.30000000000018"/>
        <n v="6152.7419200000022"/>
        <n v="12333.184799999999"/>
        <n v="-2304.3217600000007"/>
        <n v="43304.491519999996"/>
        <n v="-1939.0766400000002"/>
        <n v="1206.7310399999988"/>
        <n v="2586.5935199999985"/>
        <n v="9185.8899200000033"/>
        <n v="10131.900299999998"/>
        <n v="7386.7860000000019"/>
        <n v="483.17359999999962"/>
        <n v="1176.75108"/>
        <n v="3514.0600000000013"/>
        <n v="15712.274740000001"/>
        <n v="-814.89194000000043"/>
        <n v="13194.487679999998"/>
        <n v="4801.8023200000025"/>
        <n v="16544.093059999999"/>
        <n v="3098.002599999998"/>
        <n v="3551.3889600000011"/>
        <n v="18127.018079999998"/>
        <n v="1875.6429999999982"/>
        <n v="1208.877599999998"/>
        <n v="5584.5999999999985"/>
        <n v="726.64300000000367"/>
        <n v="-1686.7825199999988"/>
        <n v="-13932.289700000001"/>
        <n v="3824.6457599999994"/>
        <n v="3477.5026999999973"/>
        <n v="-3220.9520899999989"/>
        <n v="210.27248000000006"/>
        <n v="-220.9621700000007"/>
        <n v="1375.2635000000002"/>
        <n v="8476.8610500000068"/>
        <n v="1049.07402"/>
        <n v="9437.7689599999994"/>
        <n v="2013.3384200000019"/>
        <n v="28223.377799999995"/>
        <n v="-1800.7678400000004"/>
        <n v="6634.0429999999997"/>
        <n v="2404.4722199999997"/>
        <n v="2065.0630000000001"/>
        <n v="1263.8648000000012"/>
        <n v="619.69184000000132"/>
        <n v="2742.9239000000007"/>
        <n v="-1909.0989000000009"/>
        <n v="5553.2702399999989"/>
        <n v="3398.3838000000032"/>
        <n v="-4332.002040000003"/>
        <n v="-552.54583999999977"/>
        <n v="6687.9600000000028"/>
        <n v="1594.7103199999997"/>
        <n v="-400.379539999999"/>
        <n v="674.64560000000006"/>
        <n v="7756.4106900000006"/>
        <n v="17727.673040000001"/>
        <n v="9397.9283999999989"/>
        <n v="-2730.2168000000001"/>
        <n v="1163.8715000000002"/>
        <n v="257.89835999999997"/>
        <n v="1935.3365999999996"/>
        <n v="3505.8484000000008"/>
        <n v="2753.1560999999983"/>
        <n v="46964.342039999996"/>
        <n v="-6106.5196800000049"/>
        <n v="22623.474960000007"/>
        <n v="7085.4631999999983"/>
        <n v="3742.5149999999994"/>
        <n v="-1134.7747200000013"/>
        <n v="2487.7800000000007"/>
        <n v="18674.741999999995"/>
        <n v="6357.5847499999973"/>
        <n v="32830.14"/>
        <n v="-1214.2760000000003"/>
        <n v="6126.4386400000003"/>
        <n v="-412.61687999999981"/>
        <n v="4025.4000000000015"/>
        <n v="2771.1642200000006"/>
        <n v="3091.1091399999996"/>
        <n v="3612.4492800000007"/>
        <n v="679.73844000000008"/>
        <n v="9896.7990000000009"/>
        <n v="2731.0472800000007"/>
        <n v="16530.425009999999"/>
        <n v="3078.7628799999998"/>
        <n v="9942.4500000000007"/>
        <n v="937.01872000000003"/>
        <n v="4768.4883199999995"/>
        <n v="700.32725000000028"/>
        <n v="17820.683360000003"/>
        <n v="-1143.8999999999978"/>
        <n v="5833.72055"/>
        <n v="10897.877"/>
        <n v="12880.125119999999"/>
        <n v="4377.4812500000007"/>
        <n v="10922.848349999995"/>
        <n v="5578.9460800000015"/>
        <n v="7885.92"/>
        <n v="-716.66688000000067"/>
        <n v="3973.7249999999995"/>
        <n v="7889.0499999999993"/>
        <n v="391.35456000000022"/>
        <n v="235.04574000000002"/>
        <n v="364.71759999999995"/>
        <n v="408.37159999999994"/>
        <n v="706.32592"/>
        <n v="30705.719600000004"/>
        <n v="1265.9967000000001"/>
        <n v="4403.8243899999998"/>
        <n v="7697.7899999999972"/>
        <n v="4970.8499799999972"/>
        <n v="5243.9373600000008"/>
        <n v="18506.849260000003"/>
        <n v="7606.243199999999"/>
        <n v="3320.6713199999995"/>
        <n v="8370.8954999999969"/>
        <n v="12003.372039999997"/>
        <n v="-44.50309999999979"/>
        <n v="-2400.2454000000007"/>
        <n v="20094.585840000003"/>
        <n v="4351.729800000001"/>
        <n v="20983.832960000007"/>
        <n v="2360.8761000000004"/>
        <n v="16862.697000000004"/>
        <n v="1268.6790600000004"/>
        <n v="4910.9716500000031"/>
        <n v="142.1317199999994"/>
        <n v="1993.4393599999994"/>
        <n v="13734.075000000003"/>
        <n v="806.27655999999934"/>
        <n v="3748.4403999999995"/>
        <n v="611.25000000000011"/>
        <n v="3688.2"/>
        <n v="-2349.5385100000003"/>
        <n v="56.749199999999995"/>
        <n v="3024.3151199999993"/>
        <n v="2213.4219799999996"/>
        <n v="15178.158960000001"/>
        <n v="-5343.5467799999969"/>
        <n v="4570.1896000000015"/>
        <n v="7984.4047400000018"/>
        <n v="9874.6355399999993"/>
        <n v="-4899.589100000002"/>
        <n v="5478.4129400000002"/>
        <n v="2972.0374499999998"/>
        <n v="1219.3191000000006"/>
        <n v="17322.55802"/>
        <n v="8697.1514000000025"/>
        <n v="7333.3067999999994"/>
        <n v="1650.9744000000005"/>
        <n v="3780.3786000000009"/>
        <n v="515.88306000000011"/>
        <n v="825.43056000000024"/>
        <n v="4444.2353999999978"/>
        <n v="1169.0336000000002"/>
        <n v="17596.920000000006"/>
        <n v="3835.7"/>
        <n v="4675.2522299999982"/>
        <n v="479.17592000000002"/>
        <n v="3292.8142799999996"/>
        <n v="-128.18118000000015"/>
        <n v="1025.2031999999999"/>
        <n v="34611.296999999999"/>
        <n v="5313.6899999999987"/>
        <n v="8421.6234000000022"/>
        <n v="2189.7755999999999"/>
        <n v="3109.7852499999999"/>
        <n v="242.27804999999989"/>
        <n v="2742.24"/>
        <n v="11385.971219999999"/>
        <n v="19424.699999999997"/>
        <n v="827.62866000000031"/>
        <n v="33.349799999999846"/>
        <n v="-1.0130400000000463"/>
        <n v="5160.3977999999997"/>
        <n v="19412.054400000008"/>
        <n v="6447.8868000000002"/>
        <n v="1110.4472399999995"/>
        <n v="23833.066320000002"/>
        <n v="11241.921599999996"/>
        <n v="29722.714239999994"/>
        <n v="-1585.5629999999996"/>
        <n v="10770.829999999998"/>
        <n v="8727.9235199999966"/>
        <n v="-930.44016000000011"/>
        <n v="7671.1285000000016"/>
        <n v="353.03711999999905"/>
        <n v="2180.0596199999995"/>
        <n v="5138.6899199999989"/>
        <n v="6301.4439300000049"/>
        <n v="2501.7599999999984"/>
        <n v="14144.854499999992"/>
        <n v="893.76407999999992"/>
        <n v="5947.254719999999"/>
        <n v="4094.1692000000021"/>
        <n v="1906.4620800000012"/>
        <n v="18094.537499999999"/>
        <n v="20471.22"/>
        <n v="26690.819219999998"/>
        <n v="4120.9564500000015"/>
        <n v="5392.0058400000007"/>
        <n v="-6806.52"/>
        <n v="67.082999999998719"/>
        <n v="10347.694500000001"/>
        <n v="4493.9954400000006"/>
        <n v="1373.3855999999996"/>
        <n v="2128.0721199999994"/>
        <n v="1504.4411200000013"/>
        <n v="17260.177960000005"/>
        <n v="12487.920689999997"/>
        <n v="17422.559999999998"/>
        <n v="1711.3478399999999"/>
        <n v="1230.2980000000002"/>
        <n v="388.23536000000001"/>
        <n v="4918.4742400000014"/>
        <n v="-86.748960000000807"/>
        <n v="89.536600000000021"/>
        <n v="1611.2903999999999"/>
        <n v="6341.2615999999998"/>
        <n v="1473.4734000000008"/>
        <n v="1977.25864"/>
        <n v="544.52427999999873"/>
        <n v="3556.601999999999"/>
        <n v="671.72760000000017"/>
        <n v="11831.751749999996"/>
        <n v="1250.7751599999997"/>
        <n v="7568.7026100000021"/>
        <n v="177.36"/>
        <n v="5406.6759999999995"/>
        <n v="34487.324250000005"/>
        <n v="5877.0835200000001"/>
        <n v="-2835.7499999999982"/>
        <n v="1784.3703000000005"/>
        <n v="25354.521920000003"/>
        <n v="-536.95039999999972"/>
        <n v="4221.2300000000005"/>
        <n v="8129.7396000000017"/>
        <n v="2461.1687499999989"/>
        <n v="1621.1100000000001"/>
        <n v="1274.63688"/>
        <n v="1829.6422499999999"/>
        <n v="15214.592760000003"/>
        <n v="-1892.7636000000011"/>
        <n v="230.27020000000005"/>
        <n v="20355.867999999999"/>
        <n v="2617.8116999999997"/>
        <n v="-1889.6568600000001"/>
        <n v="555.10411000000022"/>
        <n v="15978.606029999999"/>
        <n v="729.65017999999986"/>
        <n v="-7.7899999999999636"/>
        <n v="1466.8601599999984"/>
        <n v="8001.8276800000003"/>
        <n v="777.95999999999913"/>
        <n v="47729.039799999991"/>
        <n v="7152.6135200000008"/>
        <n v="2558.6583600000013"/>
        <n v="6092.4014399999996"/>
        <n v="-19394.01296"/>
        <n v="993.24888000000283"/>
        <n v="6301.4242499999964"/>
        <n v="277.66739999999993"/>
        <n v="1174.4513199999999"/>
        <n v="-1911.76512"/>
        <n v="2018.9248800000005"/>
        <n v="23519.177499999998"/>
        <n v="13817.826400000005"/>
        <n v="-8912.0172700000021"/>
        <n v="2610.03908"/>
        <n v="14455.96"/>
        <n v="21180.193200000002"/>
        <n v="6312.5076799999997"/>
        <n v="-96.841780000000028"/>
        <m/>
      </sharedItems>
    </cacheField>
    <cacheField name="Margin Pct" numFmtId="0">
      <sharedItems containsString="0" containsBlank="1" containsNumber="1" minValue="-250.39750756449047" maxValue="0.59672531214528945"/>
    </cacheField>
    <cacheField name="Quarters" numFmtId="0" databaseField="0">
      <fieldGroup base="1">
        <rangePr groupBy="quarters" startDate="2023-01-02T00:00:00" endDate="2025-09-16T00:00:00"/>
        <groupItems count="6">
          <s v="&lt;1/2/2023"/>
          <s v="Qtr1"/>
          <s v="Qtr2"/>
          <s v="Qtr3"/>
          <s v="Qtr4"/>
          <s v="&gt;9/16/2025"/>
        </groupItems>
      </fieldGroup>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054.560709490739" createdVersion="6" refreshedVersion="6" minRefreshableVersion="3" recordCount="632">
  <cacheSource type="worksheet">
    <worksheetSource ref="A1:X633" sheet="StagingTable" r:id="rId2"/>
  </cacheSource>
  <cacheFields count="26">
    <cacheField name="OrderID" numFmtId="49">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64">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25" base="1">
        <rangePr groupBy="months" startDate="2023-01-02T00:00:00" endDate="2025-09-16T00:00:00"/>
        <groupItems count="14">
          <s v="&lt;1/2/2023"/>
          <s v="Jan"/>
          <s v="Feb"/>
          <s v="Mar"/>
          <s v="Apr"/>
          <s v="May"/>
          <s v="Jun"/>
          <s v="Jul"/>
          <s v="Aug"/>
          <s v="Sep"/>
          <s v="Oct"/>
          <s v="Nov"/>
          <s v="Dec"/>
          <s v="&gt;9/16/2025"/>
        </groupItems>
      </fieldGroup>
    </cacheField>
    <cacheField name="RequiredDate" numFmtId="164">
      <sharedItems containsSemiMixedTypes="0" containsNonDate="0" containsDate="1" containsString="0" minDate="2023-01-05T00:00:00" maxDate="2025-10-06T00:00:00"/>
    </cacheField>
    <cacheField name="Corrected ReduiredDate" numFmtId="164">
      <sharedItems containsSemiMixedTypes="0" containsNonDate="0" containsDate="1" containsString="0" minDate="2023-01-05T00:00:00" maxDate="2025-10-06T00:00:00" count="472">
        <d v="2024-04-06T00:00:00"/>
        <d v="2024-10-30T00:00:00"/>
        <d v="2023-03-25T00:00:00"/>
        <d v="2025-04-02T00:00:00"/>
        <d v="2023-12-31T00:00:00"/>
        <d v="2023-01-05T00:00:00"/>
        <d v="2025-01-14T00:00:00"/>
        <d v="2023-01-22T00:00:00"/>
        <d v="2024-05-29T00:00:00"/>
        <d v="2025-06-09T00:00:00"/>
        <d v="2024-02-09T00:00:00"/>
        <d v="2025-01-23T00:00:00"/>
        <d v="2025-03-31T00:00:00"/>
        <d v="2024-02-13T00:00:00"/>
        <d v="2025-09-30T00:00:00"/>
        <d v="2023-04-30T00:00:00"/>
        <d v="2025-01-08T00:00:00"/>
        <d v="2025-09-16T00:00:00"/>
        <d v="2025-08-05T00:00:00"/>
        <d v="2025-05-28T00:00:00"/>
        <d v="2024-08-01T00:00:00"/>
        <d v="2023-05-28T00:00:00"/>
        <d v="2025-06-29T00:00:00"/>
        <d v="2024-05-23T00:00:00"/>
        <d v="2023-02-12T00:00:00"/>
        <d v="2024-07-14T00:00:00"/>
        <d v="2024-12-30T00:00:00"/>
        <d v="2024-07-19T00:00:00"/>
        <d v="2023-05-14T00:00:00"/>
        <d v="2025-04-11T00:00:00"/>
        <d v="2025-01-15T00:00:00"/>
        <d v="2025-08-06T00:00:00"/>
        <d v="2024-05-08T00:00:00"/>
        <d v="2024-08-30T00:00:00"/>
        <d v="2023-04-22T00:00:00"/>
        <d v="2024-03-25T00:00:00"/>
        <d v="2025-07-10T00:00:00"/>
        <d v="2024-05-06T00:00:00"/>
        <d v="2023-06-24T00:00:00"/>
        <d v="2024-09-19T00:00:00"/>
        <d v="2024-02-02T00:00:00"/>
        <d v="2024-11-14T00:00:00"/>
        <d v="2025-06-20T00:00:00"/>
        <d v="2024-06-02T00:00:00"/>
        <d v="2023-07-03T00:00:00"/>
        <d v="2024-05-28T00:00:00"/>
        <d v="2024-11-08T00:00:00"/>
        <d v="2023-08-01T00:00:00"/>
        <d v="2024-11-22T00:00:00"/>
        <d v="2024-11-06T00:00:00"/>
        <d v="2023-04-05T00:00:00"/>
        <d v="2025-02-16T00:00:00"/>
        <d v="2023-09-01T00:00:00"/>
        <d v="2025-04-30T00:00:00"/>
        <d v="2025-03-01T00:00:00"/>
        <d v="2024-12-18T00:00:00"/>
        <d v="2025-06-18T00:00:00"/>
        <d v="2025-05-13T00:00:00"/>
        <d v="2024-04-09T00:00:00"/>
        <d v="2025-09-12T00:00:00"/>
        <d v="2025-05-25T00:00:00"/>
        <d v="2024-11-18T00:00:00"/>
        <d v="2023-02-26T00:00:00"/>
        <d v="2023-12-26T00:00:00"/>
        <d v="2023-04-09T00:00:00"/>
        <d v="2024-06-06T00:00:00"/>
        <d v="2023-09-07T00:00:00"/>
        <d v="2023-05-10T00:00:00"/>
        <d v="2024-03-21T00:00:00"/>
        <d v="2025-05-06T00:00:00"/>
        <d v="2024-05-07T00:00:00"/>
        <d v="2024-12-20T00:00:00"/>
        <d v="2023-05-27T00:00:00"/>
        <d v="2023-10-08T00:00:00"/>
        <d v="2024-09-25T00:00:00"/>
        <d v="2024-07-07T00:00:00"/>
        <d v="2023-06-16T00:00:00"/>
        <d v="2024-12-21T00:00:00"/>
        <d v="2023-02-11T00:00:00"/>
        <d v="2023-09-12T00:00:00"/>
        <d v="2025-05-24T00:00:00"/>
        <d v="2025-04-17T00:00:00"/>
        <d v="2023-12-23T00:00:00"/>
        <d v="2024-04-25T00:00:00"/>
        <d v="2025-08-19T00:00:00"/>
        <d v="2024-01-25T00:00:00"/>
        <d v="2023-07-02T00:00:00"/>
        <d v="2025-05-15T00:00:00"/>
        <d v="2025-06-25T00:00:00"/>
        <d v="2023-07-01T00:00:00"/>
        <d v="2024-11-02T00:00:00"/>
        <d v="2023-04-27T00:00:00"/>
        <d v="2025-08-16T00:00:00"/>
        <d v="2024-06-04T00:00:00"/>
        <d v="2025-08-18T00:00:00"/>
        <d v="2023-03-20T00:00:00"/>
        <d v="2025-02-15T00:00:00"/>
        <d v="2024-01-22T00:00:00"/>
        <d v="2025-04-04T00:00:00"/>
        <d v="2024-12-28T00:00:00"/>
        <d v="2024-10-05T00:00:00"/>
        <d v="2024-05-27T00:00:00"/>
        <d v="2023-06-07T00:00:00"/>
        <d v="2024-09-04T00:00:00"/>
        <d v="2024-06-08T00:00:00"/>
        <d v="2024-06-11T00:00:00"/>
        <d v="2024-07-26T00:00:00"/>
        <d v="2025-01-24T00:00:00"/>
        <d v="2023-12-05T00:00:00"/>
        <d v="2023-03-05T00:00:00"/>
        <d v="2025-06-10T00:00:00"/>
        <d v="2025-01-02T00:00:00"/>
        <d v="2023-06-19T00:00:00"/>
        <d v="2025-07-18T00:00:00"/>
        <d v="2025-07-12T00:00:00"/>
        <d v="2023-12-13T00:00:00"/>
        <d v="2024-01-20T00:00:00"/>
        <d v="2024-11-29T00:00:00"/>
        <d v="2023-09-04T00:00:00"/>
        <d v="2023-09-06T00:00:00"/>
        <d v="2024-06-26T00:00:00"/>
        <d v="2025-08-14T00:00:00"/>
        <d v="2024-06-13T00:00:00"/>
        <d v="2023-01-30T00:00:00"/>
        <d v="2025-02-28T00:00:00"/>
        <d v="2025-03-24T00:00:00"/>
        <d v="2023-01-31T00:00:00"/>
        <d v="2024-12-26T00:00:00"/>
        <d v="2023-04-17T00:00:00"/>
        <d v="2025-01-12T00:00:00"/>
        <d v="2023-04-12T00:00:00"/>
        <d v="2024-12-15T00:00:00"/>
        <d v="2024-02-14T00:00:00"/>
        <d v="2023-05-18T00:00:00"/>
        <d v="2025-01-11T00:00:00"/>
        <d v="2023-08-25T00:00:00"/>
        <d v="2024-07-06T00:00:00"/>
        <d v="2023-07-14T00:00:00"/>
        <d v="2023-12-07T00:00:00"/>
        <d v="2025-09-28T00:00:00"/>
        <d v="2024-04-24T00:00:00"/>
        <d v="2023-09-16T00:00:00"/>
        <d v="2024-10-18T00:00:00"/>
        <d v="2025-05-16T00:00:00"/>
        <d v="2023-07-23T00:00:00"/>
        <d v="2023-12-14T00:00:00"/>
        <d v="2024-03-04T00:00:00"/>
        <d v="2023-11-02T00:00:00"/>
        <d v="2024-08-17T00:00:00"/>
        <d v="2024-02-21T00:00:00"/>
        <d v="2024-09-18T00:00:00"/>
        <d v="2025-08-21T00:00:00"/>
        <d v="2023-03-04T00:00:00"/>
        <d v="2024-11-24T00:00:00"/>
        <d v="2024-04-07T00:00:00"/>
        <d v="2023-03-26T00:00:00"/>
        <d v="2024-06-16T00:00:00"/>
        <d v="2023-03-12T00:00:00"/>
        <d v="2024-06-14T00:00:00"/>
        <d v="2023-10-23T00:00:00"/>
        <d v="2024-07-15T00:00:00"/>
        <d v="2023-10-10T00:00:00"/>
        <d v="2023-03-09T00:00:00"/>
        <d v="2024-06-03T00:00:00"/>
        <d v="2025-05-04T00:00:00"/>
        <d v="2023-09-11T00:00:00"/>
        <d v="2023-04-16T00:00:00"/>
        <d v="2025-09-18T00:00:00"/>
        <d v="2024-10-11T00:00:00"/>
        <d v="2025-03-04T00:00:00"/>
        <d v="2023-08-23T00:00:00"/>
        <d v="2024-10-29T00:00:00"/>
        <d v="2023-07-21T00:00:00"/>
        <d v="2025-02-08T00:00:00"/>
        <d v="2023-02-28T00:00:00"/>
        <d v="2023-07-31T00:00:00"/>
        <d v="2024-02-19T00:00:00"/>
        <d v="2023-08-22T00:00:00"/>
        <d v="2024-09-03T00:00:00"/>
        <d v="2023-11-13T00:00:00"/>
        <d v="2023-05-26T00:00:00"/>
        <d v="2024-10-01T00:00:00"/>
        <d v="2024-03-03T00:00:00"/>
        <d v="2023-02-21T00:00:00"/>
        <d v="2023-05-13T00:00:00"/>
        <d v="2023-01-19T00:00:00"/>
        <d v="2024-01-29T00:00:00"/>
        <d v="2023-02-03T00:00:00"/>
        <d v="2025-02-25T00:00:00"/>
        <d v="2023-04-28T00:00:00"/>
        <d v="2025-02-14T00:00:00"/>
        <d v="2024-10-07T00:00:00"/>
        <d v="2025-08-07T00:00:00"/>
        <d v="2024-10-23T00:00:00"/>
        <d v="2025-08-04T00:00:00"/>
        <d v="2025-02-06T00:00:00"/>
        <d v="2023-11-28T00:00:00"/>
        <d v="2024-03-30T00:00:00"/>
        <d v="2024-01-14T00:00:00"/>
        <d v="2023-01-29T00:00:00"/>
        <d v="2024-11-09T00:00:00"/>
        <d v="2024-10-14T00:00:00"/>
        <d v="2025-09-24T00:00:00"/>
        <d v="2023-10-02T00:00:00"/>
        <d v="2023-09-10T00:00:00"/>
        <d v="2025-07-17T00:00:00"/>
        <d v="2023-05-07T00:00:00"/>
        <d v="2023-12-20T00:00:00"/>
        <d v="2023-08-07T00:00:00"/>
        <d v="2023-10-29T00:00:00"/>
        <d v="2025-08-30T00:00:00"/>
        <d v="2023-04-01T00:00:00"/>
        <d v="2023-06-10T00:00:00"/>
        <d v="2024-09-08T00:00:00"/>
        <d v="2023-03-30T00:00:00"/>
        <d v="2024-10-02T00:00:00"/>
        <d v="2025-07-23T00:00:00"/>
        <d v="2025-05-27T00:00:00"/>
        <d v="2025-08-08T00:00:00"/>
        <d v="2024-12-12T00:00:00"/>
        <d v="2024-03-26T00:00:00"/>
        <d v="2025-05-02T00:00:00"/>
        <d v="2023-03-24T00:00:00"/>
        <d v="2024-07-31T00:00:00"/>
        <d v="2024-11-20T00:00:00"/>
        <d v="2024-05-19T00:00:00"/>
        <d v="2023-10-06T00:00:00"/>
        <d v="2025-07-05T00:00:00"/>
        <d v="2023-10-13T00:00:00"/>
        <d v="2023-08-24T00:00:00"/>
        <d v="2025-06-27T00:00:00"/>
        <d v="2025-04-26T00:00:00"/>
        <d v="2025-09-11T00:00:00"/>
        <d v="2024-10-08T00:00:00"/>
        <d v="2024-01-01T00:00:00"/>
        <d v="2024-01-23T00:00:00"/>
        <d v="2023-08-14T00:00:00"/>
        <d v="2025-03-09T00:00:00"/>
        <d v="2024-04-17T00:00:00"/>
        <d v="2023-08-13T00:00:00"/>
        <d v="2024-04-13T00:00:00"/>
        <d v="2024-01-27T00:00:00"/>
        <d v="2024-04-11T00:00:00"/>
        <d v="2025-07-14T00:00:00"/>
        <d v="2024-07-03T00:00:00"/>
        <d v="2023-11-14T00:00:00"/>
        <d v="2023-06-23T00:00:00"/>
        <d v="2025-03-29T00:00:00"/>
        <d v="2024-02-05T00:00:00"/>
        <d v="2025-04-13T00:00:00"/>
        <d v="2024-09-07T00:00:00"/>
        <d v="2024-01-30T00:00:00"/>
        <d v="2023-08-10T00:00:00"/>
        <d v="2025-09-04T00:00:00"/>
        <d v="2025-04-07T00:00:00"/>
        <d v="2023-11-09T00:00:00"/>
        <d v="2023-09-22T00:00:00"/>
        <d v="2024-03-16T00:00:00"/>
        <d v="2023-07-08T00:00:00"/>
        <d v="2024-04-05T00:00:00"/>
        <d v="2025-01-22T00:00:00"/>
        <d v="2023-10-31T00:00:00"/>
        <d v="2023-07-22T00:00:00"/>
        <d v="2025-07-08T00:00:00"/>
        <d v="2024-06-20T00:00:00"/>
        <d v="2025-04-12T00:00:00"/>
        <d v="2025-03-26T00:00:00"/>
        <d v="2025-02-04T00:00:00"/>
        <d v="2024-11-05T00:00:00"/>
        <d v="2024-06-24T00:00:00"/>
        <d v="2025-06-06T00:00:00"/>
        <d v="2023-11-30T00:00:00"/>
        <d v="2025-04-27T00:00:00"/>
        <d v="2023-04-15T00:00:00"/>
        <d v="2024-06-18T00:00:00"/>
        <d v="2024-01-09T00:00:00"/>
        <d v="2023-03-07T00:00:00"/>
        <d v="2024-03-11T00:00:00"/>
        <d v="2023-05-29T00:00:00"/>
        <d v="2023-06-18T00:00:00"/>
        <d v="2025-05-26T00:00:00"/>
        <d v="2023-11-16T00:00:00"/>
        <d v="2025-09-26T00:00:00"/>
        <d v="2023-09-03T00:00:00"/>
        <d v="2023-12-06T00:00:00"/>
        <d v="2024-04-18T00:00:00"/>
        <d v="2023-08-19T00:00:00"/>
        <d v="2023-04-20T00:00:00"/>
        <d v="2024-11-04T00:00:00"/>
        <d v="2024-07-20T00:00:00"/>
        <d v="2023-12-18T00:00:00"/>
        <d v="2024-08-02T00:00:00"/>
        <d v="2023-05-16T00:00:00"/>
        <d v="2024-01-06T00:00:00"/>
        <d v="2023-03-08T00:00:00"/>
        <d v="2023-12-16T00:00:00"/>
        <d v="2024-08-20T00:00:00"/>
        <d v="2024-11-26T00:00:00"/>
        <d v="2024-04-21T00:00:00"/>
        <d v="2024-12-07T00:00:00"/>
        <d v="2024-02-03T00:00:00"/>
        <d v="2024-06-25T00:00:00"/>
        <d v="2023-06-28T00:00:00"/>
        <d v="2025-04-09T00:00:00"/>
        <d v="2024-06-15T00:00:00"/>
        <d v="2023-10-09T00:00:00"/>
        <d v="2024-01-03T00:00:00"/>
        <d v="2023-04-08T00:00:00"/>
        <d v="2025-04-10T00:00:00"/>
        <d v="2024-03-19T00:00:00"/>
        <d v="2025-07-11T00:00:00"/>
        <d v="2023-04-04T00:00:00"/>
        <d v="2025-01-20T00:00:00"/>
        <d v="2025-02-17T00:00:00"/>
        <d v="2025-09-06T00:00:00"/>
        <d v="2025-08-17T00:00:00"/>
        <d v="2024-08-07T00:00:00"/>
        <d v="2024-05-12T00:00:00"/>
        <d v="2023-10-03T00:00:00"/>
        <d v="2023-11-05T00:00:00"/>
        <d v="2025-06-30T00:00:00"/>
        <d v="2023-10-26T00:00:00"/>
        <d v="2023-06-20T00:00:00"/>
        <d v="2025-06-08T00:00:00"/>
        <d v="2025-09-14T00:00:00"/>
        <d v="2025-09-23T00:00:00"/>
        <d v="2024-10-04T00:00:00"/>
        <d v="2024-08-15T00:00:00"/>
        <d v="2024-08-08T00:00:00"/>
        <d v="2025-02-03T00:00:00"/>
        <d v="2025-03-21T00:00:00"/>
        <d v="2025-03-15T00:00:00"/>
        <d v="2023-12-19T00:00:00"/>
        <d v="2024-09-05T00:00:00"/>
        <d v="2024-05-21T00:00:00"/>
        <d v="2023-04-06T00:00:00"/>
        <d v="2023-09-13T00:00:00"/>
        <d v="2024-12-10T00:00:00"/>
        <d v="2025-06-14T00:00:00"/>
        <d v="2025-04-08T00:00:00"/>
        <d v="2024-02-11T00:00:00"/>
        <d v="2025-03-17T00:00:00"/>
        <d v="2025-07-06T00:00:00"/>
        <d v="2025-09-25T00:00:00"/>
        <d v="2024-03-06T00:00:00"/>
        <d v="2025-09-05T00:00:00"/>
        <d v="2024-09-12T00:00:00"/>
        <d v="2024-03-09T00:00:00"/>
        <d v="2024-11-12T00:00:00"/>
        <d v="2023-10-21T00:00:00"/>
        <d v="2024-12-19T00:00:00"/>
        <d v="2023-10-20T00:00:00"/>
        <d v="2025-01-13T00:00:00"/>
        <d v="2024-01-08T00:00:00"/>
        <d v="2023-06-03T00:00:00"/>
        <d v="2023-09-28T00:00:00"/>
        <d v="2024-10-03T00:00:00"/>
        <d v="2024-01-13T00:00:00"/>
        <d v="2025-04-29T00:00:00"/>
        <d v="2024-07-09T00:00:00"/>
        <d v="2023-07-29T00:00:00"/>
        <d v="2024-05-16T00:00:00"/>
        <d v="2025-06-24T00:00:00"/>
        <d v="2023-06-21T00:00:00"/>
        <d v="2024-12-29T00:00:00"/>
        <d v="2023-12-12T00:00:00"/>
        <d v="2023-05-19T00:00:00"/>
        <d v="2023-12-10T00:00:00"/>
        <d v="2024-05-18T00:00:00"/>
        <d v="2023-07-19T00:00:00"/>
        <d v="2023-06-15T00:00:00"/>
        <d v="2024-04-03T00:00:00"/>
        <d v="2025-04-19T00:00:00"/>
        <d v="2025-08-15T00:00:00"/>
        <d v="2024-06-28T00:00:00"/>
        <d v="2025-06-05T00:00:00"/>
        <d v="2023-05-22T00:00:00"/>
        <d v="2023-09-19T00:00:00"/>
        <d v="2024-02-28T00:00:00"/>
        <d v="2025-09-03T00:00:00"/>
        <d v="2023-05-25T00:00:00"/>
        <d v="2023-03-18T00:00:00"/>
        <d v="2023-04-19T00:00:00"/>
        <d v="2024-01-15T00:00:00"/>
        <d v="2025-05-19T00:00:00"/>
        <d v="2023-08-15T00:00:00"/>
        <d v="2024-12-08T00:00:00"/>
        <d v="2023-11-24T00:00:00"/>
        <d v="2024-11-28T00:00:00"/>
        <d v="2024-05-24T00:00:00"/>
        <d v="2024-03-08T00:00:00"/>
        <d v="2024-06-17T00:00:00"/>
        <d v="2023-07-04T00:00:00"/>
        <d v="2024-09-13T00:00:00"/>
        <d v="2023-10-28T00:00:00"/>
        <d v="2025-10-05T00:00:00"/>
        <d v="2024-05-03T00:00:00"/>
        <d v="2025-03-25T00:00:00"/>
        <d v="2025-03-27T00:00:00"/>
        <d v="2025-05-17T00:00:00"/>
        <d v="2024-10-28T00:00:00"/>
        <d v="2024-11-21T00:00:00"/>
        <d v="2024-03-23T00:00:00"/>
        <d v="2023-06-08T00:00:00"/>
        <d v="2025-01-05T00:00:00"/>
        <d v="2025-08-28T00:00:00"/>
        <d v="2023-10-30T00:00:00"/>
        <d v="2025-05-30T00:00:00"/>
        <d v="2024-05-26T00:00:00"/>
        <d v="2024-07-12T00:00:00"/>
        <d v="2024-05-10T00:00:00"/>
        <d v="2024-04-27T00:00:00"/>
        <d v="2023-01-26T00:00:00"/>
        <d v="2024-06-23T00:00:00"/>
        <d v="2023-09-20T00:00:00"/>
        <d v="2024-02-08T00:00:00"/>
        <d v="2025-05-12T00:00:00"/>
        <d v="2023-07-11T00:00:00"/>
        <d v="2024-08-26T00:00:00"/>
        <d v="2023-07-13T00:00:00"/>
        <d v="2023-02-15T00:00:00"/>
        <d v="2023-07-09T00:00:00"/>
        <d v="2024-06-09T00:00:00"/>
        <d v="2025-08-26T00:00:00"/>
        <d v="2023-03-06T00:00:00"/>
        <d v="2024-08-03T00:00:00"/>
        <d v="2025-08-23T00:00:00"/>
        <d v="2024-09-26T00:00:00"/>
        <d v="2023-05-20T00:00:00"/>
        <d v="2025-05-21T00:00:00"/>
        <d v="2024-03-29T00:00:00"/>
        <d v="2024-05-22T00:00:00"/>
        <d v="2024-01-12T00:00:00"/>
        <d v="2023-05-02T00:00:00"/>
        <d v="2024-02-04T00:00:00"/>
        <d v="2024-11-07T00:00:00"/>
        <d v="2024-02-20T00:00:00"/>
        <d v="2025-04-14T00:00:00"/>
        <d v="2023-06-01T00:00:00"/>
        <d v="2024-01-02T00:00:00"/>
        <d v="2023-04-26T00:00:00"/>
        <d v="2023-07-12T00:00:00"/>
        <d v="2025-08-03T00:00:00"/>
        <d v="2023-02-06T00:00:00"/>
        <d v="2024-08-09T00:00:00"/>
        <d v="2024-06-21T00:00:00"/>
        <d v="2025-02-27T00:00:00"/>
        <d v="2025-09-22T00:00:00"/>
        <d v="2024-07-21T00:00:00"/>
        <d v="2025-02-24T00:00:00"/>
        <d v="2024-08-24T00:00:00"/>
        <d v="2024-03-22T00:00:00"/>
        <d v="2024-09-02T00:00:00"/>
        <d v="2025-05-18T00:00:00"/>
        <d v="2023-04-25T00:00:00"/>
        <d v="2025-06-21T00:00:00"/>
        <d v="2024-12-24T00:00:00"/>
        <d v="2023-04-23T00:00:00"/>
        <d v="2024-02-01T00:00:00"/>
        <d v="2024-06-30T00:00:00"/>
        <d v="2023-10-11T00:00:00"/>
        <d v="2025-01-16T00:00:00"/>
        <d v="2025-07-16T00:00:00"/>
        <d v="2024-10-24T00:00:00"/>
        <d v="2023-09-14T00:00:00"/>
        <d v="2025-05-03T00:00:00"/>
        <d v="2024-08-23T00:00:00"/>
        <d v="2025-07-31T00:00:00"/>
        <d v="2024-01-16T00:00:00"/>
        <d v="2023-08-30T00:00:00"/>
        <d v="2023-07-18T00:00:00"/>
        <d v="2025-03-10T00:00:00"/>
      </sharedItems>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acheField>
    <cacheField name="CustomerSegment" numFmtId="49">
      <sharedItems/>
    </cacheField>
    <cacheField name="Channel" numFmtId="49">
      <sharedItems count="6">
        <s v="Retail"/>
        <s v="Online"/>
        <s v="Marketplace"/>
        <s v="Distributor"/>
        <s v="Direct"/>
        <s v="Unknown"/>
      </sharedItems>
    </cacheField>
    <cacheField name="Salesperson" numFmtId="49">
      <sharedItems count="16">
        <s v="C. Otieno"/>
        <s v="J. Njeri"/>
        <s v="I. Johnson"/>
        <s v="G. Dubois"/>
        <s v="L. Okafor"/>
        <s v="B. Chen"/>
        <s v="E. Garcia"/>
        <s v="O. Wang"/>
        <s v="A. Patel"/>
        <s v="F. Müller"/>
        <s v="H. Kim"/>
        <s v="K. Singh"/>
        <s v="M. Rossi"/>
        <s v="N. Brown"/>
        <s v="D. Smith"/>
        <s v="Unassigned"/>
      </sharedItems>
    </cacheField>
    <cacheField name="ProductCategory" numFmtId="49">
      <sharedItems count="7">
        <s v="Components"/>
        <s v="Printers"/>
        <s v="Networking"/>
        <s v="Phones"/>
        <s v="Laptops"/>
        <s v="Monitors"/>
        <s v="Accessories"/>
      </sharedItems>
    </cacheField>
    <cacheField name="SKU" numFmtId="49">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165">
      <sharedItems containsSemiMixedTypes="0" containsString="0" containsNumber="1" minValue="5.34" maxValue="1495.79"/>
    </cacheField>
    <cacheField name="UnitPrice" numFmtId="165">
      <sharedItems containsSemiMixedTypes="0" containsString="0" containsNumber="1" minValue="-33.659999999999997" maxValue="3661.07"/>
    </cacheField>
    <cacheField name="DiscountPct" numFmtId="10">
      <sharedItems containsSemiMixedTypes="0" containsString="0" containsNumber="1" minValue="0" maxValue="0.56499999999999995"/>
    </cacheField>
    <cacheField name="DiscountPct-Corrected" numFmtId="10">
      <sharedItems containsMixedTypes="1" containsNumber="1" minValue="0" maxValue="0.29899999999999999" count="222">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s v="30%"/>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156"/>
        <n v="0.20699999999999999"/>
        <n v="5.8999999999999997E-2"/>
        <n v="0.08"/>
        <n v="0.1"/>
        <n v="0.17599999999999999"/>
        <n v="8.7999999999999995E-2"/>
        <n v="0.09"/>
        <n v="0.14099999999999999"/>
        <n v="1.4E-2"/>
        <n v="7.5999999999999998E-2"/>
        <n v="0.10299999999999999"/>
        <n v="0.121"/>
        <n v="4.2000000000000003E-2"/>
        <n v="6.5000000000000002E-2"/>
        <n v="0.23899999999999999"/>
        <n v="0.27"/>
        <n v="2.8000000000000001E-2"/>
        <n v="0.14499999999999999"/>
        <n v="0.158"/>
        <n v="0.21"/>
        <n v="0.24"/>
        <n v="0.29899999999999999"/>
        <n v="0.28199999999999997"/>
        <n v="0.26100000000000001"/>
        <n v="3.9E-2"/>
        <n v="0.17"/>
        <n v="0.27200000000000002"/>
        <n v="0.13200000000000001"/>
        <n v="0.106"/>
        <n v="5.8000000000000003E-2"/>
        <n v="0.25600000000000001"/>
        <n v="3.2000000000000001E-2"/>
        <n v="0.16300000000000001"/>
        <n v="0.19"/>
        <n v="9.8000000000000004E-2"/>
        <n v="8.3000000000000004E-2"/>
        <n v="6.4000000000000001E-2"/>
        <n v="7.6999999999999999E-2"/>
        <n v="0.217"/>
        <n v="0.22600000000000001"/>
        <n v="1.9E-2"/>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sharedItems>
    </cacheField>
    <cacheField name="Quantity" numFmtId="1">
      <sharedItems containsSemiMixedTypes="0" containsString="0" containsNumber="1" containsInteger="1" minValue="2" maxValue="61"/>
    </cacheField>
    <cacheField name="LeadTime days" numFmtId="1">
      <sharedItems containsSemiMixedTypes="0" containsString="0" containsNumber="1" containsInteger="1" minValue="0" maxValue="30" count="31">
        <n v="26"/>
        <n v="7"/>
        <n v="25"/>
        <n v="4"/>
        <n v="3"/>
        <n v="18"/>
        <n v="19"/>
        <n v="12"/>
        <n v="20"/>
        <n v="24"/>
        <n v="29"/>
        <n v="8"/>
        <n v="16"/>
        <n v="17"/>
        <n v="15"/>
        <n v="5"/>
        <n v="14"/>
        <n v="30"/>
        <n v="0"/>
        <n v="13"/>
        <n v="23"/>
        <n v="22"/>
        <n v="11"/>
        <n v="10"/>
        <n v="2"/>
        <n v="1"/>
        <n v="9"/>
        <n v="28"/>
        <n v="21"/>
        <n v="27"/>
        <n v="6"/>
      </sharedItems>
    </cacheField>
    <cacheField name="corrected unit price" numFmtId="165">
      <sharedItems containsMixedTypes="1" containsNumber="1" minValue="4.22" maxValue="3661.07"/>
    </cacheField>
    <cacheField name="GrossRevnue" numFmtId="165">
      <sharedItems containsSemiMixedTypes="0" containsString="0" containsNumber="1" minValue="18.659839999999999" maxValue="139277.83032000001" count="632">
        <n v="4866.3287999999993"/>
        <n v="17960.432489999999"/>
        <n v="12449.676359999999"/>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1404.1"/>
        <n v="10666.229420000001"/>
        <n v="17930.494560000003"/>
        <n v="32506.559399999998"/>
        <n v="7135.57"/>
        <n v="109244"/>
        <n v="35621.302319999995"/>
        <n v="34444.462359999998"/>
        <n v="14894.903999999999"/>
        <n v="599.53200000000004"/>
        <n v="5785.8"/>
        <n v="2518.8755800000004"/>
        <n v="215.19839999999996"/>
        <n v="31680.795320000001"/>
        <n v="29659.68995"/>
        <n v="4790.1068000000005"/>
        <n v="61842.466000000008"/>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717.72"/>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360.438"/>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667.9199999999983"/>
        <n v="27756.432000000001"/>
        <n v="2537.2908000000002"/>
        <n v="8764.4065599999994"/>
        <n v="7105.3528000000006"/>
        <n v="5610.0923999999995"/>
        <n v="4856.35725"/>
        <n v="16219.34496"/>
        <n v="28247.74656"/>
        <n v="38535.955099999999"/>
        <n v="3021.5016000000001"/>
        <n v="26106.613960000002"/>
        <n v="27465.647999999997"/>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52361.645000000004"/>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20038.536"/>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30018.667280000001"/>
        <n v="25174.028880000002"/>
        <n v="41419.524249999995"/>
        <n v="1030.7574"/>
        <n v="2355.2113199999999"/>
        <n v="30229.994880000002"/>
        <n v="10693.88488"/>
        <n v="50090.397499999999"/>
        <n v="32704.386400000003"/>
        <n v="13983.752729999998"/>
        <n v="5096.4790800000001"/>
        <n v="33017.42"/>
        <n v="40476.013200000001"/>
        <n v="12769.38768"/>
        <n v="266.17821999999995"/>
      </sharedItems>
    </cacheField>
    <cacheField name="Costofoods" numFmtId="165">
      <sharedItems containsSemiMixedTypes="0" containsString="0" containsNumber="1" minValue="22" maxValue="83258.290000000008"/>
    </cacheField>
    <cacheField name="GrossProfit" numFmtId="165">
      <sharedItems containsSemiMixedTypes="0" containsString="0" containsNumber="1" minValue="-15655.657510000005" maxValue="65188.659999999996" count="632">
        <n v="2353.1687999999995"/>
        <n v="-15655.657510000005"/>
        <n v="-5079.4436399999995"/>
        <n v="-493.1889599999995"/>
        <n v="1012.529700000001"/>
        <n v="1930.6699999999992"/>
        <n v="542.16963999999962"/>
        <n v="174.22776000000005"/>
        <n v="6942.0893400000004"/>
        <n v="19655.722359999992"/>
        <n v="1190.23344"/>
        <n v="-7801.4500000000007"/>
        <n v="1652.8040000000001"/>
        <n v="11932.200000000003"/>
        <n v="-1788.2399999999998"/>
        <n v="281.97720000000027"/>
        <n v="998.17479999999341"/>
        <n v="15758.091040000003"/>
        <n v="18869.124059999998"/>
        <n v="19975.662919999995"/>
        <n v="13321.51072"/>
        <n v="9254.0650400000013"/>
        <n v="3627.0920000000006"/>
        <n v="10028.504800000001"/>
        <n v="13511.830559999999"/>
        <n v="2628.8905599999998"/>
        <n v="580.29999999999973"/>
        <n v="-1162.7325000000005"/>
        <n v="2029.9500000000003"/>
        <n v="9517.3537200000028"/>
        <n v="1380.8273800000024"/>
        <n v="6267.8043199999993"/>
        <n v="3791.7852800000001"/>
        <n v="6765.2"/>
        <n v="14439.149999999998"/>
        <n v="26.034310000000914"/>
        <n v="-289.30311000000074"/>
        <n v="5937.6339200000002"/>
        <n v="3718.9489999999987"/>
        <n v="736.28838000000042"/>
        <n v="13458.530970000003"/>
        <n v="3321.5399999999991"/>
        <n v="11853.379999999997"/>
        <n v="5348.0594200000014"/>
        <n v="3071.0345600000037"/>
        <n v="9363.1594000000005"/>
        <n v="2744.8199999999997"/>
        <n v="65188.659999999996"/>
        <n v="14996.902319999994"/>
        <n v="5766.142359999998"/>
        <n v="3262.0239999999994"/>
        <n v="16.012000000000057"/>
        <n v="-2213.0999999999995"/>
        <n v="-134.55441999999994"/>
        <n v="-51.321600000000018"/>
        <n v="-838.84467999999833"/>
        <n v="16958.649949999999"/>
        <n v="2015.5468000000005"/>
        <n v="-6785.5339999999924"/>
        <n v="339.45080000000053"/>
        <n v="10156.301800000008"/>
        <n v="10059.770399999998"/>
        <n v="4309.9539999999997"/>
        <n v="9753.2374500000078"/>
        <n v="6364.275999999998"/>
        <n v="-4787.1626399999986"/>
        <n v="-1301.0384000000031"/>
        <n v="5527.4563499999986"/>
        <n v="-231.24455999999918"/>
        <n v="4519.0624999999991"/>
        <n v="2452.0571999999993"/>
        <n v="3222.8152799999998"/>
        <n v="-3229.0369499999979"/>
        <n v="-3542.4397800000006"/>
        <n v="128.32000000000062"/>
        <n v="1095.0028600000005"/>
        <n v="17265.827799999995"/>
        <n v="14141.576480000007"/>
        <n v="3308.5931999999993"/>
        <n v="1509.0979800000005"/>
        <n v="23631.505299999997"/>
        <n v="-684.33167999999932"/>
        <n v="2775.8196000000003"/>
        <n v="176.21174999999999"/>
        <n v="2587.1424799999986"/>
        <n v="98.49069999999665"/>
        <n v="532.26440000000184"/>
        <n v="-149.63339999999971"/>
        <n v="6082.1463999999996"/>
        <n v="179.23503999999997"/>
        <n v="3486.5026000000016"/>
        <n v="6327.5579999999991"/>
        <n v="3729.3862399999998"/>
        <n v="10601.273620000004"/>
        <n v="-569.27760000000035"/>
        <n v="23682.78611999999"/>
        <n v="0.36755999999999744"/>
        <n v="12051.719999999998"/>
        <n v="-2333.9909600000001"/>
        <n v="3888.8704799999978"/>
        <n v="31475.329999999998"/>
        <n v="-574.62240000000111"/>
        <n v="7635.2499999999991"/>
        <n v="2749.4340000000007"/>
        <n v="5307.8548499999997"/>
        <n v="-1809.9048000000003"/>
        <n v="17.504369999999994"/>
        <n v="10021.924440000003"/>
        <n v="838.99999999999989"/>
        <n v="-36.079899999999952"/>
        <n v="12820.409999999998"/>
        <n v="9970.4653199999957"/>
        <n v="-13.550940000000004"/>
        <n v="554.49349999999981"/>
        <n v="-626.22"/>
        <n v="12734.366720000002"/>
        <n v="-512.06805000000008"/>
        <n v="33103.559599999993"/>
        <n v="2373.1758"/>
        <n v="187.20848999999998"/>
        <n v="21088.284389999997"/>
        <n v="11306.565629999999"/>
        <n v="-683.90712000000167"/>
        <n v="-90.738400000000183"/>
        <n v="647.40584000000035"/>
        <n v="-4400.9212799999987"/>
        <n v="24667.226140000013"/>
        <n v="-107.15723000000003"/>
        <n v="1222.1486999999997"/>
        <n v="8628.0886800000007"/>
        <n v="4384.2640800000008"/>
        <n v="-1697.6165800000008"/>
        <n v="-6722.3104000000003"/>
        <n v="1056.16408"/>
        <n v="-6157.3283199999987"/>
        <n v="13229.010859999999"/>
        <n v="1225.2638399999978"/>
        <n v="-227.05725000000075"/>
        <n v="9088.9779200000085"/>
        <n v="-69.439300000000003"/>
        <n v="22992.449919999992"/>
        <n v="3695.3442000000005"/>
        <n v="3072.3358599999992"/>
        <n v="2614.3501500000002"/>
        <n v="9464.3270399999983"/>
        <n v="6616.4780800000017"/>
        <n v="-1785.8571000000006"/>
        <n v="3753.26"/>
        <n v="5456.7140000000018"/>
        <n v="19149.805439999996"/>
        <n v="-4311.6158400000013"/>
        <n v="3537.3105000000032"/>
        <n v="-2445.7271999999994"/>
        <n v="14795.950080000001"/>
        <n v="2336.6104000000032"/>
        <n v="614.64468000000124"/>
        <n v="3922.8047000000006"/>
        <n v="10696.672500000001"/>
        <n v="5487.6788399999996"/>
        <n v="12178.014519999993"/>
        <n v="7057.3714999999975"/>
        <n v="1594.9244000000008"/>
        <n v="991.66116000000147"/>
        <n v="5844.0739999999996"/>
        <n v="4504.4463999999998"/>
        <n v="31306.100319999998"/>
        <n v="-687.08130000000165"/>
        <n v="-921.67541999999958"/>
        <n v="1383.4284000000007"/>
        <n v="597.01219999999967"/>
        <n v="1720.7091200000013"/>
        <n v="4700.8295999999991"/>
        <n v="28.5154"/>
        <n v="12598.587599999999"/>
        <n v="505.51567999999997"/>
        <n v="38988.19"/>
        <n v="7162.3605599999992"/>
        <n v="-188.05708999999996"/>
        <n v="3902.0495999999994"/>
        <n v="-163.98382000000038"/>
        <n v="-3.3401600000000009"/>
        <n v="18700.046200000012"/>
        <n v="3856.5059999999999"/>
        <n v="3164.4668300000012"/>
        <n v="2878.2584100000022"/>
        <n v="1576.3499999999985"/>
        <n v="1263.5064600000001"/>
        <n v="-4793.2122499999969"/>
        <n v="9387.2301599999992"/>
        <n v="1059.4094000000005"/>
        <n v="661.72535000000062"/>
        <n v="4296.3850000000002"/>
        <n v="-4346.2051199999987"/>
        <n v="-1516.5235200000006"/>
        <n v="931.85976000000028"/>
        <n v="4994.4471599999997"/>
        <n v="-2229.0502000000051"/>
        <n v="4090.8064399999994"/>
        <n v="349.06241999999929"/>
        <n v="22872.233749999999"/>
        <n v="-40.490820000000895"/>
        <n v="-299.80320000000029"/>
        <n v="9950.4599999999991"/>
        <n v="11703.957579999995"/>
        <n v="13357.942800000001"/>
        <n v="13169.08736"/>
        <n v="1616.3301999999994"/>
        <n v="14990.295839999995"/>
        <n v="2093.1093699999965"/>
        <n v="5798.4071999999978"/>
        <n v="8200.7143200000046"/>
        <n v="420.30719999999997"/>
        <n v="-12.25536000000011"/>
        <n v="11215.619999999999"/>
        <n v="3192.54936"/>
        <n v="1386.4697999999989"/>
        <n v="139.68969000000106"/>
        <n v="1024.7667200000001"/>
        <n v="1444.3124800000005"/>
        <n v="12346.561240000001"/>
        <n v="7038.989099999998"/>
        <n v="180.13699999999994"/>
        <n v="2092.0364"/>
        <n v="38215.171199999982"/>
        <n v="-846.72300000000178"/>
        <n v="10769.349499999998"/>
        <n v="12897.698970000001"/>
        <n v="574.26300000000083"/>
        <n v="4476.3208099999974"/>
        <n v="-2794.4790999999996"/>
        <n v="-206.76991999999996"/>
        <n v="3055.7827299999999"/>
        <n v="903.68360000000007"/>
        <n v="2152.21776"/>
        <n v="1172.1485999999986"/>
        <n v="1269.9647999999979"/>
        <n v="4902.8217599999989"/>
        <n v="56019.54032"/>
        <n v="-309.11250000000018"/>
        <n v="1089.5708"/>
        <n v="1354.0691200000006"/>
        <n v="2339.9156000000012"/>
        <n v="7112.1846399999922"/>
        <n v="171.74303999999995"/>
        <n v="-3967.9639999999999"/>
        <n v="1400.1489199999999"/>
        <n v="1668.5088000000005"/>
        <n v="244.60668000000004"/>
        <n v="378.92000000000007"/>
        <n v="2109.6841600000007"/>
        <n v="5705.2086000000018"/>
        <n v="5892.3036000000011"/>
        <n v="-472.29699999999866"/>
        <n v="12700.39488"/>
        <n v="3613.0251599999992"/>
        <n v="14126.6556"/>
        <n v="5840.7196499999991"/>
        <n v="326.32055999999966"/>
        <n v="1855.922"/>
        <n v="-3886.0768000000007"/>
        <n v="9441.9554400000034"/>
        <n v="7663.3438000000006"/>
        <n v="2357.2576000000008"/>
        <n v="-3.0916800000001103"/>
        <n v="6618.7546199999924"/>
        <n v="-7932.1877600000025"/>
        <n v="17764.670160000009"/>
        <n v="7436.8288800000009"/>
        <n v="-424.0600000000004"/>
        <n v="478.21139999999923"/>
        <n v="1416.9634999999998"/>
        <n v="1906.7286400000003"/>
        <n v="5917.8263200000001"/>
        <n v="7889.1159999999982"/>
        <n v="5377.619099999999"/>
        <n v="101.57250000000022"/>
        <n v="26014.755999999994"/>
        <n v="2985.9064800000001"/>
        <n v="14885.234000000004"/>
        <n v="4140.392499999999"/>
        <n v="7567.2115200000026"/>
        <n v="5611.7179999999998"/>
        <n v="116.6400000000001"/>
        <n v="4215.3568799999994"/>
        <n v="3290.3196000000007"/>
        <n v="95.32740000000058"/>
        <n v="-22.141279999999995"/>
        <n v="10428.937380000001"/>
        <n v="12392.940239999998"/>
        <n v="-6073.8631199999982"/>
        <n v="9686.9653199999993"/>
        <n v="311.12708000000009"/>
        <n v="7380.8740600000019"/>
        <n v="4234.9950000000008"/>
        <n v="1827.6839999999984"/>
        <n v="10919.815130000001"/>
        <n v="1511.2410499999996"/>
        <n v="831.8713200000002"/>
        <n v="-34.959239999999994"/>
        <n v="-318.55999999999949"/>
        <n v="9182.3640799999994"/>
        <n v="4017.1204799999987"/>
        <n v="11756.318200000002"/>
        <n v="-833.82159999999931"/>
        <n v="3153.2256000000002"/>
        <n v="948.27071999999976"/>
        <n v="8274.5520000000033"/>
        <n v="580.64128000000073"/>
        <n v="1910.7941999999989"/>
        <n v="4223.99586"/>
        <n v="14002.633800000003"/>
        <n v="60.978399999999965"/>
        <n v="4212.1007999999993"/>
        <n v="17626.95"/>
        <n v="847.49335999999948"/>
        <n v="3847.7309000000014"/>
        <n v="2656.3869199999999"/>
        <n v="1037.7937500000007"/>
        <n v="880.30409999999983"/>
        <n v="6640.2841399999888"/>
        <n v="12511.704000000002"/>
        <n v="-1411.8323999999975"/>
        <n v="21349.434539999998"/>
        <n v="-342.99719999999991"/>
        <n v="14901.819459999995"/>
        <n v="1982.7283200000002"/>
        <n v="1133.8823200000002"/>
        <n v="1117.1131499999997"/>
        <n v="2830.2199999999984"/>
        <n v="12650.022000000001"/>
        <n v="1329.0108000000002"/>
        <n v="3237.4565599999996"/>
        <n v="2776.3528000000006"/>
        <n v="-314.85760000000028"/>
        <n v="2449.7572500000001"/>
        <n v="7197.3949600000014"/>
        <n v="14008.02656"/>
        <n v="15439.445099999997"/>
        <n v="-1539.9684000000002"/>
        <n v="8725.8939600000012"/>
        <n v="11590.847999999996"/>
        <n v="408.99759999999969"/>
        <n v="11189.529999999999"/>
        <n v="1548.0996600000017"/>
        <n v="1703.3347799999999"/>
        <n v="6158.3379999999988"/>
        <n v="36649.677010000007"/>
        <n v="1040.7000000000003"/>
        <n v="12237.134079999998"/>
        <n v="6339.2946000000011"/>
        <n v="750.9625200000005"/>
        <n v="1542.8678099999997"/>
        <n v="8381.3829799999985"/>
        <n v="10149.768000000004"/>
        <n v="568.58960000000025"/>
        <n v="9388.5682799999995"/>
        <n v="22253.58"/>
        <n v="17565.881399999995"/>
        <n v="222.30000000000018"/>
        <n v="6152.7419200000022"/>
        <n v="12333.184799999999"/>
        <n v="-2304.3217600000007"/>
        <n v="43304.491519999996"/>
        <n v="-1939.0766400000002"/>
        <n v="1206.7310399999988"/>
        <n v="2586.5935199999985"/>
        <n v="9185.8899200000033"/>
        <n v="10131.900299999998"/>
        <n v="7386.7860000000019"/>
        <n v="483.17359999999962"/>
        <n v="1176.75108"/>
        <n v="3514.0600000000013"/>
        <n v="15712.274740000001"/>
        <n v="-814.89194000000043"/>
        <n v="13194.487679999998"/>
        <n v="4801.8023200000025"/>
        <n v="16544.093059999999"/>
        <n v="3098.002599999998"/>
        <n v="3551.3889600000011"/>
        <n v="18127.018079999998"/>
        <n v="1875.6429999999982"/>
        <n v="1208.877599999998"/>
        <n v="5584.5999999999985"/>
        <n v="726.64300000000367"/>
        <n v="-1686.7825199999988"/>
        <n v="-13932.289700000001"/>
        <n v="3824.6457599999994"/>
        <n v="3477.5026999999973"/>
        <n v="-3220.9520899999989"/>
        <n v="210.27248000000006"/>
        <n v="-220.9621700000007"/>
        <n v="1375.2635000000002"/>
        <n v="12740.595000000008"/>
        <n v="1049.07402"/>
        <n v="9437.7689599999994"/>
        <n v="2013.3384200000019"/>
        <n v="28223.377799999995"/>
        <n v="-1800.7678400000004"/>
        <n v="6634.0429999999997"/>
        <n v="2404.4722199999997"/>
        <n v="2065.0630000000001"/>
        <n v="1263.8648000000012"/>
        <n v="619.69184000000132"/>
        <n v="2742.9239000000007"/>
        <n v="-1909.0989000000009"/>
        <n v="5553.2702399999989"/>
        <n v="3398.3838000000032"/>
        <n v="-4332.002040000003"/>
        <n v="-552.54583999999977"/>
        <n v="6687.9600000000028"/>
        <n v="1594.7103199999997"/>
        <n v="-400.379539999999"/>
        <n v="674.64560000000006"/>
        <n v="7756.4106900000006"/>
        <n v="17727.673040000001"/>
        <n v="9397.9283999999989"/>
        <n v="-2730.2168000000001"/>
        <n v="1163.8715000000002"/>
        <n v="257.89835999999997"/>
        <n v="1935.3365999999996"/>
        <n v="3505.8484000000008"/>
        <n v="2753.1560999999983"/>
        <n v="46964.342039999996"/>
        <n v="-6106.5196800000049"/>
        <n v="22623.474960000007"/>
        <n v="7085.4631999999983"/>
        <n v="3742.5149999999994"/>
        <n v="-734.00400000000081"/>
        <n v="2487.7800000000007"/>
        <n v="18674.741999999995"/>
        <n v="6357.5847499999973"/>
        <n v="32830.14"/>
        <n v="-1214.2760000000003"/>
        <n v="6126.4386400000003"/>
        <n v="-412.61687999999981"/>
        <n v="4025.4000000000015"/>
        <n v="2771.1642200000006"/>
        <n v="3091.1091399999996"/>
        <n v="3612.4492800000007"/>
        <n v="679.73844000000008"/>
        <n v="9896.7990000000009"/>
        <n v="2731.0472800000007"/>
        <n v="16530.425009999999"/>
        <n v="3078.7628799999998"/>
        <n v="9942.4500000000007"/>
        <n v="937.01872000000003"/>
        <n v="4768.4883199999995"/>
        <n v="700.32725000000028"/>
        <n v="17820.683360000003"/>
        <n v="-1143.8999999999978"/>
        <n v="5833.72055"/>
        <n v="10897.877"/>
        <n v="12880.125119999999"/>
        <n v="4377.4812500000007"/>
        <n v="10922.848349999995"/>
        <n v="5578.9460800000015"/>
        <n v="7885.92"/>
        <n v="-716.66688000000067"/>
        <n v="3973.7249999999995"/>
        <n v="7889.0499999999993"/>
        <n v="391.35456000000022"/>
        <n v="235.04574000000002"/>
        <n v="364.71759999999995"/>
        <n v="408.37159999999994"/>
        <n v="706.32592"/>
        <n v="30705.719600000004"/>
        <n v="1265.9967000000001"/>
        <n v="4403.8243899999998"/>
        <n v="7697.7899999999972"/>
        <n v="4970.8499799999972"/>
        <n v="5243.9373600000008"/>
        <n v="18506.849260000003"/>
        <n v="7606.243199999999"/>
        <n v="3320.6713199999995"/>
        <n v="8370.8954999999969"/>
        <n v="12003.372039999997"/>
        <n v="-44.50309999999979"/>
        <n v="-2400.2454000000007"/>
        <n v="20094.585840000003"/>
        <n v="4351.729800000001"/>
        <n v="20983.832960000007"/>
        <n v="2360.8761000000004"/>
        <n v="16862.697000000004"/>
        <n v="1268.6790600000004"/>
        <n v="4910.9716500000031"/>
        <n v="142.1317199999994"/>
        <n v="1993.4393599999994"/>
        <n v="13734.075000000003"/>
        <n v="806.27655999999934"/>
        <n v="3748.4403999999995"/>
        <n v="611.25000000000011"/>
        <n v="3688.2"/>
        <n v="-2349.5385100000003"/>
        <n v="56.749199999999995"/>
        <n v="3024.3151199999993"/>
        <n v="2213.4219799999996"/>
        <n v="15178.158960000001"/>
        <n v="-5343.5467799999969"/>
        <n v="4570.1896000000015"/>
        <n v="7984.4047400000018"/>
        <n v="9874.6355399999993"/>
        <n v="-4899.589100000002"/>
        <n v="5478.4129400000002"/>
        <n v="2972.0374499999998"/>
        <n v="1219.3191000000006"/>
        <n v="17322.55802"/>
        <n v="8697.1514000000025"/>
        <n v="7333.3067999999994"/>
        <n v="1650.9744000000005"/>
        <n v="3780.3786000000009"/>
        <n v="515.88306000000011"/>
        <n v="825.43056000000024"/>
        <n v="4444.2353999999978"/>
        <n v="1169.0336000000002"/>
        <n v="17596.920000000006"/>
        <n v="3835.7"/>
        <n v="4675.2522299999982"/>
        <n v="479.17592000000002"/>
        <n v="3292.8142799999996"/>
        <n v="-128.18118000000015"/>
        <n v="1025.2031999999999"/>
        <n v="34611.296999999999"/>
        <n v="5313.6899999999987"/>
        <n v="8421.6234000000022"/>
        <n v="2189.7755999999999"/>
        <n v="3109.7852499999999"/>
        <n v="242.27804999999989"/>
        <n v="2742.24"/>
        <n v="11385.971219999999"/>
        <n v="19424.699999999997"/>
        <n v="827.62866000000031"/>
        <n v="33.349799999999846"/>
        <n v="-1.0130400000000463"/>
        <n v="5160.3977999999997"/>
        <n v="19412.054400000008"/>
        <n v="6447.8868000000002"/>
        <n v="1110.4472399999995"/>
        <n v="23833.066320000002"/>
        <n v="11241.921599999996"/>
        <n v="29722.714239999994"/>
        <n v="-1585.5629999999996"/>
        <n v="10770.829999999998"/>
        <n v="8727.9235199999966"/>
        <n v="-930.44016000000011"/>
        <n v="7671.1285000000016"/>
        <n v="353.03711999999905"/>
        <n v="2180.0596199999995"/>
        <n v="5138.6899199999989"/>
        <n v="6301.4439300000049"/>
        <n v="2501.7599999999984"/>
        <n v="14144.854499999992"/>
        <n v="893.76407999999992"/>
        <n v="5947.254719999999"/>
        <n v="4094.1692000000021"/>
        <n v="1906.4620800000012"/>
        <n v="18094.537499999999"/>
        <n v="20471.22"/>
        <n v="26690.819219999998"/>
        <n v="4120.9564500000015"/>
        <n v="5392.0058400000007"/>
        <n v="-6806.52"/>
        <n v="67.082999999998719"/>
        <n v="10347.694500000001"/>
        <n v="4493.9954400000006"/>
        <n v="1373.3855999999996"/>
        <n v="2128.0721199999994"/>
        <n v="1504.4411200000013"/>
        <n v="17260.177960000005"/>
        <n v="12487.920689999997"/>
        <n v="17422.559999999998"/>
        <n v="1711.3478399999999"/>
        <n v="1230.2980000000002"/>
        <n v="388.23536000000001"/>
        <n v="4918.4742400000014"/>
        <n v="-86.748960000000807"/>
        <n v="89.536600000000021"/>
        <n v="1611.2903999999999"/>
        <n v="6341.2615999999998"/>
        <n v="1473.4734000000008"/>
        <n v="1977.25864"/>
        <n v="544.52427999999873"/>
        <n v="3556.601999999999"/>
        <n v="671.72760000000017"/>
        <n v="11831.751749999996"/>
        <n v="1250.7751599999997"/>
        <n v="7568.7026100000021"/>
        <n v="177.36"/>
        <n v="5406.6759999999995"/>
        <n v="34487.324250000005"/>
        <n v="5877.0835200000001"/>
        <n v="-2835.7499999999982"/>
        <n v="1784.3703000000005"/>
        <n v="25354.521920000003"/>
        <n v="-536.95039999999972"/>
        <n v="4221.2300000000005"/>
        <n v="8129.7396000000017"/>
        <n v="2461.1687499999989"/>
        <n v="1621.1100000000001"/>
        <n v="1274.63688"/>
        <n v="1829.6422499999999"/>
        <n v="15214.592760000003"/>
        <n v="-1892.7636000000011"/>
        <n v="230.27020000000005"/>
        <n v="20355.867999999999"/>
        <n v="2617.8116999999997"/>
        <n v="-1889.6568600000001"/>
        <n v="555.10411000000022"/>
        <n v="15978.606029999999"/>
        <n v="729.65017999999986"/>
        <n v="-7.7899999999999636"/>
        <n v="1466.8601599999984"/>
        <n v="8001.8276800000003"/>
        <n v="777.95999999999913"/>
        <n v="47729.039799999991"/>
        <n v="7152.6135200000008"/>
        <n v="2558.6583600000013"/>
        <n v="6092.4014399999996"/>
        <n v="9778.3072800000009"/>
        <n v="993.24888000000283"/>
        <n v="6301.4242499999964"/>
        <n v="277.66739999999993"/>
        <n v="1174.4513199999999"/>
        <n v="-1911.76512"/>
        <n v="2018.9248800000005"/>
        <n v="23519.177499999998"/>
        <n v="13817.826400000005"/>
        <n v="-8912.0172700000021"/>
        <n v="2610.03908"/>
        <n v="14455.96"/>
        <n v="21180.193200000002"/>
        <n v="6312.5076799999997"/>
        <n v="-96.841780000000028"/>
      </sharedItems>
    </cacheField>
    <cacheField name="MarginPct " numFmtId="166">
      <sharedItems containsSemiMixedTypes="0" containsString="0" containsNumber="1" minValue="-0.87167486187856302" maxValue="0.59672531214528945"/>
    </cacheField>
    <cacheField name="ClassificationofRevenuePerSKU" numFmtId="0">
      <sharedItems/>
    </cacheField>
    <cacheField name="Quarters" numFmtId="0" databaseField="0">
      <fieldGroup base="1">
        <rangePr groupBy="quarters" startDate="2023-01-02T00:00:00" endDate="2025-09-16T00:00:00"/>
        <groupItems count="6">
          <s v="&lt;1/2/2023"/>
          <s v="Qtr1"/>
          <s v="Qtr2"/>
          <s v="Qtr3"/>
          <s v="Qtr4"/>
          <s v="&gt;9/16/2025"/>
        </groupItems>
      </fieldGroup>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32">
  <r>
    <x v="0"/>
    <x v="0"/>
    <d v="2024-04-06T00:00:00"/>
    <d v="2024-04-06T00:00:00"/>
    <n v="26"/>
    <s v="Q1-2024"/>
    <s v="Africa"/>
    <x v="0"/>
    <s v="Kisumu"/>
    <s v="Corporate"/>
    <s v="Retail"/>
    <s v="C. Otieno"/>
    <x v="0"/>
    <n v="4.4527381264546376E-2"/>
    <x v="0"/>
    <n v="279.24"/>
    <n v="608.9"/>
    <s v="Profit"/>
    <n v="0.112"/>
    <n v="9"/>
    <x v="0"/>
    <n v="2513.16"/>
    <n v="2353.1687999999995"/>
    <n v="0.48356140670149533"/>
  </r>
  <r>
    <x v="1"/>
    <x v="1"/>
    <d v="2024-10-22T00:00:00"/>
    <d v="2024-10-30T00:00:00"/>
    <n v="7"/>
    <s v="Q4-2024"/>
    <s v="Africa"/>
    <x v="1"/>
    <s v="Port Harcourt"/>
    <s v="Education"/>
    <s v="Online"/>
    <s v="J. Njeri"/>
    <x v="1"/>
    <n v="0.16433970206829759"/>
    <x v="1"/>
    <n v="1084.3900000000001"/>
    <n v="759.33"/>
    <s v="Loss"/>
    <n v="0.23699999999999999"/>
    <n v="31"/>
    <x v="1"/>
    <n v="33616.090000000004"/>
    <n v="-15655.657510000005"/>
    <n v="-0.87167486187856302"/>
  </r>
  <r>
    <x v="2"/>
    <x v="2"/>
    <d v="2023-03-25T00:00:00"/>
    <d v="2023-03-25T00:00:00"/>
    <n v="25"/>
    <s v="Q1-2023"/>
    <s v="Africa"/>
    <x v="0"/>
    <s v="Nairobi"/>
    <s v="Corporate"/>
    <s v="Retail"/>
    <s v="I. Johnson"/>
    <x v="2"/>
    <n v="2.9254917517711316E-3"/>
    <x v="2"/>
    <n v="1460.76"/>
    <n v="30.66"/>
    <s v="Loss"/>
    <n v="0.13100000000000001"/>
    <n v="12"/>
    <x v="2"/>
    <n v="17529.12"/>
    <n v="-17209.397519999999"/>
    <n v="-53.826047890032626"/>
  </r>
  <r>
    <x v="3"/>
    <x v="3"/>
    <d v="2025-04-02T00:00:00"/>
    <d v="2025-04-02T00:00:00"/>
    <n v="4"/>
    <s v="Q1-2025"/>
    <s v="Africa"/>
    <x v="1"/>
    <s v="Lagos"/>
    <s v="Non-Profit"/>
    <s v="Marketplace"/>
    <s v="G. Dubois"/>
    <x v="3"/>
    <n v="4.7811737630361686E-2"/>
    <x v="3"/>
    <n v="259.93"/>
    <n v="255.94"/>
    <s v="Loss"/>
    <n v="7.1999999999999995E-2"/>
    <n v="22"/>
    <x v="3"/>
    <n v="5718.46"/>
    <n v="-493.1889599999995"/>
    <n v="-9.4385335463861311E-2"/>
  </r>
  <r>
    <x v="4"/>
    <x v="4"/>
    <d v="2023-12-31T00:00:00"/>
    <d v="2023-12-31T00:00:00"/>
    <n v="25"/>
    <s v="Q4-2023"/>
    <s v="Asia"/>
    <x v="2"/>
    <s v="Osaka"/>
    <s v="Consumer"/>
    <s v="Retail"/>
    <s v="L. Okafor"/>
    <x v="1"/>
    <n v="0.10026657877927599"/>
    <x v="4"/>
    <n v="663.03"/>
    <n v="813.51"/>
    <s v="Profit"/>
    <n v="0.10199999999999999"/>
    <n v="15"/>
    <x v="4"/>
    <n v="9945.4499999999989"/>
    <n v="1012.529700000001"/>
    <n v="9.2401129379715952E-2"/>
  </r>
  <r>
    <x v="5"/>
    <x v="5"/>
    <d v="2023-01-05T00:00:00"/>
    <d v="2023-01-05T00:00:00"/>
    <n v="3"/>
    <s v="Q1-2023"/>
    <s v="Americas"/>
    <x v="3"/>
    <s v="Toronto"/>
    <s v="Corporate"/>
    <s v="Distributor"/>
    <s v="B. Chen"/>
    <x v="4"/>
    <n v="3.7897506355560599E-2"/>
    <x v="5"/>
    <n v="315.87"/>
    <n v="591.67999999999995"/>
    <s v="Profit"/>
    <n v="0"/>
    <n v="7"/>
    <x v="5"/>
    <n v="2211.09"/>
    <n v="1930.6699999999992"/>
    <n v="0.46614724175229844"/>
  </r>
  <r>
    <x v="6"/>
    <x v="6"/>
    <d v="2025-01-14T00:00:00"/>
    <d v="2025-01-14T00:00:00"/>
    <n v="18"/>
    <s v="Q4-2024"/>
    <s v="Asia"/>
    <x v="4"/>
    <s v="Bengaluru"/>
    <s v="Small Business"/>
    <s v="Marketplace"/>
    <s v="E. Garcia"/>
    <x v="5"/>
    <n v="2.6411294613136838E-2"/>
    <x v="6"/>
    <n v="586.07000000000005"/>
    <n v="845.97"/>
    <s v="Profit"/>
    <n v="0.14699999999999999"/>
    <n v="4"/>
    <x v="6"/>
    <n v="2344.2800000000002"/>
    <n v="542.16963999999962"/>
    <n v="0.18783270370862928"/>
  </r>
  <r>
    <x v="7"/>
    <x v="7"/>
    <d v="2023-01-13T00:00:00"/>
    <d v="2023-01-22T00:00:00"/>
    <n v="7"/>
    <s v="Q1-2023"/>
    <s v="Africa"/>
    <x v="1"/>
    <s v="Abuja"/>
    <s v="Education"/>
    <s v="Online"/>
    <s v="O. Wang"/>
    <x v="1"/>
    <n v="6.2684365556163737E-3"/>
    <x v="7"/>
    <n v="28.38"/>
    <n v="47.22"/>
    <s v="Profit"/>
    <n v="0.19400000000000001"/>
    <n v="18"/>
    <x v="7"/>
    <n v="510.84"/>
    <n v="174.22776000000005"/>
    <n v="0.25432193743871417"/>
  </r>
  <r>
    <x v="8"/>
    <x v="8"/>
    <d v="2024-05-29T00:00:00"/>
    <d v="2024-05-29T00:00:00"/>
    <n v="25"/>
    <s v="Q2-2024"/>
    <s v="Africa"/>
    <x v="1"/>
    <s v="Abuja"/>
    <s v="Non-Profit"/>
    <s v="Marketplace"/>
    <s v="O. Wang"/>
    <x v="5"/>
    <n v="0.1346357128803192"/>
    <x v="8"/>
    <n v="1295.3399999999999"/>
    <n v="2530.81"/>
    <s v="Profit"/>
    <n v="3.1E-2"/>
    <n v="6"/>
    <x v="8"/>
    <n v="7772.0399999999991"/>
    <n v="6942.0893400000004"/>
    <n v="0.4717974933880798"/>
  </r>
  <r>
    <x v="9"/>
    <x v="9"/>
    <d v="2025-06-09T00:00:00"/>
    <d v="2025-06-09T00:00:00"/>
    <n v="19"/>
    <s v="Q2-2025"/>
    <s v="Americas"/>
    <x v="5"/>
    <s v="São Paulo"/>
    <s v="Non-Profit"/>
    <s v="Online"/>
    <s v="A. Patel"/>
    <x v="0"/>
    <n v="0.55750171555640349"/>
    <x v="9"/>
    <n v="1331.38"/>
    <n v="2309.56"/>
    <s v="Profit"/>
    <n v="0.14899999999999999"/>
    <n v="31"/>
    <x v="9"/>
    <n v="41272.780000000006"/>
    <n v="19655.722359999992"/>
    <n v="0.32260307735553528"/>
  </r>
  <r>
    <x v="10"/>
    <x v="10"/>
    <d v="2024-02-09T00:00:00"/>
    <d v="2024-02-09T00:00:00"/>
    <n v="12"/>
    <s v="Q1-2024"/>
    <s v="Europe"/>
    <x v="6"/>
    <s v="Berlin"/>
    <s v="Corporate"/>
    <s v="Online"/>
    <s v="G. Dubois"/>
    <x v="6"/>
    <n v="0.14645776740936578"/>
    <x v="10"/>
    <n v="644.16999999999996"/>
    <n v="700.12"/>
    <s v="Profit"/>
    <n v="6.0000000000000001E-3"/>
    <n v="23"/>
    <x v="10"/>
    <n v="14815.91"/>
    <n v="1190.23344"/>
    <n v="7.436103796405813E-2"/>
  </r>
  <r>
    <x v="11"/>
    <x v="11"/>
    <d v="2025-01-23T00:00:00"/>
    <d v="2025-01-23T00:00:00"/>
    <n v="20"/>
    <s v="Q1-2025"/>
    <s v="Asia"/>
    <x v="2"/>
    <s v="Osaka"/>
    <s v="Corporate"/>
    <s v="Distributor"/>
    <s v="F. Müller"/>
    <x v="3"/>
    <n v="9.4891539957809981E-2"/>
    <x v="11"/>
    <n v="908.6"/>
    <n v="691.37"/>
    <s v="Loss"/>
    <n v="0.25"/>
    <n v="20"/>
    <x v="11"/>
    <n v="18172"/>
    <n v="-7801.4500000000007"/>
    <n v="-0.75226964818645115"/>
  </r>
  <r>
    <x v="12"/>
    <x v="12"/>
    <d v="2025-03-31T00:00:00"/>
    <d v="2025-03-31T00:00:00"/>
    <n v="25"/>
    <s v="Q1-2025"/>
    <s v="Americas"/>
    <x v="5"/>
    <s v="Brasília"/>
    <s v="Non-Profit"/>
    <s v="Online"/>
    <s v="J. Njeri"/>
    <x v="0"/>
    <n v="4.546229427046191E-2"/>
    <x v="12"/>
    <n v="331.57"/>
    <n v="548.4"/>
    <s v="Profit"/>
    <n v="9.4E-2"/>
    <n v="10"/>
    <x v="12"/>
    <n v="3315.7"/>
    <n v="1652.8040000000001"/>
    <n v="0.33265626836568918"/>
  </r>
  <r>
    <x v="13"/>
    <x v="13"/>
    <d v="2024-02-13T00:00:00"/>
    <d v="2024-02-13T00:00:00"/>
    <n v="24"/>
    <s v="Q1-2024"/>
    <s v="Europe"/>
    <x v="7"/>
    <s v="Marseille"/>
    <s v="Corporate"/>
    <s v="Retail"/>
    <s v="H. Kim"/>
    <x v="1"/>
    <n v="0.19750621941173058"/>
    <x v="13"/>
    <n v="643.53"/>
    <n v="1439.01"/>
    <s v="Profit"/>
    <n v="0"/>
    <n v="15"/>
    <x v="13"/>
    <n v="9652.9499999999989"/>
    <n v="11932.200000000003"/>
    <n v="0.55279671440782208"/>
  </r>
  <r>
    <x v="14"/>
    <x v="14"/>
    <d v="2025-09-30T00:00:00"/>
    <d v="2025-09-30T00:00:00"/>
    <n v="29"/>
    <s v="Q3-2025"/>
    <s v="Americas"/>
    <x v="5"/>
    <s v="Brasília"/>
    <s v="Education"/>
    <s v="Retail"/>
    <s v="K. Singh"/>
    <x v="6"/>
    <n v="6.9347122254253504E-2"/>
    <x v="14"/>
    <n v="780.59"/>
    <n v="631.57000000000005"/>
    <s v="Loss"/>
    <n v="0"/>
    <n v="12"/>
    <x v="14"/>
    <n v="9367.08"/>
    <n v="-1788.2399999999998"/>
    <n v="-0.23595167598207639"/>
  </r>
  <r>
    <x v="15"/>
    <x v="15"/>
    <d v="2023-04-22T00:00:00"/>
    <d v="2023-04-30T00:00:00"/>
    <n v="7"/>
    <s v="Q2-2023"/>
    <s v="Africa"/>
    <x v="0"/>
    <s v="Nairobi"/>
    <s v="Small Business"/>
    <s v="Direct"/>
    <s v="E. Garcia"/>
    <x v="4"/>
    <n v="6.4879378700487142E-2"/>
    <x v="15"/>
    <n v="756.51"/>
    <n v="850.8"/>
    <s v="Profit"/>
    <n v="7.3999999999999996E-2"/>
    <n v="9"/>
    <x v="15"/>
    <n v="6808.59"/>
    <n v="281.97720000000027"/>
    <n v="3.9767932810791252E-2"/>
  </r>
  <r>
    <x v="16"/>
    <x v="16"/>
    <d v="2025-01-08T00:00:00"/>
    <d v="2025-01-08T00:00:00"/>
    <n v="29"/>
    <s v="Q4-2024"/>
    <s v="Europe"/>
    <x v="7"/>
    <s v="Marseille"/>
    <s v="Small Business"/>
    <s v="Retail"/>
    <s v="K. Singh"/>
    <x v="1"/>
    <n v="0.2374305162056041"/>
    <x v="16"/>
    <n v="891.08"/>
    <n v="1040.0999999999999"/>
    <s v="Profit"/>
    <n v="0.109"/>
    <n v="28"/>
    <x v="16"/>
    <n v="24950.240000000002"/>
    <n v="998.17479999999341"/>
    <n v="3.8467660074556598E-2"/>
  </r>
  <r>
    <x v="17"/>
    <x v="17"/>
    <d v="2025-09-16T00:00:00"/>
    <d v="2025-09-16T00:00:00"/>
    <n v="8"/>
    <s v="Q3-2025"/>
    <s v="Asia"/>
    <x v="2"/>
    <s v="Osaka"/>
    <s v="Corporate"/>
    <s v="Distributor"/>
    <s v="C. Otieno"/>
    <x v="3"/>
    <n v="0.32361341680031036"/>
    <x v="17"/>
    <n v="1225.57"/>
    <n v="2705.57"/>
    <s v="Profit"/>
    <n v="0.183"/>
    <n v="16"/>
    <x v="17"/>
    <n v="19609.12"/>
    <n v="15758.091040000003"/>
    <n v="0.44555650775453404"/>
  </r>
  <r>
    <x v="18"/>
    <x v="18"/>
    <d v="2025-08-05T00:00:00"/>
    <d v="2025-08-05T00:00:00"/>
    <n v="16"/>
    <s v="Q3-2025"/>
    <s v="Americas"/>
    <x v="5"/>
    <s v="Brasília"/>
    <s v="Enterprise"/>
    <s v="Marketplace"/>
    <s v="G. Dubois"/>
    <x v="6"/>
    <n v="0.34858378504221799"/>
    <x v="18"/>
    <n v="1068.17"/>
    <n v="2375.37"/>
    <s v="Profit"/>
    <n v="0.109"/>
    <n v="18"/>
    <x v="18"/>
    <n v="19227.060000000001"/>
    <n v="18869.124059999998"/>
    <n v="0.49530220744108822"/>
  </r>
  <r>
    <x v="19"/>
    <x v="9"/>
    <d v="2025-05-19T00:00:00"/>
    <d v="2025-05-28T00:00:00"/>
    <n v="7"/>
    <s v="Q2-2025"/>
    <s v="Europe"/>
    <x v="8"/>
    <s v="Birmingham"/>
    <s v="Enterprise"/>
    <s v="Online"/>
    <s v="M. Rossi"/>
    <x v="4"/>
    <n v="0.35926669603104561"/>
    <x v="19"/>
    <n v="1015.16"/>
    <n v="2148.14"/>
    <s v="Profit"/>
    <n v="3.7999999999999999E-2"/>
    <n v="19"/>
    <x v="19"/>
    <n v="19288.04"/>
    <n v="19975.662919999995"/>
    <n v="0.50875647059322227"/>
  </r>
  <r>
    <x v="20"/>
    <x v="19"/>
    <d v="2024-07-24T00:00:00"/>
    <d v="2024-08-01T00:00:00"/>
    <n v="7"/>
    <s v="Q3-2024"/>
    <s v="Africa"/>
    <x v="0"/>
    <s v="Mombasa"/>
    <s v="Non-Profit"/>
    <s v="Direct"/>
    <s v="J. Njeri"/>
    <x v="4"/>
    <n v="0.21761045344518207"/>
    <x v="20"/>
    <n v="1494.4"/>
    <n v="3661.07"/>
    <s v="Profit"/>
    <n v="7.1999999999999995E-2"/>
    <n v="7"/>
    <x v="20"/>
    <n v="10460.800000000001"/>
    <n v="13321.51072"/>
    <n v="0.56014366630897339"/>
  </r>
  <r>
    <x v="21"/>
    <x v="20"/>
    <d v="2023-05-28T00:00:00"/>
    <d v="2023-05-28T00:00:00"/>
    <n v="17"/>
    <s v="Q2-2023"/>
    <s v="Asia"/>
    <x v="9"/>
    <s v="Shenzhen"/>
    <s v="Enterprise"/>
    <s v="Marketplace"/>
    <s v="E. Garcia"/>
    <x v="2"/>
    <n v="0.18211973667036263"/>
    <x v="21"/>
    <n v="1331.19"/>
    <n v="2903.09"/>
    <s v="Profit"/>
    <n v="0.14299999999999999"/>
    <n v="8"/>
    <x v="21"/>
    <n v="10649.52"/>
    <n v="9254.0650400000013"/>
    <n v="0.46494463290920784"/>
  </r>
  <r>
    <x v="22"/>
    <x v="21"/>
    <d v="2025-06-29T00:00:00"/>
    <d v="2025-06-29T00:00:00"/>
    <n v="15"/>
    <s v="Q2-2025"/>
    <s v="Africa"/>
    <x v="1"/>
    <s v="Port Harcourt"/>
    <s v="Consumer"/>
    <s v="Marketplace"/>
    <s v="M. Rossi"/>
    <x v="6"/>
    <n v="0.10007453928540418"/>
    <x v="22"/>
    <n v="730.99"/>
    <n v="1242.8399999999999"/>
    <s v="Profit"/>
    <n v="0.12"/>
    <n v="10"/>
    <x v="22"/>
    <n v="7309.9"/>
    <n v="3627.0920000000006"/>
    <n v="0.33163524303574515"/>
  </r>
  <r>
    <x v="23"/>
    <x v="22"/>
    <d v="2024-05-23T00:00:00"/>
    <d v="2024-05-23T00:00:00"/>
    <n v="5"/>
    <s v="Q2-2024"/>
    <s v="Americas"/>
    <x v="10"/>
    <s v="Chicago"/>
    <s v="Enterprise"/>
    <s v="Retail"/>
    <s v="H. Kim"/>
    <x v="4"/>
    <n v="0.1850627717203899"/>
    <x v="23"/>
    <n v="1274.5899999999999"/>
    <n v="2553.69"/>
    <s v="Profit"/>
    <n v="0.01"/>
    <n v="8"/>
    <x v="23"/>
    <n v="10196.719999999999"/>
    <n v="10028.504800000001"/>
    <n v="0.49584145042481803"/>
  </r>
  <r>
    <x v="24"/>
    <x v="23"/>
    <d v="2023-02-12T00:00:00"/>
    <d v="2023-02-12T00:00:00"/>
    <n v="5"/>
    <s v="Q1-2023"/>
    <s v="Americas"/>
    <x v="5"/>
    <s v="São Paulo"/>
    <s v="Education"/>
    <s v="Online"/>
    <s v="N. Brown"/>
    <x v="0"/>
    <n v="0.22778645801921457"/>
    <x v="24"/>
    <n v="948.55"/>
    <n v="2089.16"/>
    <s v="Profit"/>
    <n v="7.0000000000000001E-3"/>
    <n v="12"/>
    <x v="24"/>
    <n v="11382.599999999999"/>
    <n v="13511.830559999999"/>
    <n v="0.54276519912492427"/>
  </r>
  <r>
    <x v="25"/>
    <x v="24"/>
    <d v="2024-07-14T00:00:00"/>
    <d v="2024-07-14T00:00:00"/>
    <n v="14"/>
    <s v="Q2-2024"/>
    <s v="Americas"/>
    <x v="5"/>
    <s v="Brasília"/>
    <s v="Education"/>
    <s v="Retail"/>
    <s v="C. Otieno"/>
    <x v="6"/>
    <n v="7.8656893719540877E-2"/>
    <x v="25"/>
    <n v="1491.85"/>
    <n v="2583.02"/>
    <s v="Profit"/>
    <n v="0.16800000000000001"/>
    <n v="4"/>
    <x v="25"/>
    <n v="5967.4"/>
    <n v="2628.8905599999998"/>
    <n v="0.30581685689321325"/>
  </r>
  <r>
    <x v="26"/>
    <x v="25"/>
    <d v="2024-12-30T00:00:00"/>
    <d v="2024-12-30T00:00:00"/>
    <n v="30"/>
    <s v="Q4-2024"/>
    <s v="Europe"/>
    <x v="7"/>
    <s v="Marseille"/>
    <s v="Consumer"/>
    <s v="Marketplace"/>
    <s v="F. Müller"/>
    <x v="1"/>
    <n v="1.6073975656439126E-2"/>
    <x v="26"/>
    <n v="117.64"/>
    <n v="175.67"/>
    <s v="Profit"/>
    <n v="0"/>
    <n v="10"/>
    <x v="26"/>
    <n v="1176.4000000000001"/>
    <n v="580.29999999999973"/>
    <n v="0.33033528775545046"/>
  </r>
  <r>
    <x v="27"/>
    <x v="26"/>
    <d v="2024-07-19T00:00:00"/>
    <d v="2024-07-19T00:00:00"/>
    <n v="0"/>
    <s v="Q3-2024"/>
    <s v="Africa"/>
    <x v="0"/>
    <s v="Kisumu"/>
    <s v="Small Business"/>
    <s v="Retail"/>
    <s v="A. Patel"/>
    <x v="3"/>
    <n v="3.6423860334948863E-2"/>
    <x v="27"/>
    <n v="857.24"/>
    <n v="758.23"/>
    <s v="Loss"/>
    <n v="0.125"/>
    <n v="6"/>
    <x v="27"/>
    <n v="5143.4400000000005"/>
    <n v="-1162.7325000000005"/>
    <n v="-0.29209192084572921"/>
  </r>
  <r>
    <x v="28"/>
    <x v="27"/>
    <d v="2023-05-14T00:00:00"/>
    <d v="2023-05-14T00:00:00"/>
    <n v="30"/>
    <s v="Q2-2023"/>
    <s v="Africa"/>
    <x v="0"/>
    <s v="Nakuru"/>
    <s v="Consumer"/>
    <s v="Marketplace"/>
    <s v="M. Rossi"/>
    <x v="3"/>
    <n v="3.5806160151862922E-2"/>
    <x v="28"/>
    <n v="209.25"/>
    <n v="434.8"/>
    <s v="Profit"/>
    <n v="0"/>
    <n v="9"/>
    <x v="28"/>
    <n v="1883.25"/>
    <n v="2029.9500000000003"/>
    <n v="0.51874425022999082"/>
  </r>
  <r>
    <x v="29"/>
    <x v="28"/>
    <d v="2025-04-11T00:00:00"/>
    <d v="2025-04-11T00:00:00"/>
    <n v="4"/>
    <s v="Q2-2025"/>
    <s v="Europe"/>
    <x v="7"/>
    <s v="Lyon"/>
    <s v="Education"/>
    <s v="Retail"/>
    <s v="E. Garcia"/>
    <x v="2"/>
    <n v="0.18377177463195096"/>
    <x v="29"/>
    <n v="754.77"/>
    <n v="1666.18"/>
    <s v="Profit"/>
    <n v="0.13900000000000001"/>
    <n v="14"/>
    <x v="29"/>
    <n v="10566.779999999999"/>
    <n v="9517.3537200000028"/>
    <n v="0.47387424584424653"/>
  </r>
  <r>
    <x v="30"/>
    <x v="6"/>
    <d v="2025-01-15T00:00:00"/>
    <d v="2025-01-15T00:00:00"/>
    <n v="19"/>
    <s v="Q4-2024"/>
    <s v="Asia"/>
    <x v="4"/>
    <s v="Delhi"/>
    <s v="Non-Profit"/>
    <s v="Distributor"/>
    <s v="G. Dubois"/>
    <x v="0"/>
    <n v="8.9724547627161158E-2"/>
    <x v="30"/>
    <n v="495.59"/>
    <n v="631.78"/>
    <s v="Profit"/>
    <n v="8.6999999999999994E-2"/>
    <n v="17"/>
    <x v="30"/>
    <n v="8425.0299999999988"/>
    <n v="1380.8273800000024"/>
    <n v="0.14081658813601899"/>
  </r>
  <r>
    <x v="31"/>
    <x v="29"/>
    <d v="2023-03-25T00:00:00"/>
    <d v="2023-03-25T00:00:00"/>
    <n v="30"/>
    <s v="Q1-2023"/>
    <s v="Americas"/>
    <x v="3"/>
    <s v="Montreal"/>
    <s v="Enterprise"/>
    <s v="Online"/>
    <s v="D. Smith"/>
    <x v="3"/>
    <n v="0.23927837393219925"/>
    <x v="31"/>
    <n v="1242.6600000000001"/>
    <n v="1794.07"/>
    <s v="Profit"/>
    <n v="8.8999999999999996E-2"/>
    <n v="16"/>
    <x v="31"/>
    <n v="19882.560000000001"/>
    <n v="6267.8043199999993"/>
    <n v="0.23968325042440553"/>
  </r>
  <r>
    <x v="32"/>
    <x v="30"/>
    <d v="2025-08-06T00:00:00"/>
    <d v="2025-08-06T00:00:00"/>
    <n v="13"/>
    <s v="Q3-2025"/>
    <s v="Africa"/>
    <x v="11"/>
    <s v="Johannesburg"/>
    <s v="Education"/>
    <s v="Marketplace"/>
    <s v="D. Smith"/>
    <x v="2"/>
    <n v="8.8274512517225012E-2"/>
    <x v="32"/>
    <n v="1463.9"/>
    <n v="2633.02"/>
    <s v="Profit"/>
    <n v="8.4000000000000005E-2"/>
    <n v="4"/>
    <x v="32"/>
    <n v="5855.6"/>
    <n v="3791.7852800000001"/>
    <n v="0.39303761277791527"/>
  </r>
  <r>
    <x v="33"/>
    <x v="31"/>
    <d v="2024-05-08T00:00:00"/>
    <d v="2024-05-08T00:00:00"/>
    <n v="20"/>
    <s v="Q2-2024"/>
    <s v="Europe"/>
    <x v="8"/>
    <s v="London"/>
    <s v="Non-Profit"/>
    <s v="not provided"/>
    <s v="D. Smith"/>
    <x v="4"/>
    <n v="0.12095055912485946"/>
    <x v="33"/>
    <n v="645.33000000000004"/>
    <n v="1321.85"/>
    <s v="Profit"/>
    <n v="0"/>
    <n v="10"/>
    <x v="33"/>
    <n v="6453.3"/>
    <n v="6765.2"/>
    <n v="0.51179785906116426"/>
  </r>
  <r>
    <x v="34"/>
    <x v="32"/>
    <d v="2024-08-21T00:00:00"/>
    <d v="2024-08-30T00:00:00"/>
    <n v="7"/>
    <s v="Q3-2024"/>
    <s v="Africa"/>
    <x v="11"/>
    <s v="Johannesburg"/>
    <s v="Education"/>
    <s v="Retail"/>
    <s v="E. Garcia"/>
    <x v="0"/>
    <n v="0.25008889967890513"/>
    <x v="34"/>
    <n v="1432.52"/>
    <n v="3036.87"/>
    <s v="Profit"/>
    <n v="0"/>
    <n v="9"/>
    <x v="34"/>
    <n v="12892.68"/>
    <n v="14439.149999999998"/>
    <n v="0.52829064135112791"/>
  </r>
  <r>
    <x v="35"/>
    <x v="33"/>
    <d v="2023-04-22T00:00:00"/>
    <d v="2023-04-22T00:00:00"/>
    <n v="26"/>
    <s v="Q1-2023"/>
    <s v="Asia"/>
    <x v="4"/>
    <s v="Delhi"/>
    <s v="Non-Profit"/>
    <s v="Marketplace"/>
    <s v="J. Njeri"/>
    <x v="1"/>
    <n v="6.0680189674448153E-2"/>
    <x v="35"/>
    <n v="178.53"/>
    <n v="199.37"/>
    <s v="Profit"/>
    <n v="0.10100000000000001"/>
    <n v="37"/>
    <x v="35"/>
    <n v="6605.61"/>
    <n v="26.034310000000914"/>
    <n v="3.9257699573457538E-3"/>
  </r>
  <r>
    <x v="36"/>
    <x v="34"/>
    <d v="2024-03-25T00:00:00"/>
    <d v="2024-03-25T00:00:00"/>
    <n v="18"/>
    <s v="Q1-2024"/>
    <s v="Europe"/>
    <x v="6"/>
    <s v="Munich"/>
    <s v="Corporate"/>
    <s v="Online"/>
    <s v="B. Chen"/>
    <x v="0"/>
    <n v="0.17346184017749286"/>
    <x v="36"/>
    <n v="712.84"/>
    <n v="927.51"/>
    <s v="Profit"/>
    <n v="0.24299999999999999"/>
    <n v="27"/>
    <x v="36"/>
    <n v="19246.68"/>
    <n v="-289.30311000000074"/>
    <n v="-1.5260714163076427E-2"/>
  </r>
  <r>
    <x v="37"/>
    <x v="35"/>
    <d v="2025-07-10T00:00:00"/>
    <d v="2025-07-10T00:00:00"/>
    <n v="16"/>
    <s v="Q2-2025"/>
    <s v="Asia"/>
    <x v="9"/>
    <s v="Shanghai"/>
    <s v="Enterprise"/>
    <s v="Direct"/>
    <s v="N. Brown"/>
    <x v="0"/>
    <n v="0.10975682364963875"/>
    <x v="37"/>
    <n v="757.19"/>
    <n v="1735.41"/>
    <s v="Profit"/>
    <n v="0.13600000000000001"/>
    <n v="8"/>
    <x v="37"/>
    <n v="6057.52"/>
    <n v="5937.6339200000002"/>
    <n v="0.4950027285685718"/>
  </r>
  <r>
    <x v="38"/>
    <x v="36"/>
    <d v="2024-05-06T00:00:00"/>
    <d v="2024-05-06T00:00:00"/>
    <n v="17"/>
    <s v="Q2-2024"/>
    <s v="Africa"/>
    <x v="1"/>
    <s v="Port Harcourt"/>
    <s v="Non-Profit"/>
    <s v="Online"/>
    <s v="A. Patel"/>
    <x v="1"/>
    <n v="0.13696084095506503"/>
    <x v="38"/>
    <n v="865.33"/>
    <n v="1395.64"/>
    <s v="Profit"/>
    <n v="0.17499999999999999"/>
    <n v="13"/>
    <x v="38"/>
    <n v="11249.29"/>
    <n v="3718.9489999999987"/>
    <n v="0.24845601409758347"/>
  </r>
  <r>
    <x v="39"/>
    <x v="37"/>
    <d v="2023-06-24T00:00:00"/>
    <d v="2023-06-24T00:00:00"/>
    <n v="7"/>
    <s v="Q2-2023"/>
    <s v="Americas"/>
    <x v="10"/>
    <s v="San Francisco"/>
    <s v="Corporate"/>
    <s v="Retail"/>
    <s v="I. Johnson"/>
    <x v="1"/>
    <n v="3.2594461230447375E-2"/>
    <x v="39"/>
    <n v="313.99"/>
    <n v="454.42"/>
    <s v="Profit"/>
    <n v="0.129"/>
    <n v="9"/>
    <x v="39"/>
    <n v="2825.91"/>
    <n v="736.28838000000042"/>
    <n v="0.20669493988147858"/>
  </r>
  <r>
    <x v="40"/>
    <x v="38"/>
    <d v="2024-09-19T00:00:00"/>
    <d v="2024-09-19T00:00:00"/>
    <n v="23"/>
    <s v="Q3-2024"/>
    <s v="Europe"/>
    <x v="6"/>
    <s v="Berlin"/>
    <s v="Small Business"/>
    <s v="Direct"/>
    <s v="D. Smith"/>
    <x v="5"/>
    <n v="0.37613122223821283"/>
    <x v="40"/>
    <n v="1024.01"/>
    <n v="1580.97"/>
    <s v="Profit"/>
    <n v="3.6999999999999998E-2"/>
    <n v="27"/>
    <x v="40"/>
    <n v="27648.27"/>
    <n v="13458.530970000003"/>
    <n v="0.3274039976942531"/>
  </r>
  <r>
    <x v="41"/>
    <x v="39"/>
    <d v="2024-02-02T00:00:00"/>
    <d v="2024-02-02T00:00:00"/>
    <n v="22"/>
    <s v="Q1-2024"/>
    <s v="Africa"/>
    <x v="11"/>
    <s v="Durban"/>
    <s v="Consumer"/>
    <s v="Online"/>
    <s v="K. Singh"/>
    <x v="2"/>
    <n v="9.6613496739722249E-2"/>
    <x v="41"/>
    <n v="1206.2"/>
    <n v="1759.79"/>
    <s v="Profit"/>
    <n v="0"/>
    <n v="6"/>
    <x v="41"/>
    <n v="7237.2000000000007"/>
    <n v="3321.5399999999991"/>
    <n v="0.31457730751964713"/>
  </r>
  <r>
    <x v="42"/>
    <x v="40"/>
    <d v="2024-11-14T00:00:00"/>
    <d v="2024-11-14T00:00:00"/>
    <n v="20"/>
    <s v="Q4-2024"/>
    <s v="Africa"/>
    <x v="0"/>
    <s v="Mombasa"/>
    <s v="Corporate"/>
    <s v="Direct"/>
    <s v="H. Kim"/>
    <x v="1"/>
    <n v="0.27996155123506183"/>
    <x v="42"/>
    <n v="1396.48"/>
    <n v="3204.5"/>
    <s v="Profit"/>
    <n v="0.318"/>
    <n v="14"/>
    <x v="42"/>
    <n v="19550.72"/>
    <n v="11045.845999999998"/>
    <n v="0.36101587348070363"/>
  </r>
  <r>
    <x v="43"/>
    <x v="41"/>
    <d v="2025-06-20T00:00:00"/>
    <d v="2025-06-20T00:00:00"/>
    <n v="22"/>
    <s v="Q2-2025"/>
    <s v="Europe"/>
    <x v="6"/>
    <s v="Berlin"/>
    <s v="Corporate"/>
    <s v="Direct"/>
    <s v="A. Patel"/>
    <x v="1"/>
    <n v="9.7597035374893185E-2"/>
    <x v="43"/>
    <n v="483.47"/>
    <n v="1135.43"/>
    <s v="Profit"/>
    <n v="0.14599999999999999"/>
    <n v="11"/>
    <x v="43"/>
    <n v="5318.17"/>
    <n v="5348.0594200000014"/>
    <n v="0.50140112399719983"/>
  </r>
  <r>
    <x v="44"/>
    <x v="42"/>
    <d v="2024-06-02T00:00:00"/>
    <d v="2024-06-02T00:00:00"/>
    <n v="13"/>
    <s v="Q2-2024"/>
    <s v="Americas"/>
    <x v="3"/>
    <s v="Vancouver"/>
    <s v="Enterprise"/>
    <s v="Marketplace"/>
    <s v="K. Singh"/>
    <x v="0"/>
    <n v="0.16406576710044646"/>
    <x v="44"/>
    <n v="675.43"/>
    <n v="996.36"/>
    <s v="Profit"/>
    <n v="0.182"/>
    <n v="22"/>
    <x v="44"/>
    <n v="14859.46"/>
    <n v="3071.0345600000037"/>
    <n v="0.17127439233332575"/>
  </r>
  <r>
    <x v="45"/>
    <x v="43"/>
    <d v="2023-04-30T00:00:00"/>
    <d v="2023-04-30T00:00:00"/>
    <n v="11"/>
    <s v="Q2-2023"/>
    <s v="Asia"/>
    <x v="4"/>
    <s v="Delhi"/>
    <s v="Small Business"/>
    <s v="Retail"/>
    <s v="A. Patel"/>
    <x v="2"/>
    <n v="0.29743817639334691"/>
    <x v="45"/>
    <n v="826.55"/>
    <n v="1397.05"/>
    <s v="Profit"/>
    <n v="0.16900000000000001"/>
    <n v="28"/>
    <x v="45"/>
    <n v="23143.399999999998"/>
    <n v="9363.1594000000005"/>
    <n v="0.28803907804527601"/>
  </r>
  <r>
    <x v="46"/>
    <x v="44"/>
    <d v="2023-07-03T00:00:00"/>
    <d v="2023-07-03T00:00:00"/>
    <n v="10"/>
    <s v="Q2-2023"/>
    <s v="Africa"/>
    <x v="1"/>
    <s v="Abuja"/>
    <s v="Consumer"/>
    <s v="Online"/>
    <s v="J. Njeri"/>
    <x v="1"/>
    <n v="6.5291158692330695E-2"/>
    <x v="46"/>
    <n v="337.75"/>
    <n v="548.89"/>
    <s v="Profit"/>
    <n v="0"/>
    <n v="13"/>
    <x v="46"/>
    <n v="4390.75"/>
    <n v="2744.8199999999997"/>
    <n v="0.38466723751571352"/>
  </r>
  <r>
    <x v="47"/>
    <x v="45"/>
    <d v="2024-05-28T00:00:00"/>
    <d v="2024-05-28T00:00:00"/>
    <n v="14"/>
    <s v="Q2-2024"/>
    <s v="Europe"/>
    <x v="8"/>
    <s v="Birmingham"/>
    <s v="Consumer"/>
    <s v="Retail"/>
    <s v="B. Chen"/>
    <x v="2"/>
    <n v="0.99959321262141299"/>
    <x v="47"/>
    <n v="1421.14"/>
    <n v="3524"/>
    <s v="Profit"/>
    <n v="0"/>
    <n v="31"/>
    <x v="47"/>
    <n v="44055.340000000004"/>
    <n v="65188.659999999996"/>
    <n v="0.59672531214528945"/>
  </r>
  <r>
    <x v="48"/>
    <x v="46"/>
    <d v="2024-11-08T00:00:00"/>
    <d v="2024-11-08T00:00:00"/>
    <n v="25"/>
    <s v="Q4-2024"/>
    <s v="Africa"/>
    <x v="1"/>
    <s v="Lagos"/>
    <s v="Enterprise"/>
    <s v="Online"/>
    <s v="O. Wang"/>
    <x v="2"/>
    <n v="0.32593837669627057"/>
    <x v="48"/>
    <n v="859.35"/>
    <n v="1825.61"/>
    <s v="Profit"/>
    <n v="0.187"/>
    <n v="24"/>
    <x v="48"/>
    <n v="20624.400000000001"/>
    <n v="14996.902319999994"/>
    <n v="0.42100937762681989"/>
  </r>
  <r>
    <x v="49"/>
    <x v="47"/>
    <d v="2023-08-01T00:00:00"/>
    <d v="2023-08-01T00:00:00"/>
    <n v="22"/>
    <s v="Q3-2023"/>
    <s v="Europe"/>
    <x v="7"/>
    <s v="Marseille"/>
    <s v="Consumer"/>
    <s v="Marketplace"/>
    <s v="B. Chen"/>
    <x v="1"/>
    <n v="0.31517017673693504"/>
    <x v="49"/>
    <n v="1303.56"/>
    <n v="1791.37"/>
    <s v="Profit"/>
    <n v="0.126"/>
    <n v="22"/>
    <x v="49"/>
    <n v="28678.32"/>
    <n v="5766.142359999998"/>
    <n v="0.16740404596055358"/>
  </r>
  <r>
    <x v="50"/>
    <x v="48"/>
    <d v="2024-11-22T00:00:00"/>
    <d v="2024-11-22T00:00:00"/>
    <n v="16"/>
    <s v="Q4-2024"/>
    <s v="Americas"/>
    <x v="3"/>
    <s v="Toronto"/>
    <s v="Non-Profit"/>
    <s v="Distributor"/>
    <s v="D. Smith"/>
    <x v="6"/>
    <n v="0.13628981858086056"/>
    <x v="50"/>
    <n v="1454.11"/>
    <n v="2629.75"/>
    <s v="Profit"/>
    <n v="0.29199999999999998"/>
    <n v="8"/>
    <x v="50"/>
    <n v="11632.88"/>
    <n v="3262.0239999999994"/>
    <n v="0.21900268709351867"/>
  </r>
  <r>
    <x v="51"/>
    <x v="49"/>
    <d v="2024-11-06T00:00:00"/>
    <d v="2024-11-06T00:00:00"/>
    <n v="20"/>
    <s v="Q4-2024"/>
    <s v="Asia"/>
    <x v="4"/>
    <s v="Bengaluru"/>
    <s v="Enterprise"/>
    <s v="Distributor"/>
    <s v="O. Wang"/>
    <x v="5"/>
    <n v="5.4857760421564662E-3"/>
    <x v="51"/>
    <n v="72.94"/>
    <n v="106.3"/>
    <s v="Profit"/>
    <n v="0.29499999999999998"/>
    <n v="8"/>
    <x v="51"/>
    <n v="583.52"/>
    <n v="16.012000000000057"/>
    <n v="2.6707498515508857E-2"/>
  </r>
  <r>
    <x v="52"/>
    <x v="50"/>
    <d v="2023-04-05T00:00:00"/>
    <d v="2023-04-05T00:00:00"/>
    <n v="5"/>
    <s v="Q1-2023"/>
    <s v="Africa"/>
    <x v="0"/>
    <s v="Nakuru"/>
    <s v="Education"/>
    <s v="Marketplace"/>
    <s v="B. Chen"/>
    <x v="4"/>
    <n v="5.2940632067527471E-2"/>
    <x v="52"/>
    <n v="533.26"/>
    <n v="385.72"/>
    <s v="Loss"/>
    <n v="0"/>
    <n v="15"/>
    <x v="52"/>
    <n v="7998.9"/>
    <n v="-2213.0999999999995"/>
    <n v="-0.38250544436378708"/>
  </r>
  <r>
    <x v="53"/>
    <x v="51"/>
    <d v="2025-02-16T00:00:00"/>
    <d v="2025-02-16T00:00:00"/>
    <n v="26"/>
    <s v="Q1-2025"/>
    <s v="Europe"/>
    <x v="7"/>
    <s v="Lyon"/>
    <s v="Corporate"/>
    <s v="Distributor"/>
    <s v="O. Wang"/>
    <x v="4"/>
    <n v="2.3047956255774462E-2"/>
    <x v="53"/>
    <n v="204.11"/>
    <n v="236.87"/>
    <s v="Profit"/>
    <n v="0.182"/>
    <n v="13"/>
    <x v="53"/>
    <n v="2653.4300000000003"/>
    <n v="-134.55441999999994"/>
    <n v="-5.3418446337075494E-2"/>
  </r>
  <r>
    <x v="54"/>
    <x v="52"/>
    <d v="2023-09-01T00:00:00"/>
    <d v="2023-09-01T00:00:00"/>
    <n v="2"/>
    <s v="Q3-2023"/>
    <s v="Europe"/>
    <x v="6"/>
    <s v="Munich"/>
    <s v="Corporate"/>
    <s v="Direct"/>
    <s v="N. Brown"/>
    <x v="2"/>
    <n v="1.9690862656712299E-3"/>
    <x v="54"/>
    <n v="44.42"/>
    <n v="41.9"/>
    <s v="Loss"/>
    <n v="0.14399999999999999"/>
    <n v="6"/>
    <x v="54"/>
    <n v="266.52"/>
    <n v="-51.321600000000018"/>
    <n v="-0.23848504449847224"/>
  </r>
  <r>
    <x v="55"/>
    <x v="53"/>
    <d v="2025-04-30T00:00:00"/>
    <d v="2025-04-30T00:00:00"/>
    <n v="24"/>
    <s v="Q2-2025"/>
    <s v="Americas"/>
    <x v="5"/>
    <s v="Brasília"/>
    <s v="Education"/>
    <s v="Online"/>
    <s v="K. Singh"/>
    <x v="5"/>
    <n v="0.28988235484164093"/>
    <x v="55"/>
    <n v="855.78"/>
    <n v="977.38"/>
    <s v="Profit"/>
    <n v="0.14699999999999999"/>
    <n v="38"/>
    <x v="55"/>
    <n v="32519.64"/>
    <n v="-838.84467999999833"/>
    <n v="-2.6478018355506307E-2"/>
  </r>
  <r>
    <x v="56"/>
    <x v="54"/>
    <d v="2025-03-01T00:00:00"/>
    <d v="2025-03-01T00:00:00"/>
    <n v="20"/>
    <s v="Q1-2025"/>
    <s v="Americas"/>
    <x v="5"/>
    <s v="São Paulo"/>
    <s v="Corporate"/>
    <s v="Distributor"/>
    <s v="B. Chen"/>
    <x v="4"/>
    <n v="0.27138904436376854"/>
    <x v="56"/>
    <n v="1154.6400000000001"/>
    <n v="2794.13"/>
    <s v="Profit"/>
    <n v="3.5000000000000003E-2"/>
    <n v="11"/>
    <x v="56"/>
    <n v="12701.04"/>
    <n v="16958.649949999999"/>
    <n v="0.57177435025749479"/>
  </r>
  <r>
    <x v="57"/>
    <x v="55"/>
    <d v="2024-12-18T00:00:00"/>
    <d v="2024-12-18T00:00:00"/>
    <n v="1"/>
    <s v="Q4-2024"/>
    <s v="Europe"/>
    <x v="6"/>
    <s v="Munich"/>
    <s v="Education"/>
    <s v="Retail"/>
    <s v="L. Okafor"/>
    <x v="6"/>
    <n v="4.3829942559881339E-2"/>
    <x v="57"/>
    <n v="346.82"/>
    <n v="701.95"/>
    <s v="Profit"/>
    <n v="0.14699999999999999"/>
    <n v="8"/>
    <x v="57"/>
    <n v="2774.56"/>
    <n v="2015.5468000000005"/>
    <n v="0.42077283120284509"/>
  </r>
  <r>
    <x v="58"/>
    <x v="56"/>
    <d v="2025-06-18T00:00:00"/>
    <d v="2025-06-18T00:00:00"/>
    <n v="9"/>
    <s v="Q2-2025"/>
    <s v="Europe"/>
    <x v="7"/>
    <s v="Marseille"/>
    <s v="Small Business"/>
    <s v="Marketplace"/>
    <s v="H. Kim"/>
    <x v="6"/>
    <n v="2.497848419507424E-3"/>
    <x v="58"/>
    <n v="1225.5"/>
    <n v="5.27"/>
    <s v="Loss"/>
    <n v="7.4999999999999997E-2"/>
    <n v="56"/>
    <x v="58"/>
    <n v="68628"/>
    <n v="-68355.013999999996"/>
    <n v="-250.39750756449047"/>
  </r>
  <r>
    <x v="59"/>
    <x v="57"/>
    <d v="2025-05-13T00:00:00"/>
    <d v="2025-05-13T00:00:00"/>
    <n v="11"/>
    <s v="Q2-2025"/>
    <s v="Africa"/>
    <x v="0"/>
    <s v="Nakuru"/>
    <s v="Small Business"/>
    <s v="Online"/>
    <s v="A. Patel"/>
    <x v="6"/>
    <n v="4.1814578762884316E-2"/>
    <x v="59"/>
    <n v="1057.5999999999999"/>
    <n v="1437.06"/>
    <s v="Profit"/>
    <n v="0.20499999999999999"/>
    <n v="4"/>
    <x v="59"/>
    <n v="4230.3999999999996"/>
    <n v="339.45080000000053"/>
    <n v="7.4280499485891424E-2"/>
  </r>
  <r>
    <x v="60"/>
    <x v="58"/>
    <d v="2024-04-09T00:00:00"/>
    <d v="2024-04-09T00:00:00"/>
    <n v="30"/>
    <s v="Q1-2024"/>
    <s v="Europe"/>
    <x v="7"/>
    <s v="Lyon"/>
    <s v="Corporate"/>
    <s v="Direct"/>
    <s v="I. Johnson"/>
    <x v="0"/>
    <n v="0.3082439140772183"/>
    <x v="60"/>
    <n v="1176.56"/>
    <n v="1911.89"/>
    <s v="Profit"/>
    <n v="0.11899999999999999"/>
    <n v="20"/>
    <x v="60"/>
    <n v="23531.199999999997"/>
    <n v="10156.301800000008"/>
    <n v="0.30148575160892477"/>
  </r>
  <r>
    <x v="61"/>
    <x v="59"/>
    <d v="2025-09-12T00:00:00"/>
    <d v="2025-09-12T00:00:00"/>
    <n v="2"/>
    <s v="Q3-2025"/>
    <s v="Asia"/>
    <x v="2"/>
    <s v="Tokyo"/>
    <s v="Consumer"/>
    <s v="Online"/>
    <s v="O. Wang"/>
    <x v="0"/>
    <n v="0.25347206025771885"/>
    <x v="61"/>
    <n v="1470.15"/>
    <n v="2593.7800000000002"/>
    <s v="Profit"/>
    <n v="0.11"/>
    <n v="12"/>
    <x v="61"/>
    <n v="17641.800000000003"/>
    <n v="10059.770399999998"/>
    <n v="0.36314801849645306"/>
  </r>
  <r>
    <x v="62"/>
    <x v="60"/>
    <d v="2025-05-25T00:00:00"/>
    <d v="2025-05-25T00:00:00"/>
    <n v="28"/>
    <s v="Q2-2025"/>
    <s v="Europe"/>
    <x v="7"/>
    <s v="Paris"/>
    <s v="Small Business"/>
    <s v="Marketplace"/>
    <s v="I. Johnson"/>
    <x v="3"/>
    <n v="0.10017438514546169"/>
    <x v="62"/>
    <n v="603.45000000000005"/>
    <n v="1244.08"/>
    <s v="Profit"/>
    <n v="0.2"/>
    <n v="11"/>
    <x v="62"/>
    <n v="6637.9500000000007"/>
    <n v="4309.9539999999997"/>
    <n v="0.39367846119220623"/>
  </r>
  <r>
    <x v="63"/>
    <x v="61"/>
    <d v="2024-11-18T00:00:00"/>
    <d v="2024-11-18T00:00:00"/>
    <n v="16"/>
    <s v="Q4-2024"/>
    <s v="Asia"/>
    <x v="4"/>
    <s v="Mumbai"/>
    <s v="Small Business"/>
    <s v="Distributor"/>
    <s v="O. Wang"/>
    <x v="5"/>
    <n v="0.66489928886352234"/>
    <x v="63"/>
    <n v="1233.58"/>
    <n v="1912.51"/>
    <s v="Profit"/>
    <n v="0.255"/>
    <n v="51"/>
    <x v="63"/>
    <n v="62912.579999999994"/>
    <n v="9753.2374500000078"/>
    <n v="0.134220432553601"/>
  </r>
  <r>
    <x v="64"/>
    <x v="62"/>
    <d v="2023-02-26T00:00:00"/>
    <d v="2023-02-26T00:00:00"/>
    <n v="11"/>
    <s v="Q1-2023"/>
    <s v="Africa"/>
    <x v="11"/>
    <s v="Johannesburg"/>
    <s v="Non-Profit"/>
    <s v="Retail"/>
    <s v="K. Singh"/>
    <x v="4"/>
    <n v="0.24068668075610858"/>
    <x v="64"/>
    <n v="498.5"/>
    <n v="755.87"/>
    <s v="Profit"/>
    <n v="0.13"/>
    <n v="40"/>
    <x v="64"/>
    <n v="19940"/>
    <n v="6364.275999999998"/>
    <n v="0.24194834330357537"/>
  </r>
  <r>
    <x v="65"/>
    <x v="63"/>
    <d v="2023-12-26T00:00:00"/>
    <d v="2023-12-26T00:00:00"/>
    <n v="23"/>
    <s v="Q4-2023"/>
    <s v="Americas"/>
    <x v="5"/>
    <s v="Rio de Janeiro"/>
    <s v="Education"/>
    <s v="Retail"/>
    <s v="O. Wang"/>
    <x v="3"/>
    <n v="0.11120357698573249"/>
    <x v="65"/>
    <n v="1303.1099999999999"/>
    <n v="1145.67"/>
    <s v="Loss"/>
    <n v="0.184"/>
    <n v="13"/>
    <x v="65"/>
    <n v="16940.43"/>
    <n v="-4787.1626399999986"/>
    <n v="-0.39389922875851208"/>
  </r>
  <r>
    <x v="66"/>
    <x v="64"/>
    <d v="2023-04-09T00:00:00"/>
    <d v="2023-04-09T00:00:00"/>
    <n v="21"/>
    <s v="Q1-2023"/>
    <s v="Europe"/>
    <x v="8"/>
    <s v="Manchester"/>
    <s v="Consumer"/>
    <s v="Retail"/>
    <s v="L. Okafor"/>
    <x v="6"/>
    <n v="0.14652674230566809"/>
    <x v="66"/>
    <n v="1082.17"/>
    <n v="1234.0999999999999"/>
    <s v="Profit"/>
    <n v="0.189"/>
    <n v="16"/>
    <x v="66"/>
    <n v="17314.72"/>
    <n v="-1301.0384000000031"/>
    <n v="-8.124542703534228E-2"/>
  </r>
  <r>
    <x v="67"/>
    <x v="65"/>
    <d v="2024-06-06T00:00:00"/>
    <d v="2024-06-06T00:00:00"/>
    <n v="15"/>
    <s v="Q2-2024"/>
    <s v="Asia"/>
    <x v="2"/>
    <s v="Nagoya"/>
    <s v="Corporate"/>
    <s v="Distributor"/>
    <s v="C. Otieno"/>
    <x v="5"/>
    <n v="0.13073563961497436"/>
    <x v="67"/>
    <n v="673.88"/>
    <n v="1228.01"/>
    <s v="Profit"/>
    <n v="0.105"/>
    <n v="13"/>
    <x v="67"/>
    <n v="8760.44"/>
    <n v="5527.4563499999986"/>
    <n v="0.38686285332689996"/>
  </r>
  <r>
    <x v="68"/>
    <x v="66"/>
    <d v="2023-09-07T00:00:00"/>
    <d v="2023-09-07T00:00:00"/>
    <n v="19"/>
    <s v="Q3-2023"/>
    <s v="Africa"/>
    <x v="11"/>
    <s v="Johannesburg"/>
    <s v="Enterprise"/>
    <s v="Retail"/>
    <s v="D. Smith"/>
    <x v="5"/>
    <n v="7.9347221700711831E-2"/>
    <x v="68"/>
    <n v="494.61"/>
    <n v="605.23"/>
    <s v="Profit"/>
    <n v="0.20399999999999999"/>
    <n v="18"/>
    <x v="68"/>
    <n v="8902.98"/>
    <n v="-231.24455999999918"/>
    <n v="-2.6666468505639647E-2"/>
  </r>
  <r>
    <x v="69"/>
    <x v="67"/>
    <d v="2023-05-10T00:00:00"/>
    <d v="2023-05-10T00:00:00"/>
    <n v="19"/>
    <s v="Q2-2023"/>
    <s v="Asia"/>
    <x v="9"/>
    <s v="Shanghai"/>
    <s v="Corporate"/>
    <s v="Retail"/>
    <s v="A. Patel"/>
    <x v="0"/>
    <n v="8.171688695830627E-2"/>
    <x v="69"/>
    <n v="882.33"/>
    <n v="1880.15"/>
    <s v="Profit"/>
    <n v="0.05"/>
    <n v="5"/>
    <x v="69"/>
    <n v="4411.6500000000005"/>
    <n v="4519.0624999999991"/>
    <n v="0.50601365792482955"/>
  </r>
  <r>
    <x v="70"/>
    <x v="68"/>
    <d v="2024-03-21T00:00:00"/>
    <d v="2024-03-21T00:00:00"/>
    <n v="3"/>
    <s v="Q1-2024"/>
    <s v="Europe"/>
    <x v="6"/>
    <s v="Munich"/>
    <s v="Small Business"/>
    <s v="Online"/>
    <s v="M. Rossi"/>
    <x v="6"/>
    <n v="9.7427738264475858E-2"/>
    <x v="70"/>
    <n v="910.63"/>
    <n v="1269.4000000000001"/>
    <s v="Profit"/>
    <n v="6.8000000000000005E-2"/>
    <n v="9"/>
    <x v="70"/>
    <n v="8195.67"/>
    <n v="2452.0571999999993"/>
    <n v="0.23028925834989455"/>
  </r>
  <r>
    <x v="71"/>
    <x v="69"/>
    <d v="2025-05-06T00:00:00"/>
    <d v="2025-05-06T00:00:00"/>
    <n v="27"/>
    <s v="Q2-2025"/>
    <s v="Americas"/>
    <x v="5"/>
    <s v="Brasília"/>
    <s v="Enterprise"/>
    <s v="Marketplace"/>
    <s v="F. Müller"/>
    <x v="4"/>
    <n v="5.8497442875855801E-2"/>
    <x v="71"/>
    <n v="264.19"/>
    <n v="620.92999999999995"/>
    <s v="Profit"/>
    <n v="0.14199999999999999"/>
    <n v="12"/>
    <x v="71"/>
    <n v="3170.2799999999997"/>
    <n v="3222.8152799999998"/>
    <n v="0.50410875152794532"/>
  </r>
  <r>
    <x v="72"/>
    <x v="70"/>
    <d v="2024-05-07T00:00:00"/>
    <d v="2024-05-07T00:00:00"/>
    <n v="25"/>
    <s v="Q2-2024"/>
    <s v="Africa"/>
    <x v="11"/>
    <s v="Johannesburg"/>
    <s v="Education"/>
    <s v="Distributor"/>
    <s v="A. Patel"/>
    <x v="4"/>
    <n v="0.18457240200166389"/>
    <x v="72"/>
    <n v="1376.51"/>
    <n v="1455.91"/>
    <s v="Profit"/>
    <n v="0.185"/>
    <n v="17"/>
    <x v="72"/>
    <n v="23400.67"/>
    <n v="-3229.0369499999979"/>
    <n v="-0.1600781127634085"/>
  </r>
  <r>
    <x v="73"/>
    <x v="71"/>
    <d v="2024-12-20T00:00:00"/>
    <d v="2024-12-20T00:00:00"/>
    <n v="5"/>
    <s v="Q4-2024"/>
    <s v="Asia"/>
    <x v="9"/>
    <s v="Shenzhen"/>
    <s v="Small Business"/>
    <s v="Direct"/>
    <s v="J. Njeri"/>
    <x v="2"/>
    <n v="8.5768071607491628E-2"/>
    <x v="73"/>
    <n v="717.55"/>
    <n v="546.42999999999995"/>
    <s v="Loss"/>
    <n v="4.7E-2"/>
    <n v="18"/>
    <x v="73"/>
    <n v="12915.9"/>
    <n v="-3542.4397800000006"/>
    <n v="-0.37792231437026369"/>
  </r>
  <r>
    <x v="74"/>
    <x v="72"/>
    <d v="2023-05-18T00:00:00"/>
    <d v="2023-05-27T00:00:00"/>
    <n v="7"/>
    <s v="Q2-2023"/>
    <s v="Africa"/>
    <x v="11"/>
    <s v="Durban"/>
    <s v="Corporate"/>
    <s v="Distributor"/>
    <s v="A. Patel"/>
    <x v="0"/>
    <n v="4.0515872534597895E-2"/>
    <x v="74"/>
    <n v="917.88"/>
    <n v="1347.92"/>
    <s v="Profit"/>
    <n v="0.34300000000000003"/>
    <n v="5"/>
    <x v="74"/>
    <n v="4589.3999999999996"/>
    <n v="-161.48279999999886"/>
    <n v="-3.6469245630880096E-2"/>
  </r>
  <r>
    <x v="75"/>
    <x v="73"/>
    <d v="2023-10-08T00:00:00"/>
    <d v="2023-10-08T00:00:00"/>
    <n v="20"/>
    <s v="Q3-2023"/>
    <s v="Asia"/>
    <x v="4"/>
    <s v="Delhi"/>
    <s v="Small Business"/>
    <s v="Direct"/>
    <s v="B. Chen"/>
    <x v="0"/>
    <n v="6.2902185997750354E-2"/>
    <x v="75"/>
    <n v="825.64"/>
    <n v="1108.43"/>
    <s v="Profit"/>
    <n v="0.114"/>
    <n v="7"/>
    <x v="75"/>
    <n v="5779.48"/>
    <n v="1095.0028600000005"/>
    <n v="0.15928512475773349"/>
  </r>
  <r>
    <x v="76"/>
    <x v="74"/>
    <d v="2024-09-25T00:00:00"/>
    <d v="2024-09-25T00:00:00"/>
    <n v="28"/>
    <s v="Q3-2024"/>
    <s v="Americas"/>
    <x v="5"/>
    <s v="Rio de Janeiro"/>
    <s v="Non-Profit"/>
    <s v="Online"/>
    <s v="not provided"/>
    <x v="6"/>
    <n v="0.32387938047803078"/>
    <x v="76"/>
    <n v="1394.65"/>
    <n v="3144.1"/>
    <s v="Profit"/>
    <n v="0.13400000000000001"/>
    <n v="13"/>
    <x v="76"/>
    <n v="18130.45"/>
    <n v="17265.827799999995"/>
    <n v="0.4877865378263021"/>
  </r>
  <r>
    <x v="77"/>
    <x v="24"/>
    <d v="2024-06-28T00:00:00"/>
    <d v="2024-07-07T00:00:00"/>
    <n v="7"/>
    <s v="Q2-2024"/>
    <s v="Americas"/>
    <x v="5"/>
    <s v="Rio de Janeiro"/>
    <s v="Small Business"/>
    <s v="Direct"/>
    <s v="L. Okafor"/>
    <x v="6"/>
    <n v="0.30252267565717189"/>
    <x v="77"/>
    <n v="1112.98"/>
    <n v="2095.73"/>
    <s v="Profit"/>
    <n v="7.1999999999999995E-2"/>
    <n v="17"/>
    <x v="77"/>
    <n v="18920.66"/>
    <n v="14141.576480000007"/>
    <n v="0.42772594916724777"/>
  </r>
  <r>
    <x v="78"/>
    <x v="75"/>
    <d v="2023-06-16T00:00:00"/>
    <d v="2023-06-16T00:00:00"/>
    <n v="2"/>
    <s v="Q2-2023"/>
    <s v="Europe"/>
    <x v="8"/>
    <s v="Manchester"/>
    <s v="Non-Profit"/>
    <s v="Direct"/>
    <s v="K. Singh"/>
    <x v="0"/>
    <n v="9.5671523518848847E-2"/>
    <x v="78"/>
    <n v="357.36"/>
    <n v="703.62"/>
    <s v="Profit"/>
    <n v="0.25700000000000001"/>
    <n v="20"/>
    <x v="78"/>
    <n v="7147.2000000000007"/>
    <n v="3308.5931999999993"/>
    <n v="0.31643636563125593"/>
  </r>
  <r>
    <x v="79"/>
    <x v="76"/>
    <d v="2024-12-21T00:00:00"/>
    <d v="2024-12-21T00:00:00"/>
    <n v="30"/>
    <s v="Q4-2024"/>
    <s v="Europe"/>
    <x v="7"/>
    <s v="Marseille"/>
    <s v="Small Business"/>
    <s v="Direct"/>
    <s v="I. Johnson"/>
    <x v="5"/>
    <n v="4.4626286311615367E-2"/>
    <x v="79"/>
    <n v="1122.68"/>
    <n v="1997.19"/>
    <s v="Profit"/>
    <n v="0.186"/>
    <n v="3"/>
    <x v="79"/>
    <n v="3368.04"/>
    <n v="1509.0979800000005"/>
    <n v="0.30942285951073306"/>
  </r>
  <r>
    <x v="80"/>
    <x v="77"/>
    <d v="2023-02-11T00:00:00"/>
    <d v="2023-02-11T00:00:00"/>
    <n v="3"/>
    <s v="Q1-2023"/>
    <s v="Africa"/>
    <x v="11"/>
    <s v="Cape Town"/>
    <s v="Corporate"/>
    <s v="Direct"/>
    <s v="M. Rossi"/>
    <x v="2"/>
    <n v="0.55168502570195477"/>
    <x v="80"/>
    <n v="1410.05"/>
    <n v="2763.95"/>
    <s v="Profit"/>
    <n v="0.161"/>
    <n v="26"/>
    <x v="80"/>
    <n v="36661.299999999996"/>
    <n v="23631.505299999997"/>
    <n v="0.39194569206750779"/>
  </r>
  <r>
    <x v="81"/>
    <x v="66"/>
    <d v="2023-09-12T00:00:00"/>
    <d v="2023-09-12T00:00:00"/>
    <n v="24"/>
    <s v="Q3-2023"/>
    <s v="Americas"/>
    <x v="3"/>
    <s v="Vancouver"/>
    <s v="Enterprise"/>
    <s v="Retail"/>
    <s v="I. Johnson"/>
    <x v="1"/>
    <n v="0.1670704189046551"/>
    <x v="81"/>
    <n v="1183.95"/>
    <n v="1503.53"/>
    <s v="Profit"/>
    <n v="0.24099999999999999"/>
    <n v="16"/>
    <x v="81"/>
    <n v="18943.2"/>
    <n v="-684.33167999999932"/>
    <n v="-3.7479413729623705E-2"/>
  </r>
  <r>
    <x v="82"/>
    <x v="78"/>
    <d v="2025-05-24T00:00:00"/>
    <d v="2025-05-24T00:00:00"/>
    <n v="10"/>
    <s v="Q2-2025"/>
    <s v="Europe"/>
    <x v="7"/>
    <s v="Paris"/>
    <s v="Small Business"/>
    <s v="Marketplace"/>
    <s v="K. Singh"/>
    <x v="0"/>
    <n v="4.8785294790559881E-2"/>
    <x v="82"/>
    <n v="170.39"/>
    <n v="388.04"/>
    <s v="Profit"/>
    <n v="8.4000000000000005E-2"/>
    <n v="15"/>
    <x v="82"/>
    <n v="2555.85"/>
    <n v="2775.8196000000003"/>
    <n v="0.52062858508711796"/>
  </r>
  <r>
    <x v="83"/>
    <x v="79"/>
    <d v="2025-04-22T00:00:00"/>
    <d v="2025-04-30T00:00:00"/>
    <n v="7"/>
    <s v="Q2-2025"/>
    <s v="Americas"/>
    <x v="10"/>
    <s v="San Francisco"/>
    <s v="Non-Profit"/>
    <s v="Distributor"/>
    <s v="D. Smith"/>
    <x v="5"/>
    <n v="4.8020784958804673E-3"/>
    <x v="83"/>
    <n v="23.24"/>
    <n v="44.57"/>
    <s v="Profit"/>
    <n v="0.215"/>
    <n v="15"/>
    <x v="83"/>
    <n v="348.59999999999997"/>
    <n v="176.21174999999999"/>
    <n v="0.33576182316802167"/>
  </r>
  <r>
    <x v="84"/>
    <x v="80"/>
    <d v="2025-04-17T00:00:00"/>
    <d v="2025-04-17T00:00:00"/>
    <n v="23"/>
    <s v="Q1-2025"/>
    <s v="Europe"/>
    <x v="8"/>
    <s v="London"/>
    <s v="Consumer"/>
    <s v="Retail"/>
    <s v="H. Kim"/>
    <x v="2"/>
    <n v="0.19272495034128251"/>
    <x v="84"/>
    <n v="1421.19"/>
    <n v="1808.26"/>
    <s v="Profit"/>
    <n v="0.104"/>
    <n v="13"/>
    <x v="84"/>
    <n v="18475.47"/>
    <n v="2587.1424799999986"/>
    <n v="0.12283103449093123"/>
  </r>
  <r>
    <x v="85"/>
    <x v="81"/>
    <d v="2023-12-23T00:00:00"/>
    <d v="2023-12-23T00:00:00"/>
    <n v="1"/>
    <s v="Q4-2023"/>
    <s v="Africa"/>
    <x v="11"/>
    <s v="Cape Town"/>
    <s v="Non-Profit"/>
    <s v="Marketplace"/>
    <s v="D. Smith"/>
    <x v="0"/>
    <n v="0.12029148403249856"/>
    <x v="85"/>
    <n v="1186.18"/>
    <n v="1285.0899999999999"/>
    <s v="Profit"/>
    <n v="7.0000000000000007E-2"/>
    <n v="11"/>
    <x v="85"/>
    <n v="13047.980000000001"/>
    <n v="98.49069999999665"/>
    <n v="7.4917977796121861E-3"/>
  </r>
  <r>
    <x v="86"/>
    <x v="82"/>
    <d v="2024-04-25T00:00:00"/>
    <d v="2024-04-25T00:00:00"/>
    <n v="19"/>
    <s v="Q2-2024"/>
    <s v="Asia"/>
    <x v="9"/>
    <s v="Shanghai"/>
    <s v="Corporate"/>
    <s v="Retail"/>
    <s v="K. Singh"/>
    <x v="0"/>
    <n v="0.12990451844851061"/>
    <x v="86"/>
    <n v="1366.48"/>
    <n v="1678.14"/>
    <s v="Profit"/>
    <n v="0.154"/>
    <n v="10"/>
    <x v="86"/>
    <n v="13664.8"/>
    <n v="532.26440000000184"/>
    <n v="3.7491159087790132E-2"/>
  </r>
  <r>
    <x v="87"/>
    <x v="83"/>
    <d v="2025-08-19T00:00:00"/>
    <d v="2025-08-19T00:00:00"/>
    <n v="12"/>
    <s v="Q3-2025"/>
    <s v="Africa"/>
    <x v="0"/>
    <s v="Nakuru"/>
    <s v="Corporate"/>
    <s v="not provided"/>
    <s v="M. Rossi"/>
    <x v="0"/>
    <n v="1.5142464656642504E-2"/>
    <x v="87"/>
    <n v="601.51"/>
    <n v="679.35"/>
    <s v="Profit"/>
    <n v="0.188"/>
    <n v="3"/>
    <x v="87"/>
    <n v="1804.53"/>
    <n v="-149.63339999999971"/>
    <n v="-9.0418579626062243E-2"/>
  </r>
  <r>
    <x v="88"/>
    <x v="84"/>
    <d v="2024-01-25T00:00:00"/>
    <d v="2024-01-25T00:00:00"/>
    <n v="4"/>
    <s v="Q1-2024"/>
    <s v="Asia"/>
    <x v="4"/>
    <s v="Delhi"/>
    <s v="Consumer"/>
    <s v="Direct"/>
    <s v="C. Otieno"/>
    <x v="5"/>
    <n v="0.10836319504556713"/>
    <x v="88"/>
    <n v="523.70000000000005"/>
    <n v="1109.92"/>
    <s v="Profit"/>
    <n v="0.03"/>
    <n v="11"/>
    <x v="88"/>
    <n v="5760.7000000000007"/>
    <n v="6082.1463999999996"/>
    <n v="0.51357133197302973"/>
  </r>
  <r>
    <x v="89"/>
    <x v="85"/>
    <d v="2023-07-02T00:00:00"/>
    <d v="2023-07-02T00:00:00"/>
    <n v="3"/>
    <s v="Q2-2023"/>
    <s v="Asia"/>
    <x v="2"/>
    <s v="Nagoya"/>
    <s v="Education"/>
    <s v="Marketplace"/>
    <s v="F. Müller"/>
    <x v="5"/>
    <n v="5.7136412773880528E-3"/>
    <x v="89"/>
    <n v="55.65"/>
    <n v="83.57"/>
    <s v="Profit"/>
    <n v="6.6000000000000003E-2"/>
    <n v="8"/>
    <x v="89"/>
    <n v="445.2"/>
    <n v="179.23503999999997"/>
    <n v="0.2870355257449998"/>
  </r>
  <r>
    <x v="90"/>
    <x v="86"/>
    <d v="2025-05-15T00:00:00"/>
    <d v="2025-05-15T00:00:00"/>
    <n v="17"/>
    <s v="Q2-2025"/>
    <s v="Asia"/>
    <x v="2"/>
    <s v="Nagoya"/>
    <s v="Education"/>
    <s v="Direct"/>
    <s v="N. Brown"/>
    <x v="2"/>
    <n v="7.6173027014476508E-2"/>
    <x v="90"/>
    <n v="691.19"/>
    <n v="1284.3"/>
    <s v="Profit"/>
    <n v="7.3999999999999996E-2"/>
    <n v="7"/>
    <x v="90"/>
    <n v="4838.33"/>
    <n v="3486.5026000000016"/>
    <n v="0.41880753253825198"/>
  </r>
  <r>
    <x v="91"/>
    <x v="56"/>
    <d v="2025-06-25T00:00:00"/>
    <d v="2025-06-25T00:00:00"/>
    <n v="16"/>
    <s v="Q2-2025"/>
    <s v="Asia"/>
    <x v="4"/>
    <s v="Hyderabad"/>
    <s v="Enterprise"/>
    <s v="Distributor"/>
    <s v="M. Rossi"/>
    <x v="3"/>
    <n v="0.17852578859763069"/>
    <x v="91"/>
    <n v="527.33000000000004"/>
    <n v="911.72"/>
    <s v="Profit"/>
    <n v="0.14399999999999999"/>
    <n v="25"/>
    <x v="91"/>
    <n v="13183.250000000002"/>
    <n v="6327.5579999999991"/>
    <n v="0.32431040272652978"/>
  </r>
  <r>
    <x v="92"/>
    <x v="87"/>
    <d v="2023-06-23T00:00:00"/>
    <d v="2023-07-01T00:00:00"/>
    <n v="7"/>
    <s v="Q2-2023"/>
    <s v="Americas"/>
    <x v="5"/>
    <s v="Rio de Janeiro"/>
    <s v="Non-Profit"/>
    <s v="Retail"/>
    <s v="E. Garcia"/>
    <x v="1"/>
    <n v="9.2978403242151786E-2"/>
    <x v="92"/>
    <n v="804.01"/>
    <n v="1405.07"/>
    <s v="Profit"/>
    <n v="9.6000000000000002E-2"/>
    <n v="8"/>
    <x v="92"/>
    <n v="6432.08"/>
    <n v="3729.3862399999998"/>
    <n v="0.36701260939287439"/>
  </r>
  <r>
    <x v="93"/>
    <x v="88"/>
    <d v="2024-11-02T00:00:00"/>
    <d v="2024-11-02T00:00:00"/>
    <n v="29"/>
    <s v="Q4-2024"/>
    <s v="Africa"/>
    <x v="1"/>
    <s v="Abuja"/>
    <s v="Corporate"/>
    <s v="Distributor"/>
    <s v="F. Müller"/>
    <x v="6"/>
    <n v="0.18372794475161175"/>
    <x v="93"/>
    <n v="412.09"/>
    <n v="968.94"/>
    <s v="Profit"/>
    <n v="9.9000000000000005E-2"/>
    <n v="23"/>
    <x v="93"/>
    <n v="9478.07"/>
    <n v="10601.273620000004"/>
    <n v="0.52796913189137418"/>
  </r>
  <r>
    <x v="94"/>
    <x v="59"/>
    <d v="2025-09-30T00:00:00"/>
    <d v="2025-09-30T00:00:00"/>
    <n v="20"/>
    <s v="Q3-2025"/>
    <s v="Africa"/>
    <x v="0"/>
    <s v="Mombasa"/>
    <s v="Corporate"/>
    <s v="Direct"/>
    <s v="L. Okafor"/>
    <x v="3"/>
    <n v="5.0212095058813078E-2"/>
    <x v="94"/>
    <n v="1009.48"/>
    <n v="1088.81"/>
    <s v="Profit"/>
    <n v="0.16"/>
    <n v="6"/>
    <x v="94"/>
    <n v="6056.88"/>
    <n v="-569.27760000000035"/>
    <n v="-0.10373885688219693"/>
  </r>
  <r>
    <x v="95"/>
    <x v="89"/>
    <d v="2023-04-27T00:00:00"/>
    <d v="2023-04-27T00:00:00"/>
    <n v="21"/>
    <s v="Q2-2023"/>
    <s v="Europe"/>
    <x v="8"/>
    <s v="Manchester"/>
    <s v="Enterprise"/>
    <s v="Distributor"/>
    <s v="I. Johnson"/>
    <x v="1"/>
    <n v="0.39536660358160713"/>
    <x v="95"/>
    <n v="1084.79"/>
    <n v="2484.9899999999998"/>
    <s v="Profit"/>
    <n v="3.4000000000000002E-2"/>
    <n v="18"/>
    <x v="95"/>
    <n v="19526.22"/>
    <n v="23682.78611999999"/>
    <n v="0.54809837685755114"/>
  </r>
  <r>
    <x v="96"/>
    <x v="90"/>
    <d v="2025-08-16T00:00:00"/>
    <d v="2025-08-16T00:00:00"/>
    <n v="15"/>
    <s v="Q3-2025"/>
    <s v="Asia"/>
    <x v="4"/>
    <s v="not provided"/>
    <s v="Enterprise"/>
    <s v="Direct"/>
    <s v="O. Wang"/>
    <x v="5"/>
    <n v="1.3451334552015226E-3"/>
    <x v="96"/>
    <n v="24.44"/>
    <n v="28.69"/>
    <s v="Profit"/>
    <n v="0.14599999999999999"/>
    <n v="6"/>
    <x v="96"/>
    <n v="146.64000000000001"/>
    <n v="0.36755999999999744"/>
    <n v="2.5002795774584476E-3"/>
  </r>
  <r>
    <x v="97"/>
    <x v="91"/>
    <d v="2024-05-26T00:00:00"/>
    <d v="2024-06-04T00:00:00"/>
    <n v="7"/>
    <s v="Q2-2024"/>
    <s v="Africa"/>
    <x v="1"/>
    <s v="Abuja"/>
    <s v="Enterprise"/>
    <s v="Online"/>
    <s v="F. Müller"/>
    <x v="6"/>
    <n v="0.31237663048402137"/>
    <x v="97"/>
    <n v="1227.08"/>
    <n v="1896.62"/>
    <s v="Profit"/>
    <n v="0"/>
    <n v="18"/>
    <x v="97"/>
    <n v="22087.439999999999"/>
    <n v="12051.719999999998"/>
    <n v="0.353017473189147"/>
  </r>
  <r>
    <x v="98"/>
    <x v="92"/>
    <d v="2025-08-18T00:00:00"/>
    <d v="2025-08-18T00:00:00"/>
    <n v="27"/>
    <s v="Q3-2025"/>
    <s v="Asia"/>
    <x v="9"/>
    <s v="Shenzhen"/>
    <s v="Non-Profit"/>
    <s v="Marketplace"/>
    <s v="M. Rossi"/>
    <x v="2"/>
    <n v="4.8756192357581093E-2"/>
    <x v="98"/>
    <n v="547.32000000000005"/>
    <n v="419.17"/>
    <s v="Loss"/>
    <n v="9.1999999999999998E-2"/>
    <n v="14"/>
    <x v="98"/>
    <n v="7662.4800000000005"/>
    <n v="-2333.9909600000001"/>
    <n v="-0.43802116181137907"/>
  </r>
  <r>
    <x v="99"/>
    <x v="2"/>
    <d v="2023-03-20T00:00:00"/>
    <d v="2023-03-20T00:00:00"/>
    <n v="20"/>
    <s v="Q1-2023"/>
    <s v="Europe"/>
    <x v="6"/>
    <s v="Berlin"/>
    <s v="Small Business"/>
    <s v="Direct"/>
    <s v="H. Kim"/>
    <x v="4"/>
    <n v="0.233354108398626"/>
    <x v="99"/>
    <n v="1200.78"/>
    <n v="2001.17"/>
    <s v="Profit"/>
    <n v="0.29199999999999998"/>
    <n v="18"/>
    <x v="99"/>
    <n v="21614.04"/>
    <n v="3888.8704799999978"/>
    <n v="0.15248732034132906"/>
  </r>
  <r>
    <x v="100"/>
    <x v="93"/>
    <d v="2025-02-15T00:00:00"/>
    <d v="2025-02-15T00:00:00"/>
    <n v="19"/>
    <s v="Q1-2025"/>
    <s v="Asia"/>
    <x v="9"/>
    <s v="Shenzhen"/>
    <s v="Non-Profit"/>
    <s v="Direct"/>
    <s v="L. Okafor"/>
    <x v="3"/>
    <n v="0.48294276787451079"/>
    <x v="100"/>
    <n v="1253.22"/>
    <n v="3104.71"/>
    <s v="Profit"/>
    <n v="0"/>
    <n v="17"/>
    <x v="100"/>
    <n v="21304.74"/>
    <n v="31475.329999999998"/>
    <n v="0.59634877331538205"/>
  </r>
  <r>
    <x v="101"/>
    <x v="94"/>
    <d v="2024-01-22T00:00:00"/>
    <d v="2024-01-22T00:00:00"/>
    <n v="9"/>
    <s v="Q1-2024"/>
    <s v="Asia"/>
    <x v="4"/>
    <s v="Mumbai"/>
    <s v="Enterprise"/>
    <s v="Marketplace"/>
    <s v="J. Njeri"/>
    <x v="0"/>
    <n v="5.7870499447634879E-2"/>
    <x v="101"/>
    <n v="313.60000000000002"/>
    <n v="334.28"/>
    <s v="Profit"/>
    <n v="0.14000000000000001"/>
    <n v="22"/>
    <x v="101"/>
    <n v="6899.2000000000007"/>
    <n v="-574.62240000000111"/>
    <n v="-9.0855458868905517E-2"/>
  </r>
  <r>
    <x v="102"/>
    <x v="95"/>
    <d v="2025-04-04T00:00:00"/>
    <d v="2025-04-04T00:00:00"/>
    <n v="4"/>
    <s v="Q1-2025"/>
    <s v="Africa"/>
    <x v="0"/>
    <s v="Nakuru"/>
    <s v="Corporate"/>
    <s v="Direct"/>
    <s v="C. Otieno"/>
    <x v="4"/>
    <n v="0.12508008946783639"/>
    <x v="102"/>
    <n v="862.08"/>
    <n v="1952.83"/>
    <s v="Profit"/>
    <n v="0"/>
    <n v="7"/>
    <x v="102"/>
    <n v="6034.56"/>
    <n v="7635.2499999999991"/>
    <n v="0.5585483631447693"/>
  </r>
  <r>
    <x v="103"/>
    <x v="96"/>
    <d v="2024-12-28T00:00:00"/>
    <d v="2024-12-28T00:00:00"/>
    <n v="23"/>
    <s v="Q4-2024"/>
    <s v="Americas"/>
    <x v="3"/>
    <s v="Vancouver"/>
    <s v="Corporate"/>
    <s v="Direct"/>
    <s v="F. Müller"/>
    <x v="6"/>
    <n v="5.4537635122813496E-2"/>
    <x v="103"/>
    <n v="107.03"/>
    <n v="242.29"/>
    <s v="Profit"/>
    <n v="0.18"/>
    <n v="30"/>
    <x v="103"/>
    <n v="3210.9"/>
    <n v="2749.4340000000007"/>
    <n v="0.46128857879440988"/>
  </r>
  <r>
    <x v="104"/>
    <x v="97"/>
    <d v="2024-10-05T00:00:00"/>
    <d v="2024-10-05T00:00:00"/>
    <n v="21"/>
    <s v="Q3-2024"/>
    <s v="Asia"/>
    <x v="9"/>
    <s v="Shanghai"/>
    <s v="Small Business"/>
    <s v="Online"/>
    <s v="H. Kim"/>
    <x v="4"/>
    <n v="0.11287244023745388"/>
    <x v="104"/>
    <n v="1405.56"/>
    <n v="2968.87"/>
    <s v="Profit"/>
    <n v="0.16900000000000001"/>
    <n v="5"/>
    <x v="104"/>
    <n v="7027.7999999999993"/>
    <n v="5307.8548499999997"/>
    <n v="0.4302856163327235"/>
  </r>
  <r>
    <x v="105"/>
    <x v="98"/>
    <d v="2024-05-27T00:00:00"/>
    <d v="2024-05-27T00:00:00"/>
    <n v="6"/>
    <s v="Q2-2024"/>
    <s v="Africa"/>
    <x v="11"/>
    <s v="Johannesburg"/>
    <s v="Non-Profit"/>
    <s v="Online"/>
    <s v="M. Rossi"/>
    <x v="0"/>
    <n v="0.11053514262500479"/>
    <x v="105"/>
    <n v="1157.51"/>
    <n v="1394.3"/>
    <s v="Profit"/>
    <n v="0.27800000000000002"/>
    <n v="12"/>
    <x v="105"/>
    <n v="13890.119999999999"/>
    <n v="-1809.9048000000003"/>
    <n v="-0.14982388724333326"/>
  </r>
  <r>
    <x v="106"/>
    <x v="20"/>
    <d v="2023-06-07T00:00:00"/>
    <d v="2023-06-07T00:00:00"/>
    <n v="27"/>
    <s v="Q2-2023"/>
    <s v="Africa"/>
    <x v="0"/>
    <s v="Mombasa"/>
    <s v="Corporate"/>
    <s v="Online"/>
    <s v="J. Njeri"/>
    <x v="3"/>
    <n v="4.7457378707154163E-3"/>
    <x v="106"/>
    <n v="12.85"/>
    <n v="15.41"/>
    <s v="Profit"/>
    <n v="0.13700000000000001"/>
    <n v="39"/>
    <x v="106"/>
    <n v="501.15"/>
    <n v="17.504369999999994"/>
    <n v="3.3749585489851353E-2"/>
  </r>
  <r>
    <x v="107"/>
    <x v="99"/>
    <d v="2024-09-04T00:00:00"/>
    <d v="2024-09-04T00:00:00"/>
    <n v="21"/>
    <s v="Q3-2024"/>
    <s v="Europe"/>
    <x v="8"/>
    <s v="Manchester"/>
    <s v="Non-Profit"/>
    <s v="Online"/>
    <s v="J. Njeri"/>
    <x v="3"/>
    <n v="0.21674314977507084"/>
    <x v="107"/>
    <n v="1138.8"/>
    <n v="2250.81"/>
    <s v="Profit"/>
    <n v="0.123"/>
    <n v="12"/>
    <x v="107"/>
    <n v="13665.599999999999"/>
    <n v="10021.924440000003"/>
    <n v="0.42308872188756258"/>
  </r>
  <r>
    <x v="108"/>
    <x v="100"/>
    <d v="2024-11-08T00:00:00"/>
    <d v="2024-11-08T00:00:00"/>
    <n v="23"/>
    <s v="Q4-2024"/>
    <s v="Asia"/>
    <x v="2"/>
    <s v="Osaka"/>
    <s v="Small Business"/>
    <s v="Retail"/>
    <s v="J. Njeri"/>
    <x v="2"/>
    <n v="1.5192821301275987E-2"/>
    <x v="108"/>
    <n v="82.14"/>
    <n v="166.04"/>
    <s v="Profit"/>
    <n v="0"/>
    <n v="10"/>
    <x v="108"/>
    <n v="821.4"/>
    <n v="838.99999999999989"/>
    <n v="0.50529992772825827"/>
  </r>
  <r>
    <x v="109"/>
    <x v="101"/>
    <d v="2024-06-08T00:00:00"/>
    <d v="2024-06-08T00:00:00"/>
    <n v="6"/>
    <s v="Q2-2024"/>
    <s v="Africa"/>
    <x v="0"/>
    <s v="Kisumu"/>
    <s v="Consumer"/>
    <s v="Marketplace"/>
    <s v="A. Patel"/>
    <x v="6"/>
    <n v="5.0307243258995837E-3"/>
    <x v="109"/>
    <n v="292.94"/>
    <n v="356.55"/>
    <s v="Profit"/>
    <n v="0.22900000000000001"/>
    <n v="2"/>
    <x v="109"/>
    <n v="585.88"/>
    <n v="-36.079899999999952"/>
    <n v="-6.5623669402751925E-2"/>
  </r>
  <r>
    <x v="110"/>
    <x v="102"/>
    <d v="2024-07-07T00:00:00"/>
    <d v="2024-07-07T00:00:00"/>
    <n v="28"/>
    <s v="Q2-2024"/>
    <s v="Asia"/>
    <x v="9"/>
    <s v="Shenzhen"/>
    <s v="Corporate"/>
    <s v="Online"/>
    <s v="J. Njeri"/>
    <x v="0"/>
    <n v="0.25324129114765698"/>
    <x v="110"/>
    <n v="550.22"/>
    <n v="1025.05"/>
    <s v="Profit"/>
    <n v="0"/>
    <n v="27"/>
    <x v="110"/>
    <n v="14855.94"/>
    <n v="12820.409999999998"/>
    <n v="0.46322618408858102"/>
  </r>
  <r>
    <x v="111"/>
    <x v="103"/>
    <d v="2024-06-11T00:00:00"/>
    <d v="2024-06-11T00:00:00"/>
    <n v="1"/>
    <s v="Q2-2024"/>
    <s v="Europe"/>
    <x v="8"/>
    <s v="Birmingham"/>
    <s v="Small Business"/>
    <s v="Marketplace"/>
    <s v="M. Rossi"/>
    <x v="4"/>
    <n v="0.27589075829369641"/>
    <x v="111"/>
    <n v="1187.1300000000001"/>
    <n v="1795.17"/>
    <s v="Profit"/>
    <n v="1.2E-2"/>
    <n v="17"/>
    <x v="111"/>
    <n v="20181.210000000003"/>
    <n v="9970.4653199999957"/>
    <n v="0.33067699271046663"/>
  </r>
  <r>
    <x v="112"/>
    <x v="104"/>
    <d v="2024-07-26T00:00:00"/>
    <d v="2024-07-26T00:00:00"/>
    <n v="27"/>
    <s v="Q2-2024"/>
    <s v="Africa"/>
    <x v="11"/>
    <s v="Durban"/>
    <s v="Enterprise"/>
    <s v="Distributor"/>
    <s v="B. Chen"/>
    <x v="2"/>
    <n v="3.1740826890462587E-4"/>
    <x v="112"/>
    <n v="5.36"/>
    <n v="4.37"/>
    <s v="Loss"/>
    <n v="0.11799999999999999"/>
    <n v="9"/>
    <x v="112"/>
    <n v="48.24"/>
    <n v="-13.550940000000004"/>
    <n v="-0.39064016148030545"/>
  </r>
  <r>
    <x v="113"/>
    <x v="105"/>
    <d v="2025-01-24T00:00:00"/>
    <d v="2025-01-24T00:00:00"/>
    <n v="7"/>
    <s v="Q1-2025"/>
    <s v="Americas"/>
    <x v="10"/>
    <s v="Austin"/>
    <s v="Enterprise"/>
    <s v="Online"/>
    <s v="G. Dubois"/>
    <x v="6"/>
    <n v="1.9375179730125529E-2"/>
    <x v="113"/>
    <n v="142.09"/>
    <n v="218.5"/>
    <s v="Profit"/>
    <n v="0.11899999999999999"/>
    <n v="11"/>
    <x v="113"/>
    <n v="1562.99"/>
    <n v="554.49349999999981"/>
    <n v="0.26186437816398561"/>
  </r>
  <r>
    <x v="114"/>
    <x v="106"/>
    <d v="2023-12-05T00:00:00"/>
    <d v="2023-12-05T00:00:00"/>
    <n v="15"/>
    <s v="Q4-2023"/>
    <s v="Asia"/>
    <x v="2"/>
    <s v="Tokyo"/>
    <s v="Enterprise"/>
    <s v="Retail"/>
    <s v="L. Okafor"/>
    <x v="2"/>
    <n v="1.3718008643278119E-2"/>
    <x v="114"/>
    <n v="354.24"/>
    <n v="249.87"/>
    <s v="Loss"/>
    <n v="0"/>
    <n v="6"/>
    <x v="114"/>
    <n v="2125.44"/>
    <n v="-626.22"/>
    <n v="-0.41769720254532355"/>
  </r>
  <r>
    <x v="115"/>
    <x v="107"/>
    <d v="2023-03-05T00:00:00"/>
    <d v="2023-03-05T00:00:00"/>
    <n v="3"/>
    <s v="Q1-2023"/>
    <s v="Americas"/>
    <x v="5"/>
    <s v="Brasília"/>
    <s v="Enterprise"/>
    <s v="Direct"/>
    <s v="G. Dubois"/>
    <x v="5"/>
    <n v="0.22438789380086138"/>
    <x v="115"/>
    <n v="1473.58"/>
    <n v="3436.52"/>
    <s v="Profit"/>
    <n v="0.108"/>
    <n v="8"/>
    <x v="115"/>
    <n v="11788.64"/>
    <n v="12734.366720000002"/>
    <n v="0.51928243813652564"/>
  </r>
  <r>
    <x v="116"/>
    <x v="108"/>
    <d v="2025-06-10T00:00:00"/>
    <d v="2025-06-10T00:00:00"/>
    <n v="7"/>
    <s v="Q2-2025"/>
    <s v="Americas"/>
    <x v="3"/>
    <s v="Toronto"/>
    <s v="Consumer"/>
    <s v="Distributor"/>
    <s v="O. Wang"/>
    <x v="1"/>
    <n v="7.0089007555805428E-3"/>
    <x v="116"/>
    <n v="75.180000000000007"/>
    <n v="53.45"/>
    <s v="Loss"/>
    <n v="0.157"/>
    <n v="17"/>
    <x v="116"/>
    <n v="1278.0600000000002"/>
    <n v="-512.06805000000008"/>
    <n v="-0.66850317421743144"/>
  </r>
  <r>
    <x v="117"/>
    <x v="6"/>
    <d v="2025-01-02T00:00:00"/>
    <d v="2025-01-02T00:00:00"/>
    <n v="6"/>
    <s v="Q4-2024"/>
    <s v="Europe"/>
    <x v="6"/>
    <s v="Frankfurt"/>
    <s v="Education"/>
    <s v="Direct"/>
    <s v="F. Müller"/>
    <x v="4"/>
    <n v="0.59584819192465177"/>
    <x v="117"/>
    <n v="1391.99"/>
    <n v="3469.7"/>
    <s v="Profit"/>
    <n v="0.184"/>
    <n v="23"/>
    <x v="117"/>
    <n v="32015.77"/>
    <n v="33103.559599999993"/>
    <n v="0.50835227886006973"/>
  </r>
  <r>
    <x v="118"/>
    <x v="109"/>
    <d v="2023-06-19T00:00:00"/>
    <d v="2023-06-19T00:00:00"/>
    <n v="10"/>
    <s v="Q2-2023"/>
    <s v="Asia"/>
    <x v="9"/>
    <s v="Beijing"/>
    <s v="Enterprise"/>
    <s v="Retail"/>
    <s v="F. Müller"/>
    <x v="5"/>
    <n v="5.278943403226697E-2"/>
    <x v="118"/>
    <n v="339.61"/>
    <n v="621.02"/>
    <s v="Profit"/>
    <n v="7.0999999999999994E-2"/>
    <n v="10"/>
    <x v="118"/>
    <n v="3396.1000000000004"/>
    <n v="2373.1758"/>
    <n v="0.41134726129750981"/>
  </r>
  <r>
    <x v="119"/>
    <x v="110"/>
    <d v="2025-07-18T00:00:00"/>
    <d v="2025-07-18T00:00:00"/>
    <n v="9"/>
    <s v="Q3-2025"/>
    <s v="Americas"/>
    <x v="3"/>
    <s v="Vancouver"/>
    <s v="Education"/>
    <s v="Distributor"/>
    <s v="I. Johnson"/>
    <x v="4"/>
    <n v="5.4253532841516544E-3"/>
    <x v="119"/>
    <n v="57.96"/>
    <n v="88.51"/>
    <s v="Profit"/>
    <n v="4.2999999999999997E-2"/>
    <n v="7"/>
    <x v="119"/>
    <n v="405.72"/>
    <n v="187.20848999999998"/>
    <n v="0.3157353595877978"/>
  </r>
  <r>
    <x v="120"/>
    <x v="111"/>
    <d v="2025-07-12T00:00:00"/>
    <d v="2025-07-12T00:00:00"/>
    <n v="23"/>
    <s v="Q2-2025"/>
    <s v="Europe"/>
    <x v="8"/>
    <s v="not provided"/>
    <s v="Non-Profit"/>
    <s v="Direct"/>
    <s v="not provided"/>
    <x v="2"/>
    <n v="0.36158259906934981"/>
    <x v="120"/>
    <n v="801.24"/>
    <n v="1959.09"/>
    <s v="Profit"/>
    <n v="0.123"/>
    <n v="23"/>
    <x v="120"/>
    <n v="18428.52"/>
    <n v="21088.284389999997"/>
    <n v="0.53365358650651762"/>
  </r>
  <r>
    <x v="121"/>
    <x v="112"/>
    <d v="2023-12-13T00:00:00"/>
    <d v="2023-12-13T00:00:00"/>
    <n v="24"/>
    <s v="Q4-2023"/>
    <s v="Europe"/>
    <x v="7"/>
    <s v="Lyon"/>
    <s v="Non-Profit"/>
    <s v="Direct"/>
    <s v="H. Kim"/>
    <x v="5"/>
    <n v="0.21029984525539172"/>
    <x v="121"/>
    <n v="1297.42"/>
    <n v="2742.97"/>
    <s v="Profit"/>
    <n v="6.9000000000000006E-2"/>
    <n v="9"/>
    <x v="121"/>
    <n v="11676.78"/>
    <n v="11306.565629999999"/>
    <n v="0.49194602961727291"/>
  </r>
  <r>
    <x v="122"/>
    <x v="113"/>
    <d v="2024-01-20T00:00:00"/>
    <d v="2024-01-20T00:00:00"/>
    <n v="22"/>
    <s v="Q4-2023"/>
    <s v="Africa"/>
    <x v="0"/>
    <s v="Kisumu"/>
    <s v="Corporate"/>
    <s v="Direct"/>
    <s v="L. Okafor"/>
    <x v="3"/>
    <n v="0.14696861220897448"/>
    <x v="122"/>
    <n v="1395.49"/>
    <n v="1679.42"/>
    <s v="Profit"/>
    <n v="0.20300000000000001"/>
    <n v="12"/>
    <x v="122"/>
    <n v="16745.88"/>
    <n v="-683.90712000000167"/>
    <n v="-4.2579272490964493E-2"/>
  </r>
  <r>
    <x v="123"/>
    <x v="61"/>
    <d v="2024-11-29T00:00:00"/>
    <d v="2024-11-29T00:00:00"/>
    <n v="27"/>
    <s v="Q4-2024"/>
    <s v="Americas"/>
    <x v="5"/>
    <s v="Brasília"/>
    <s v="Small Business"/>
    <s v="Direct"/>
    <s v="I. Johnson"/>
    <x v="2"/>
    <n v="9.8979726501842252E-2"/>
    <x v="123"/>
    <n v="1363.51"/>
    <n v="1433.9"/>
    <s v="Profit"/>
    <n v="5.7000000000000002E-2"/>
    <n v="8"/>
    <x v="123"/>
    <n v="10908.08"/>
    <n v="-90.738400000000183"/>
    <n v="-8.3882346842037592E-3"/>
  </r>
  <r>
    <x v="124"/>
    <x v="114"/>
    <d v="2023-09-04T00:00:00"/>
    <d v="2023-09-04T00:00:00"/>
    <n v="14"/>
    <s v="Q3-2023"/>
    <s v="Americas"/>
    <x v="3"/>
    <s v="Montreal"/>
    <s v="Education"/>
    <s v="Distributor"/>
    <s v="F. Müller"/>
    <x v="0"/>
    <n v="1.8967472812525549E-2"/>
    <x v="124"/>
    <n v="178.19"/>
    <n v="284.43"/>
    <s v="Profit"/>
    <n v="8.8999999999999996E-2"/>
    <n v="8"/>
    <x v="124"/>
    <n v="1425.52"/>
    <n v="647.40584000000035"/>
    <n v="0.31231500302972742"/>
  </r>
  <r>
    <x v="125"/>
    <x v="115"/>
    <d v="2023-09-06T00:00:00"/>
    <d v="2023-09-06T00:00:00"/>
    <n v="25"/>
    <s v="Q3-2023"/>
    <s v="Asia"/>
    <x v="9"/>
    <s v="Shanghai"/>
    <s v="Small Business"/>
    <s v="Retail"/>
    <s v="B. Chen"/>
    <x v="0"/>
    <n v="8.1526072845444247E-2"/>
    <x v="125"/>
    <n v="950.77"/>
    <n v="694.78"/>
    <s v="Loss"/>
    <n v="8.4000000000000005E-2"/>
    <n v="14"/>
    <x v="125"/>
    <n v="13310.779999999999"/>
    <n v="-4400.9212799999987"/>
    <n v="-0.49393839097821279"/>
  </r>
  <r>
    <x v="126"/>
    <x v="116"/>
    <d v="2024-06-26T00:00:00"/>
    <d v="2024-06-26T00:00:00"/>
    <n v="19"/>
    <s v="Q2-2024"/>
    <s v="Europe"/>
    <x v="6"/>
    <s v="Berlin"/>
    <s v="Non-Profit"/>
    <s v="Marketplace"/>
    <s v="M. Rossi"/>
    <x v="0"/>
    <n v="0.59577550849397631"/>
    <x v="126"/>
    <n v="1064.32"/>
    <n v="1848.39"/>
    <s v="Profit"/>
    <n v="7.2999999999999995E-2"/>
    <n v="38"/>
    <x v="126"/>
    <n v="40444.159999999996"/>
    <n v="24667.226140000013"/>
    <n v="0.3788465827921631"/>
  </r>
  <r>
    <x v="127"/>
    <x v="117"/>
    <d v="2025-08-14T00:00:00"/>
    <d v="2025-08-14T00:00:00"/>
    <n v="9"/>
    <s v="Q3-2025"/>
    <s v="Europe"/>
    <x v="8"/>
    <s v="London"/>
    <s v="Non-Profit"/>
    <s v="Direct"/>
    <s v="E. Garcia"/>
    <x v="0"/>
    <n v="7.8079862424234097E-3"/>
    <x v="127"/>
    <n v="41.76"/>
    <n v="45.19"/>
    <s v="Profit"/>
    <n v="0.17899999999999999"/>
    <n v="23"/>
    <x v="127"/>
    <n v="960.4799999999999"/>
    <n v="-107.15723000000003"/>
    <n v="-0.12557643340514638"/>
  </r>
  <r>
    <x v="128"/>
    <x v="118"/>
    <d v="2024-06-13T00:00:00"/>
    <d v="2024-06-13T00:00:00"/>
    <n v="14"/>
    <s v="Q2-2024"/>
    <s v="Americas"/>
    <x v="10"/>
    <s v="San Francisco"/>
    <s v="Small Business"/>
    <s v="Retail"/>
    <s v="F. Müller"/>
    <x v="3"/>
    <n v="2.4176100281212167E-2"/>
    <x v="128"/>
    <n v="157.78"/>
    <n v="361.1"/>
    <s v="Profit"/>
    <n v="0.187"/>
    <n v="9"/>
    <x v="128"/>
    <n v="1420.02"/>
    <n v="1222.1486999999997"/>
    <n v="0.46255513510549112"/>
  </r>
  <r>
    <x v="129"/>
    <x v="119"/>
    <d v="2023-01-30T00:00:00"/>
    <d v="2023-01-30T00:00:00"/>
    <n v="8"/>
    <s v="Q1-2023"/>
    <s v="Americas"/>
    <x v="10"/>
    <s v="San Francisco"/>
    <s v="Small Business"/>
    <s v="Online"/>
    <s v="A. Patel"/>
    <x v="2"/>
    <n v="0.14705531669951089"/>
    <x v="129"/>
    <n v="413.52"/>
    <n v="1004.34"/>
    <s v="Profit"/>
    <n v="0.111"/>
    <n v="18"/>
    <x v="129"/>
    <n v="7443.36"/>
    <n v="8628.0886800000007"/>
    <n v="0.53685817948304593"/>
  </r>
  <r>
    <x v="130"/>
    <x v="120"/>
    <d v="2025-02-28T00:00:00"/>
    <d v="2025-02-28T00:00:00"/>
    <n v="16"/>
    <s v="Q1-2025"/>
    <s v="Americas"/>
    <x v="5"/>
    <s v="São Paulo"/>
    <s v="Non-Profit"/>
    <s v="Direct"/>
    <s v="B. Chen"/>
    <x v="5"/>
    <n v="7.049110473184711E-2"/>
    <x v="130"/>
    <n v="414.95"/>
    <n v="1027.73"/>
    <s v="Profit"/>
    <n v="6.3E-2"/>
    <n v="8"/>
    <x v="130"/>
    <n v="3319.6"/>
    <n v="4384.2640800000008"/>
    <n v="0.56909935513815568"/>
  </r>
  <r>
    <x v="131"/>
    <x v="121"/>
    <d v="2025-03-24T00:00:00"/>
    <d v="2025-03-24T00:00:00"/>
    <n v="21"/>
    <s v="Q1-2025"/>
    <s v="Africa"/>
    <x v="1"/>
    <s v="Abuja"/>
    <s v="Enterprise"/>
    <s v="Direct"/>
    <s v="H. Kim"/>
    <x v="6"/>
    <n v="4.0423604967998648E-2"/>
    <x v="131"/>
    <n v="555.95000000000005"/>
    <n v="468.09"/>
    <s v="Loss"/>
    <n v="0.14199999999999999"/>
    <n v="11"/>
    <x v="131"/>
    <n v="6115.4500000000007"/>
    <n v="-1697.6165800000008"/>
    <n v="-0.38426450674095375"/>
  </r>
  <r>
    <x v="132"/>
    <x v="122"/>
    <d v="2023-01-31T00:00:00"/>
    <d v="2023-01-31T00:00:00"/>
    <n v="4"/>
    <s v="Q1-2023"/>
    <s v="Europe"/>
    <x v="8"/>
    <s v="Manchester"/>
    <s v="Enterprise"/>
    <s v="Online"/>
    <s v="N. Brown"/>
    <x v="4"/>
    <n v="7.628334973576624E-2"/>
    <x v="132"/>
    <n v="941.2"/>
    <n v="668.02"/>
    <s v="Loss"/>
    <n v="0.22"/>
    <n v="16"/>
    <x v="132"/>
    <n v="15059.2"/>
    <n v="-6722.3104000000003"/>
    <n v="-0.80633314371825193"/>
  </r>
  <r>
    <x v="133"/>
    <x v="123"/>
    <d v="2025-01-15T00:00:00"/>
    <d v="2025-01-15T00:00:00"/>
    <n v="6"/>
    <s v="Q1-2025"/>
    <s v="Asia"/>
    <x v="9"/>
    <s v="Beijing"/>
    <s v="Education"/>
    <s v="Online"/>
    <s v="C. Otieno"/>
    <x v="3"/>
    <n v="3.1974136799499953E-2"/>
    <x v="133"/>
    <n v="304.77999999999997"/>
    <n v="537.27"/>
    <s v="Profit"/>
    <n v="0.187"/>
    <n v="8"/>
    <x v="133"/>
    <n v="2438.2399999999998"/>
    <n v="1056.16408"/>
    <n v="0.3022444044307549"/>
  </r>
  <r>
    <x v="134"/>
    <x v="124"/>
    <d v="2024-12-26T00:00:00"/>
    <d v="2024-12-26T00:00:00"/>
    <n v="5"/>
    <s v="Q4-2024"/>
    <s v="Americas"/>
    <x v="10"/>
    <s v="San Francisco"/>
    <s v="Consumer"/>
    <s v="Marketplace"/>
    <s v="M. Rossi"/>
    <x v="1"/>
    <n v="0.11008931768370805"/>
    <x v="134"/>
    <n v="699.57"/>
    <n v="572.71"/>
    <s v="Loss"/>
    <n v="0.192"/>
    <n v="26"/>
    <x v="134"/>
    <n v="18188.82"/>
    <n v="-6157.3283199999987"/>
    <n v="-0.51176765805651114"/>
  </r>
  <r>
    <x v="135"/>
    <x v="125"/>
    <d v="2023-04-17T00:00:00"/>
    <d v="2023-04-17T00:00:00"/>
    <n v="5"/>
    <s v="Q2-2023"/>
    <s v="Europe"/>
    <x v="7"/>
    <s v="Lyon"/>
    <s v="Enterprise"/>
    <s v="Direct"/>
    <s v="E. Garcia"/>
    <x v="5"/>
    <n v="0.25044310780851164"/>
    <x v="135"/>
    <n v="1087.81"/>
    <n v="2323.87"/>
    <s v="Profit"/>
    <n v="9.4E-2"/>
    <n v="13"/>
    <x v="135"/>
    <n v="14141.529999999999"/>
    <n v="13229.010859999999"/>
    <n v="0.48333026839572651"/>
  </r>
  <r>
    <x v="136"/>
    <x v="126"/>
    <d v="2025-01-12T00:00:00"/>
    <d v="2025-01-12T00:00:00"/>
    <n v="29"/>
    <s v="Q4-2024"/>
    <s v="Asia"/>
    <x v="9"/>
    <s v="Shenzhen"/>
    <s v="Education"/>
    <s v="Online"/>
    <s v="J. Njeri"/>
    <x v="0"/>
    <n v="8.8739141274160757E-2"/>
    <x v="136"/>
    <n v="1412.15"/>
    <n v="1631.04"/>
    <s v="Profit"/>
    <n v="8.9999999999999993E-3"/>
    <n v="6"/>
    <x v="136"/>
    <n v="8472.9000000000015"/>
    <n v="1225.2638399999978"/>
    <n v="0.12633977526203535"/>
  </r>
  <r>
    <x v="137"/>
    <x v="50"/>
    <d v="2023-04-12T00:00:00"/>
    <d v="2023-04-12T00:00:00"/>
    <n v="12"/>
    <s v="Q1-2023"/>
    <s v="Africa"/>
    <x v="0"/>
    <s v="Mombasa"/>
    <s v="Small Business"/>
    <s v="Online"/>
    <s v="C. Otieno"/>
    <x v="3"/>
    <n v="3.9677042411288582E-2"/>
    <x v="137"/>
    <n v="304.22000000000003"/>
    <n v="393.31"/>
    <s v="Profit"/>
    <n v="0.26500000000000001"/>
    <n v="15"/>
    <x v="137"/>
    <n v="4563.3"/>
    <n v="-227.05725000000075"/>
    <n v="-5.2362670424759034E-2"/>
  </r>
  <r>
    <x v="138"/>
    <x v="127"/>
    <d v="2024-12-15T00:00:00"/>
    <d v="2024-12-15T00:00:00"/>
    <n v="25"/>
    <s v="Q4-2024"/>
    <s v="Europe"/>
    <x v="7"/>
    <s v="Paris"/>
    <s v="Corporate"/>
    <s v="Online"/>
    <s v="G. Dubois"/>
    <x v="1"/>
    <n v="0.32544825723270165"/>
    <x v="138"/>
    <n v="1203.58"/>
    <n v="1856.16"/>
    <s v="Profit"/>
    <n v="0.129"/>
    <n v="22"/>
    <x v="138"/>
    <n v="26478.76"/>
    <n v="9088.9779200000085"/>
    <n v="0.25553994860295032"/>
  </r>
  <r>
    <x v="139"/>
    <x v="128"/>
    <d v="2024-02-14T00:00:00"/>
    <d v="2024-02-14T00:00:00"/>
    <n v="0"/>
    <s v="Q1-2024"/>
    <s v="Asia"/>
    <x v="9"/>
    <s v="Beijing"/>
    <s v="Corporate"/>
    <s v="Distributor"/>
    <s v="L. Okafor"/>
    <x v="6"/>
    <n v="1.323973947052289E-2"/>
    <x v="139"/>
    <n v="65.930000000000007"/>
    <n v="84.9"/>
    <s v="Profit"/>
    <n v="0.25900000000000001"/>
    <n v="23"/>
    <x v="139"/>
    <n v="1516.39"/>
    <n v="-69.439300000000003"/>
    <n v="-4.7990093926489688E-2"/>
  </r>
  <r>
    <x v="140"/>
    <x v="129"/>
    <d v="2023-05-18T00:00:00"/>
    <d v="2023-05-18T00:00:00"/>
    <n v="16"/>
    <s v="Q2-2023"/>
    <s v="Asia"/>
    <x v="4"/>
    <s v="Delhi"/>
    <s v="Small Business"/>
    <s v="Marketplace"/>
    <s v="K. Singh"/>
    <x v="5"/>
    <n v="0.7997635998103535"/>
    <x v="140"/>
    <n v="1463.92"/>
    <n v="2252.2399999999998"/>
    <s v="Profit"/>
    <n v="0.11799999999999999"/>
    <n v="44"/>
    <x v="140"/>
    <n v="64412.480000000003"/>
    <n v="22992.449919999992"/>
    <n v="0.26305667130040061"/>
  </r>
  <r>
    <x v="141"/>
    <x v="130"/>
    <d v="2025-01-11T00:00:00"/>
    <d v="2025-01-11T00:00:00"/>
    <n v="19"/>
    <s v="Q4-2024"/>
    <s v="Europe"/>
    <x v="6"/>
    <s v="Berlin"/>
    <s v="Education"/>
    <s v="Retail"/>
    <s v="K. Singh"/>
    <x v="3"/>
    <n v="7.5137250657700799E-2"/>
    <x v="141"/>
    <n v="501.81"/>
    <n v="921.62"/>
    <s v="Profit"/>
    <n v="0.01"/>
    <n v="9"/>
    <x v="141"/>
    <n v="4516.29"/>
    <n v="3695.3442000000005"/>
    <n v="0.45001325071202031"/>
  </r>
  <r>
    <x v="142"/>
    <x v="131"/>
    <d v="2023-08-25T00:00:00"/>
    <d v="2023-08-25T00:00:00"/>
    <n v="30"/>
    <s v="Q3-2023"/>
    <s v="Americas"/>
    <x v="10"/>
    <s v="New York"/>
    <s v="Consumer"/>
    <s v="Retail"/>
    <s v="M. Rossi"/>
    <x v="6"/>
    <n v="0.29359345618318217"/>
    <x v="142"/>
    <n v="1261.48"/>
    <n v="1643.18"/>
    <s v="Profit"/>
    <n v="0.151"/>
    <n v="23"/>
    <x v="142"/>
    <n v="29014.04"/>
    <n v="3072.3358599999992"/>
    <n v="9.5752037357079045E-2"/>
  </r>
  <r>
    <x v="143"/>
    <x v="132"/>
    <d v="2024-07-06T00:00:00"/>
    <d v="2024-07-06T00:00:00"/>
    <n v="21"/>
    <s v="Q2-2024"/>
    <s v="Americas"/>
    <x v="3"/>
    <s v="Toronto"/>
    <s v="Enterprise"/>
    <s v="Distributor"/>
    <s v="L. Okafor"/>
    <x v="1"/>
    <n v="9.1221162862135663E-2"/>
    <x v="143"/>
    <n v="817.23"/>
    <n v="1467.17"/>
    <s v="Profit"/>
    <n v="0.245"/>
    <n v="9"/>
    <x v="143"/>
    <n v="7355.07"/>
    <n v="2614.3501500000002"/>
    <n v="0.26223693160328893"/>
  </r>
  <r>
    <x v="144"/>
    <x v="133"/>
    <d v="2023-07-14T00:00:00"/>
    <d v="2023-07-14T00:00:00"/>
    <n v="9"/>
    <s v="Q3-2023"/>
    <s v="Americas"/>
    <x v="5"/>
    <s v="Brasília"/>
    <s v="Enterprise"/>
    <s v="Direct"/>
    <s v="B. Chen"/>
    <x v="2"/>
    <n v="0.23490245636134383"/>
    <x v="144"/>
    <n v="578.85"/>
    <n v="998.76"/>
    <s v="Profit"/>
    <n v="8.2000000000000003E-2"/>
    <n v="28"/>
    <x v="144"/>
    <n v="16207.800000000001"/>
    <n v="9464.3270399999983"/>
    <n v="0.36866158480960831"/>
  </r>
  <r>
    <x v="145"/>
    <x v="134"/>
    <d v="2023-11-29T00:00:00"/>
    <d v="2023-12-07T00:00:00"/>
    <n v="7"/>
    <s v="Q4-2023"/>
    <s v="Africa"/>
    <x v="11"/>
    <s v="Durban"/>
    <s v="Small Business"/>
    <s v="Marketplace"/>
    <s v="E. Garcia"/>
    <x v="4"/>
    <n v="0.11853363489651934"/>
    <x v="145"/>
    <n v="275.56"/>
    <n v="630.72"/>
    <s v="Profit"/>
    <n v="0.107"/>
    <n v="23"/>
    <x v="145"/>
    <n v="6337.88"/>
    <n v="6616.4780800000017"/>
    <n v="0.5107530638831933"/>
  </r>
  <r>
    <x v="146"/>
    <x v="135"/>
    <d v="2025-09-28T00:00:00"/>
    <d v="2025-09-28T00:00:00"/>
    <n v="17"/>
    <s v="Q3-2025"/>
    <s v="Africa"/>
    <x v="0"/>
    <s v="Nairobi"/>
    <s v="Non-Profit"/>
    <s v="Distributor"/>
    <s v="J. Njeri"/>
    <x v="4"/>
    <n v="3.2600907656888688E-2"/>
    <x v="146"/>
    <n v="891.46"/>
    <n v="728.61"/>
    <s v="Loss"/>
    <n v="0.185"/>
    <n v="6"/>
    <x v="146"/>
    <n v="5348.76"/>
    <n v="-1785.8571000000006"/>
    <n v="-0.50123653383874167"/>
  </r>
  <r>
    <x v="147"/>
    <x v="136"/>
    <d v="2024-04-24T00:00:00"/>
    <d v="2024-04-24T00:00:00"/>
    <n v="20"/>
    <s v="Q2-2024"/>
    <s v="Europe"/>
    <x v="6"/>
    <s v="Frankfurt"/>
    <s v="Non-Profit"/>
    <s v="Direct"/>
    <s v="O. Wang"/>
    <x v="6"/>
    <n v="0.12188972509592846"/>
    <x v="147"/>
    <n v="683.42"/>
    <n v="951.51"/>
    <s v="Profit"/>
    <n v="0"/>
    <n v="14"/>
    <x v="147"/>
    <n v="9567.8799999999992"/>
    <n v="3753.26"/>
    <n v="0.28175216235247136"/>
  </r>
  <r>
    <x v="148"/>
    <x v="137"/>
    <d v="2023-09-16T00:00:00"/>
    <d v="2023-09-16T00:00:00"/>
    <n v="2"/>
    <s v="Q3-2023"/>
    <s v="Europe"/>
    <x v="7"/>
    <s v="Lyon"/>
    <s v="Non-Profit"/>
    <s v="Direct"/>
    <s v="B. Chen"/>
    <x v="1"/>
    <n v="0.13613024088663378"/>
    <x v="148"/>
    <n v="376.83"/>
    <n v="732.88"/>
    <s v="Profit"/>
    <n v="0.188"/>
    <n v="25"/>
    <x v="148"/>
    <n v="9420.75"/>
    <n v="5456.7140000000018"/>
    <n v="0.36677716040852132"/>
  </r>
  <r>
    <x v="149"/>
    <x v="138"/>
    <d v="2024-10-18T00:00:00"/>
    <d v="2024-10-18T00:00:00"/>
    <n v="25"/>
    <s v="Q3-2024"/>
    <s v="Americas"/>
    <x v="3"/>
    <s v="Vancouver"/>
    <s v="Small Business"/>
    <s v="Online"/>
    <s v="N. Brown"/>
    <x v="3"/>
    <n v="0.38884074807498914"/>
    <x v="149"/>
    <n v="1297"/>
    <n v="2411.52"/>
    <s v="Profit"/>
    <n v="2.1000000000000001E-2"/>
    <n v="18"/>
    <x v="149"/>
    <n v="23346"/>
    <n v="19149.805439999996"/>
    <n v="0.45062813239385913"/>
  </r>
  <r>
    <x v="150"/>
    <x v="139"/>
    <d v="2025-05-16T00:00:00"/>
    <d v="2025-05-16T00:00:00"/>
    <n v="30"/>
    <s v="Q2-2025"/>
    <s v="Americas"/>
    <x v="3"/>
    <s v="Montreal"/>
    <s v="Enterprise"/>
    <s v="Distributor"/>
    <s v="K. Singh"/>
    <x v="1"/>
    <n v="7.2299530663797185E-2"/>
    <x v="150"/>
    <n v="763.32"/>
    <n v="568.29"/>
    <s v="Loss"/>
    <n v="0.13100000000000001"/>
    <n v="16"/>
    <x v="150"/>
    <n v="12213.12"/>
    <n v="-4311.6158400000013"/>
    <n v="-0.54567026134426555"/>
  </r>
  <r>
    <x v="151"/>
    <x v="140"/>
    <d v="2023-07-23T00:00:00"/>
    <d v="2023-07-23T00:00:00"/>
    <n v="20"/>
    <s v="Q3-2023"/>
    <s v="Africa"/>
    <x v="11"/>
    <s v="Johannesburg"/>
    <s v="Small Business"/>
    <s v="Distributor"/>
    <s v="F. Müller"/>
    <x v="4"/>
    <n v="0.19739129876662495"/>
    <x v="151"/>
    <n v="1001.96"/>
    <n v="1254.95"/>
    <s v="Profit"/>
    <n v="4.4999999999999998E-2"/>
    <n v="18"/>
    <x v="151"/>
    <n v="18035.28"/>
    <n v="3537.3105000000032"/>
    <n v="0.16397244920585699"/>
  </r>
  <r>
    <x v="152"/>
    <x v="141"/>
    <d v="2023-12-05T00:00:00"/>
    <d v="2023-12-14T00:00:00"/>
    <n v="7"/>
    <s v="Q4-2023"/>
    <s v="Asia"/>
    <x v="2"/>
    <s v="Tokyo"/>
    <s v="Non-Profit"/>
    <s v="Marketplace"/>
    <s v="H. Kim"/>
    <x v="1"/>
    <n v="3.7879689286397851E-2"/>
    <x v="152"/>
    <n v="1097.5899999999999"/>
    <n v="845.55"/>
    <s v="Loss"/>
    <n v="0.184"/>
    <n v="6"/>
    <x v="152"/>
    <n v="6585.5399999999991"/>
    <n v="-2445.7271999999994"/>
    <n v="-0.59078207594314402"/>
  </r>
  <r>
    <x v="153"/>
    <x v="142"/>
    <d v="2024-03-04T00:00:00"/>
    <d v="2024-03-04T00:00:00"/>
    <n v="15"/>
    <s v="Q1-2024"/>
    <s v="Africa"/>
    <x v="0"/>
    <s v="Kisumu"/>
    <s v="Education"/>
    <s v="Direct"/>
    <s v="K. Singh"/>
    <x v="1"/>
    <n v="0.27134457608115148"/>
    <x v="153"/>
    <n v="928.68"/>
    <n v="2145.17"/>
    <s v="Profit"/>
    <n v="0.13600000000000001"/>
    <n v="16"/>
    <x v="153"/>
    <n v="14858.88"/>
    <n v="14795.950080000001"/>
    <n v="0.49893896003062177"/>
  </r>
  <r>
    <x v="154"/>
    <x v="143"/>
    <d v="2023-11-02T00:00:00"/>
    <d v="2023-11-02T00:00:00"/>
    <n v="2"/>
    <s v="Q4-2023"/>
    <s v="Africa"/>
    <x v="0"/>
    <s v="Kisumu"/>
    <s v="Education"/>
    <s v="Retail"/>
    <s v="O. Wang"/>
    <x v="6"/>
    <n v="0.10079299027315541"/>
    <x v="154"/>
    <n v="867.89"/>
    <n v="1349.94"/>
    <s v="Profit"/>
    <n v="0.184"/>
    <n v="10"/>
    <x v="154"/>
    <n v="8678.9"/>
    <n v="2336.6104000000032"/>
    <n v="0.21212003031652557"/>
  </r>
  <r>
    <x v="155"/>
    <x v="144"/>
    <d v="2024-08-17T00:00:00"/>
    <d v="2024-08-17T00:00:00"/>
    <n v="10"/>
    <s v="Q3-2024"/>
    <s v="Asia"/>
    <x v="2"/>
    <s v="Osaka"/>
    <s v="Consumer"/>
    <s v="Online"/>
    <s v="K. Singh"/>
    <x v="2"/>
    <n v="8.1524297360594036E-2"/>
    <x v="155"/>
    <n v="436.58"/>
    <n v="527.48"/>
    <s v="Profit"/>
    <n v="0.111"/>
    <n v="19"/>
    <x v="155"/>
    <n v="8295.02"/>
    <n v="614.64468000000124"/>
    <n v="6.8986286473802644E-2"/>
  </r>
  <r>
    <x v="156"/>
    <x v="145"/>
    <d v="2024-02-21T00:00:00"/>
    <d v="2024-02-21T00:00:00"/>
    <n v="20"/>
    <s v="Q1-2024"/>
    <s v="Europe"/>
    <x v="7"/>
    <s v="Paris"/>
    <s v="Small Business"/>
    <s v="Marketplace"/>
    <s v="A. Patel"/>
    <x v="2"/>
    <n v="6.5915512826061243E-2"/>
    <x v="156"/>
    <n v="656.2"/>
    <n v="1467.17"/>
    <s v="Profit"/>
    <n v="1.7999999999999999E-2"/>
    <n v="5"/>
    <x v="156"/>
    <n v="3281"/>
    <n v="3922.8047000000006"/>
    <n v="0.54454623124360946"/>
  </r>
  <r>
    <x v="157"/>
    <x v="38"/>
    <d v="2024-09-18T00:00:00"/>
    <d v="2024-09-18T00:00:00"/>
    <n v="22"/>
    <s v="Q3-2024"/>
    <s v="Asia"/>
    <x v="4"/>
    <s v="Delhi"/>
    <s v="Consumer"/>
    <s v="Direct"/>
    <s v="B. Chen"/>
    <x v="0"/>
    <n v="0.22095583674991673"/>
    <x v="157"/>
    <n v="896.75"/>
    <n v="1651.14"/>
    <s v="Profit"/>
    <n v="2.5000000000000001E-2"/>
    <n v="15"/>
    <x v="157"/>
    <n v="13451.25"/>
    <n v="10696.672500000001"/>
    <n v="0.44296450346815552"/>
  </r>
  <r>
    <x v="158"/>
    <x v="146"/>
    <d v="2025-02-15T00:00:00"/>
    <d v="2025-02-15T00:00:00"/>
    <n v="0"/>
    <s v="Q1-2025"/>
    <s v="Europe"/>
    <x v="6"/>
    <s v="Frankfurt"/>
    <s v="Small Business"/>
    <s v="Marketplace"/>
    <s v="L. Okafor"/>
    <x v="6"/>
    <n v="9.5002337020135774E-2"/>
    <x v="158"/>
    <n v="815.83"/>
    <n v="1982.18"/>
    <s v="Profit"/>
    <n v="0.127"/>
    <n v="6"/>
    <x v="158"/>
    <n v="4894.9800000000005"/>
    <n v="5487.6788399999996"/>
    <n v="0.52854272923408507"/>
  </r>
  <r>
    <x v="159"/>
    <x v="90"/>
    <d v="2025-08-21T00:00:00"/>
    <d v="2025-08-21T00:00:00"/>
    <n v="20"/>
    <s v="Q3-2025"/>
    <s v="Asia"/>
    <x v="9"/>
    <s v="Shanghai"/>
    <s v="Corporate"/>
    <s v="Direct"/>
    <s v="I. Johnson"/>
    <x v="3"/>
    <n v="0.2677661967157115"/>
    <x v="159"/>
    <n v="1220.4100000000001"/>
    <n v="2552.2199999999998"/>
    <s v="Profit"/>
    <n v="0.18099999999999999"/>
    <n v="14"/>
    <x v="159"/>
    <n v="17085.740000000002"/>
    <n v="12178.014519999993"/>
    <n v="0.41614668793360271"/>
  </r>
  <r>
    <x v="160"/>
    <x v="147"/>
    <d v="2023-03-04T00:00:00"/>
    <d v="2023-03-04T00:00:00"/>
    <n v="12"/>
    <s v="Q1-2023"/>
    <s v="Asia"/>
    <x v="4"/>
    <s v="Delhi"/>
    <s v="Consumer"/>
    <s v="Distributor"/>
    <s v="M. Rossi"/>
    <x v="5"/>
    <n v="0.20171271579685129"/>
    <x v="160"/>
    <n v="299.75"/>
    <n v="523.01"/>
    <s v="Profit"/>
    <n v="0.157"/>
    <n v="50"/>
    <x v="160"/>
    <n v="14987.5"/>
    <n v="7057.3714999999975"/>
    <n v="0.32013665854210122"/>
  </r>
  <r>
    <x v="161"/>
    <x v="148"/>
    <d v="2024-11-24T00:00:00"/>
    <d v="2024-11-24T00:00:00"/>
    <n v="25"/>
    <s v="Q4-2024"/>
    <s v="Asia"/>
    <x v="9"/>
    <s v="Shenzhen"/>
    <s v="Small Business"/>
    <s v="Online"/>
    <s v="E. Garcia"/>
    <x v="0"/>
    <n v="5.1699644652038232E-2"/>
    <x v="161"/>
    <n v="811.05"/>
    <n v="1217.71"/>
    <s v="Profit"/>
    <n v="7.1999999999999995E-2"/>
    <n v="5"/>
    <x v="161"/>
    <n v="4055.25"/>
    <n v="1594.9244000000008"/>
    <n v="0.28227879125288602"/>
  </r>
  <r>
    <x v="162"/>
    <x v="149"/>
    <d v="2024-04-07T00:00:00"/>
    <d v="2024-04-07T00:00:00"/>
    <n v="4"/>
    <s v="Q2-2024"/>
    <s v="Americas"/>
    <x v="5"/>
    <s v="Brasília"/>
    <s v="Non-Profit"/>
    <s v="Direct"/>
    <s v="N. Brown"/>
    <x v="3"/>
    <n v="7.4614935296309831E-2"/>
    <x v="162"/>
    <n v="1023.27"/>
    <n v="1343.64"/>
    <s v="Profit"/>
    <n v="0.13300000000000001"/>
    <n v="7"/>
    <x v="162"/>
    <n v="7162.8899999999994"/>
    <n v="991.66116000000147"/>
    <n v="0.12160830688810116"/>
  </r>
  <r>
    <x v="163"/>
    <x v="150"/>
    <d v="2023-03-26T00:00:00"/>
    <d v="2023-03-26T00:00:00"/>
    <n v="1"/>
    <s v="Q1-2023"/>
    <s v="Asia"/>
    <x v="2"/>
    <s v="Osaka"/>
    <s v="Small Business"/>
    <s v="Distributor"/>
    <s v="I. Johnson"/>
    <x v="5"/>
    <n v="0.1115828177681092"/>
    <x v="163"/>
    <n v="135.12"/>
    <n v="301.7"/>
    <s v="Profit"/>
    <n v="0.14000000000000001"/>
    <n v="47"/>
    <x v="163"/>
    <n v="6350.64"/>
    <n v="5844.0739999999996"/>
    <n v="0.47923009920527859"/>
  </r>
  <r>
    <x v="164"/>
    <x v="151"/>
    <d v="2024-06-16T00:00:00"/>
    <d v="2024-06-16T00:00:00"/>
    <n v="12"/>
    <s v="Q2-2024"/>
    <s v="Asia"/>
    <x v="9"/>
    <s v="Shanghai"/>
    <s v="Corporate"/>
    <s v="Retail"/>
    <s v="J. Njeri"/>
    <x v="1"/>
    <n v="0.10844517991599559"/>
    <x v="164"/>
    <n v="918.42"/>
    <n v="1511.71"/>
    <s v="Profit"/>
    <n v="0.02"/>
    <n v="8"/>
    <x v="164"/>
    <n v="7347.36"/>
    <n v="4504.4463999999998"/>
    <n v="0.38006412254590999"/>
  </r>
  <r>
    <x v="165"/>
    <x v="152"/>
    <d v="2023-03-12T00:00:00"/>
    <d v="2023-03-12T00:00:00"/>
    <n v="21"/>
    <s v="Q1-2023"/>
    <s v="Europe"/>
    <x v="6"/>
    <s v="Berlin"/>
    <s v="Small Business"/>
    <s v="Direct"/>
    <s v="L. Okafor"/>
    <x v="5"/>
    <n v="0.78359364329489123"/>
    <x v="165"/>
    <n v="1234.81"/>
    <n v="2055.2399999999998"/>
    <s v="Profit"/>
    <n v="5.2999999999999999E-2"/>
    <n v="44"/>
    <x v="165"/>
    <n v="54331.64"/>
    <n v="31306.100319999998"/>
    <n v="0.36556429680441616"/>
  </r>
  <r>
    <x v="166"/>
    <x v="153"/>
    <d v="2023-05-18T00:00:00"/>
    <d v="2023-05-18T00:00:00"/>
    <n v="30"/>
    <s v="Q2-2023"/>
    <s v="Asia"/>
    <x v="9"/>
    <s v="Shenzhen"/>
    <s v="Non-Profit"/>
    <s v="Retail"/>
    <s v="H. Kim"/>
    <x v="4"/>
    <n v="0.13220333669992659"/>
    <x v="166"/>
    <n v="329.03"/>
    <n v="391.15"/>
    <s v="Profit"/>
    <n v="0.19700000000000001"/>
    <n v="46"/>
    <x v="166"/>
    <n v="15135.38"/>
    <n v="-687.08130000000165"/>
    <n v="-4.7554477815440081E-2"/>
  </r>
  <r>
    <x v="167"/>
    <x v="154"/>
    <d v="2024-06-14T00:00:00"/>
    <d v="2024-06-14T00:00:00"/>
    <n v="22"/>
    <s v="Q2-2024"/>
    <s v="Europe"/>
    <x v="7"/>
    <s v="Marseille"/>
    <s v="Small Business"/>
    <s v="Online"/>
    <s v="N. Brown"/>
    <x v="5"/>
    <n v="0.11358916487637657"/>
    <x v="167"/>
    <n v="1481.74"/>
    <n v="1848.97"/>
    <s v="Profit"/>
    <n v="0.254"/>
    <n v="9"/>
    <x v="167"/>
    <n v="13335.66"/>
    <n v="-921.67541999999958"/>
    <n v="-7.4244930309072407E-2"/>
  </r>
  <r>
    <x v="168"/>
    <x v="155"/>
    <d v="2023-10-23T00:00:00"/>
    <d v="2023-10-23T00:00:00"/>
    <n v="16"/>
    <s v="Q4-2023"/>
    <s v="Asia"/>
    <x v="4"/>
    <s v="Hyderabad"/>
    <s v="Consumer"/>
    <s v="Retail"/>
    <s v="G. Dubois"/>
    <x v="5"/>
    <n v="6.2442901812557607E-2"/>
    <x v="168"/>
    <n v="906.81"/>
    <n v="1395.56"/>
    <s v="Profit"/>
    <n v="0.185"/>
    <n v="6"/>
    <x v="168"/>
    <n v="5440.86"/>
    <n v="1383.4284000000007"/>
    <n v="0.20272126834498974"/>
  </r>
  <r>
    <x v="169"/>
    <x v="156"/>
    <d v="2024-11-08T00:00:00"/>
    <d v="2024-11-08T00:00:00"/>
    <n v="30"/>
    <s v="Q4-2024"/>
    <s v="Europe"/>
    <x v="8"/>
    <s v="Manchester"/>
    <s v="Small Business"/>
    <s v="Distributor"/>
    <s v="J. Njeri"/>
    <x v="0"/>
    <n v="2.1194024145688013E-2"/>
    <x v="169"/>
    <n v="343.85"/>
    <n v="538.04"/>
    <s v="Profit"/>
    <n v="0.13900000000000001"/>
    <n v="5"/>
    <x v="169"/>
    <n v="1719.25"/>
    <n v="597.01219999999967"/>
    <n v="0.25774810813732563"/>
  </r>
  <r>
    <x v="170"/>
    <x v="157"/>
    <d v="2024-07-15T00:00:00"/>
    <d v="2024-07-15T00:00:00"/>
    <n v="0"/>
    <s v="Q3-2024"/>
    <s v="Asia"/>
    <x v="2"/>
    <s v="Tokyo"/>
    <s v="Small Business"/>
    <s v="Marketplace"/>
    <s v="G. Dubois"/>
    <x v="6"/>
    <n v="0.13312502982848751"/>
    <x v="170"/>
    <n v="801.77"/>
    <n v="1218.92"/>
    <s v="Profit"/>
    <n v="0.254"/>
    <n v="16"/>
    <x v="170"/>
    <n v="12828.32"/>
    <n v="1720.7091200000013"/>
    <n v="0.11826968698788344"/>
  </r>
  <r>
    <x v="171"/>
    <x v="158"/>
    <d v="2023-10-10T00:00:00"/>
    <d v="2023-10-10T00:00:00"/>
    <n v="19"/>
    <s v="Q3-2023"/>
    <s v="Asia"/>
    <x v="2"/>
    <s v="Tokyo"/>
    <s v="Education"/>
    <s v="Online"/>
    <s v="D. Smith"/>
    <x v="0"/>
    <n v="8.1701030754961892E-2"/>
    <x v="171"/>
    <n v="845.63"/>
    <n v="2062.12"/>
    <s v="Profit"/>
    <n v="0.13400000000000001"/>
    <n v="5"/>
    <x v="171"/>
    <n v="4228.1499999999996"/>
    <n v="4700.8295999999991"/>
    <n v="0.52646884757133949"/>
  </r>
  <r>
    <x v="172"/>
    <x v="159"/>
    <d v="2023-03-09T00:00:00"/>
    <d v="2023-03-09T00:00:00"/>
    <n v="13"/>
    <s v="Q1-2023"/>
    <s v="Americas"/>
    <x v="10"/>
    <s v="New York"/>
    <s v="Enterprise"/>
    <s v="Online"/>
    <s v="M. Rossi"/>
    <x v="0"/>
    <n v="8.8770033466141322E-4"/>
    <x v="172"/>
    <n v="6.85"/>
    <n v="10.18"/>
    <s v="Profit"/>
    <n v="4.7E-2"/>
    <n v="10"/>
    <x v="172"/>
    <n v="68.5"/>
    <n v="28.5154"/>
    <n v="0.2939265312517394"/>
  </r>
  <r>
    <x v="173"/>
    <x v="9"/>
    <d v="2025-05-19T00:00:00"/>
    <d v="2025-05-28T00:00:00"/>
    <n v="7"/>
    <s v="Q2-2025"/>
    <s v="Africa"/>
    <x v="11"/>
    <s v="Johannesburg"/>
    <s v="Non-Profit"/>
    <s v="Distributor"/>
    <s v="O. Wang"/>
    <x v="4"/>
    <n v="0.28874218209849506"/>
    <x v="173"/>
    <n v="1263.8399999999999"/>
    <n v="2281.7199999999998"/>
    <s v="Profit"/>
    <n v="7.8E-2"/>
    <n v="15"/>
    <x v="173"/>
    <n v="18957.599999999999"/>
    <n v="12598.587599999999"/>
    <n v="0.39924301882398494"/>
  </r>
  <r>
    <x v="174"/>
    <x v="154"/>
    <d v="2024-06-03T00:00:00"/>
    <d v="2024-06-03T00:00:00"/>
    <n v="11"/>
    <s v="Q2-2024"/>
    <s v="Africa"/>
    <x v="11"/>
    <s v="Johannesburg"/>
    <s v="Small Business"/>
    <s v="Distributor"/>
    <s v="F. Müller"/>
    <x v="1"/>
    <n v="1.7866806162813494E-2"/>
    <x v="174"/>
    <n v="180.89"/>
    <n v="249.57"/>
    <s v="Profit"/>
    <n v="2.1999999999999999E-2"/>
    <n v="8"/>
    <x v="174"/>
    <n v="1447.12"/>
    <n v="505.51567999999997"/>
    <n v="0.25888888806948362"/>
  </r>
  <r>
    <x v="175"/>
    <x v="160"/>
    <d v="2025-05-04T00:00:00"/>
    <d v="2025-05-04T00:00:00"/>
    <n v="20"/>
    <s v="Q2-2025"/>
    <s v="Europe"/>
    <x v="8"/>
    <s v="Birmingham"/>
    <s v="Enterprise"/>
    <s v="Marketplace"/>
    <s v="K. Singh"/>
    <x v="5"/>
    <n v="0.84835354441889221"/>
    <x v="175"/>
    <n v="1413.87"/>
    <n v="3275"/>
    <s v="Profit"/>
    <n v="0.255"/>
    <n v="38"/>
    <x v="175"/>
    <n v="53727.06"/>
    <n v="38988.19"/>
    <n v="0.42051539525590453"/>
  </r>
  <r>
    <x v="176"/>
    <x v="161"/>
    <d v="2023-09-11T00:00:00"/>
    <d v="2023-09-11T00:00:00"/>
    <n v="15"/>
    <s v="Q3-2023"/>
    <s v="Europe"/>
    <x v="8"/>
    <s v="London"/>
    <s v="Consumer"/>
    <s v="Marketplace"/>
    <s v="N. Brown"/>
    <x v="1"/>
    <n v="0.14325822658803203"/>
    <x v="176"/>
    <n v="943.79"/>
    <n v="1913.76"/>
    <s v="Profit"/>
    <n v="9.0999999999999998E-2"/>
    <n v="9"/>
    <x v="176"/>
    <n v="8494.11"/>
    <n v="7162.3605599999992"/>
    <n v="0.45746967891338081"/>
  </r>
  <r>
    <x v="177"/>
    <x v="162"/>
    <d v="2024-02-21T00:00:00"/>
    <d v="2024-02-21T00:00:00"/>
    <n v="18"/>
    <s v="Q1-2024"/>
    <s v="Europe"/>
    <x v="6"/>
    <s v="Frankfurt"/>
    <s v="Corporate"/>
    <s v="Retail"/>
    <s v="H. Kim"/>
    <x v="0"/>
    <n v="2.9457174010056406E-3"/>
    <x v="177"/>
    <n v="39.229999999999997"/>
    <n v="30.09"/>
    <s v="Loss"/>
    <n v="0.17699999999999999"/>
    <n v="13"/>
    <x v="177"/>
    <n v="509.98999999999995"/>
    <n v="-188.05708999999996"/>
    <n v="-0.58414993981199359"/>
  </r>
  <r>
    <x v="178"/>
    <x v="163"/>
    <d v="2023-04-16T00:00:00"/>
    <d v="2023-04-16T00:00:00"/>
    <n v="11"/>
    <s v="Q2-2023"/>
    <s v="Americas"/>
    <x v="3"/>
    <s v="Vancouver"/>
    <s v="Non-Profit"/>
    <s v="Online"/>
    <s v="O. Wang"/>
    <x v="5"/>
    <n v="6.4952418435945639E-2"/>
    <x v="178"/>
    <n v="213.1"/>
    <n v="501.31"/>
    <s v="Profit"/>
    <n v="5.6000000000000001E-2"/>
    <n v="15"/>
    <x v="178"/>
    <n v="3196.5"/>
    <n v="3902.0495999999994"/>
    <n v="0.54969674368409005"/>
  </r>
  <r>
    <x v="179"/>
    <x v="164"/>
    <d v="2025-09-12T00:00:00"/>
    <d v="2025-09-12T00:00:00"/>
    <n v="22"/>
    <s v="Q3-2025"/>
    <s v="Asia"/>
    <x v="9"/>
    <s v="Shenzhen"/>
    <s v="Education"/>
    <s v="Retail"/>
    <s v="B. Chen"/>
    <x v="1"/>
    <n v="4.0448884490389816E-2"/>
    <x v="179"/>
    <n v="352.66"/>
    <n v="411.18"/>
    <s v="Profit"/>
    <n v="0.17299999999999999"/>
    <n v="13"/>
    <x v="179"/>
    <n v="4584.58"/>
    <n v="-163.98382000000038"/>
    <n v="-3.7095408248758066E-2"/>
  </r>
  <r>
    <x v="180"/>
    <x v="165"/>
    <d v="2025-09-18T00:00:00"/>
    <d v="2025-09-18T00:00:00"/>
    <n v="3"/>
    <s v="Q3-2025"/>
    <s v="Americas"/>
    <x v="5"/>
    <s v="Rio de Janeiro"/>
    <s v="Non-Profit"/>
    <s v="Direct"/>
    <s v="L. Okafor"/>
    <x v="6"/>
    <n v="1.7073934872946381E-4"/>
    <x v="180"/>
    <n v="5.5"/>
    <n v="5.92"/>
    <s v="Profit"/>
    <n v="0.21199999999999999"/>
    <n v="4"/>
    <x v="180"/>
    <n v="22"/>
    <n v="-3.3401600000000009"/>
    <n v="-0.17900260666758133"/>
  </r>
  <r>
    <x v="181"/>
    <x v="166"/>
    <d v="2024-10-11T00:00:00"/>
    <d v="2024-10-11T00:00:00"/>
    <n v="8"/>
    <s v="Q4-2024"/>
    <s v="Asia"/>
    <x v="9"/>
    <s v="Beijing"/>
    <s v="Enterprise"/>
    <s v="Direct"/>
    <s v="B. Chen"/>
    <x v="3"/>
    <n v="0.37837706993674364"/>
    <x v="181"/>
    <n v="1132.6099999999999"/>
    <n v="2206.63"/>
    <s v="Profit"/>
    <n v="6.3E-2"/>
    <n v="20"/>
    <x v="181"/>
    <n v="22652.199999999997"/>
    <n v="18700.046200000012"/>
    <n v="0.45221355351671338"/>
  </r>
  <r>
    <x v="182"/>
    <x v="167"/>
    <d v="2025-03-04T00:00:00"/>
    <d v="2025-03-04T00:00:00"/>
    <n v="30"/>
    <s v="Q1-2025"/>
    <s v="Asia"/>
    <x v="2"/>
    <s v="Osaka"/>
    <s v="Education"/>
    <s v="Distributor"/>
    <s v="L. Okafor"/>
    <x v="6"/>
    <n v="7.0359269400159269E-2"/>
    <x v="182"/>
    <n v="766.59"/>
    <n v="1912.8"/>
    <s v="Profit"/>
    <n v="0.19600000000000001"/>
    <n v="5"/>
    <x v="182"/>
    <n v="3832.9500000000003"/>
    <n v="3856.5059999999999"/>
    <n v="0.50153170783472845"/>
  </r>
  <r>
    <x v="183"/>
    <x v="66"/>
    <d v="2023-08-23T00:00:00"/>
    <d v="2023-08-23T00:00:00"/>
    <n v="4"/>
    <s v="Q3-2023"/>
    <s v="Africa"/>
    <x v="1"/>
    <s v="Abuja"/>
    <s v="Small Business"/>
    <s v="Online"/>
    <s v="J. Njeri"/>
    <x v="5"/>
    <n v="7.9595568055890242E-2"/>
    <x v="183"/>
    <n v="790.63"/>
    <n v="1382.31"/>
    <s v="Profit"/>
    <n v="0.10100000000000001"/>
    <n v="7"/>
    <x v="183"/>
    <n v="5534.41"/>
    <n v="3164.4668300000012"/>
    <n v="0.36377878338116448"/>
  </r>
  <r>
    <x v="184"/>
    <x v="168"/>
    <d v="2024-10-29T00:00:00"/>
    <d v="2024-10-29T00:00:00"/>
    <n v="7"/>
    <s v="Q4-2024"/>
    <s v="Africa"/>
    <x v="1"/>
    <s v="Port Harcourt"/>
    <s v="Enterprise"/>
    <s v="Distributor"/>
    <s v="M. Rossi"/>
    <x v="5"/>
    <n v="0.2416416069460029"/>
    <x v="184"/>
    <n v="1023.06"/>
    <n v="1355.61"/>
    <s v="Profit"/>
    <n v="0.153"/>
    <n v="23"/>
    <x v="184"/>
    <n v="23530.379999999997"/>
    <n v="2878.2584100000022"/>
    <n v="0.10898927711888809"/>
  </r>
  <r>
    <x v="185"/>
    <x v="169"/>
    <d v="2023-07-21T00:00:00"/>
    <d v="2023-07-21T00:00:00"/>
    <n v="29"/>
    <s v="Q2-2023"/>
    <s v="Europe"/>
    <x v="7"/>
    <s v="Lyon"/>
    <s v="Corporate"/>
    <s v="Retail"/>
    <s v="J. Njeri"/>
    <x v="6"/>
    <n v="9.5055143694781075E-2"/>
    <x v="185"/>
    <n v="734.34"/>
    <n v="887.9"/>
    <s v="Profit"/>
    <n v="2.5000000000000001E-2"/>
    <n v="12"/>
    <x v="185"/>
    <n v="8812.08"/>
    <n v="1576.3499999999985"/>
    <n v="0.15174092716608753"/>
  </r>
  <r>
    <x v="186"/>
    <x v="170"/>
    <d v="2025-02-08T00:00:00"/>
    <d v="2025-02-08T00:00:00"/>
    <n v="26"/>
    <s v="Q1-2025"/>
    <s v="Europe"/>
    <x v="7"/>
    <s v="Paris"/>
    <s v="Non-Profit"/>
    <s v="not provided"/>
    <s v="E. Garcia"/>
    <x v="5"/>
    <n v="4.421277951343839E-2"/>
    <x v="186"/>
    <n v="594.74"/>
    <n v="1020.69"/>
    <s v="Profit"/>
    <n v="0.21099999999999999"/>
    <n v="6"/>
    <x v="186"/>
    <n v="3568.44"/>
    <n v="1263.5064600000001"/>
    <n v="0.26149016146176424"/>
  </r>
  <r>
    <x v="129"/>
    <x v="171"/>
    <d v="2023-02-28T00:00:00"/>
    <d v="2023-02-28T00:00:00"/>
    <n v="30"/>
    <s v="Q1-2023"/>
    <s v="Asia"/>
    <x v="4"/>
    <s v="Bengaluru"/>
    <s v="Non-Profit"/>
    <s v="Retail"/>
    <s v="B. Chen"/>
    <x v="6"/>
    <n v="0.24485008247119586"/>
    <x v="187"/>
    <n v="1262.0999999999999"/>
    <n v="1395.53"/>
    <s v="Profit"/>
    <n v="0.23300000000000001"/>
    <n v="25"/>
    <x v="187"/>
    <n v="31552.499999999996"/>
    <n v="-4793.2122499999969"/>
    <n v="-0.17912331205452198"/>
  </r>
  <r>
    <x v="187"/>
    <x v="172"/>
    <d v="2023-07-31T00:00:00"/>
    <d v="2023-07-31T00:00:00"/>
    <n v="12"/>
    <s v="Q3-2023"/>
    <s v="Americas"/>
    <x v="5"/>
    <s v="Rio de Janeiro"/>
    <s v="Corporate"/>
    <s v="Retail"/>
    <s v="C. Otieno"/>
    <x v="5"/>
    <n v="0.25686326706595897"/>
    <x v="188"/>
    <n v="1334.64"/>
    <n v="2273.42"/>
    <s v="Profit"/>
    <n v="0.11799999999999999"/>
    <n v="14"/>
    <x v="188"/>
    <n v="18684.960000000003"/>
    <n v="9387.2301599999992"/>
    <n v="0.33439607335575267"/>
  </r>
  <r>
    <x v="188"/>
    <x v="173"/>
    <d v="2024-06-08T00:00:00"/>
    <d v="2024-06-08T00:00:00"/>
    <n v="20"/>
    <s v="Q2-2024"/>
    <s v="Americas"/>
    <x v="5"/>
    <s v="Brasília"/>
    <s v="Small Business"/>
    <s v="Retail"/>
    <s v="E. Garcia"/>
    <x v="5"/>
    <n v="7.860582556335334E-2"/>
    <x v="189"/>
    <n v="1075.9000000000001"/>
    <n v="1242.1500000000001"/>
    <s v="Profit"/>
    <n v="1.2E-2"/>
    <n v="7"/>
    <x v="189"/>
    <n v="7531.3000000000011"/>
    <n v="1059.4094000000005"/>
    <n v="0.12332036280961853"/>
  </r>
  <r>
    <x v="189"/>
    <x v="162"/>
    <d v="2024-02-19T00:00:00"/>
    <d v="2024-02-19T00:00:00"/>
    <n v="16"/>
    <s v="Q1-2024"/>
    <s v="Asia"/>
    <x v="9"/>
    <s v="Shenzhen"/>
    <s v="Small Business"/>
    <s v="Online"/>
    <s v="H. Kim"/>
    <x v="4"/>
    <n v="0.17882012297506117"/>
    <x v="190"/>
    <n v="993.75"/>
    <n v="1310.29"/>
    <s v="Profit"/>
    <n v="0.215"/>
    <n v="19"/>
    <x v="190"/>
    <n v="18881.25"/>
    <n v="661.72535000000062"/>
    <n v="3.3860010471742245E-2"/>
  </r>
  <r>
    <x v="190"/>
    <x v="174"/>
    <d v="2023-08-22T00:00:00"/>
    <d v="2023-08-22T00:00:00"/>
    <n v="14"/>
    <s v="Q3-2023"/>
    <s v="Europe"/>
    <x v="8"/>
    <s v="Birmingham"/>
    <s v="Non-Profit"/>
    <s v="Direct"/>
    <s v="N. Brown"/>
    <x v="5"/>
    <n v="8.0184909068388557E-2"/>
    <x v="191"/>
    <n v="446.69"/>
    <n v="967.25"/>
    <s v="Profit"/>
    <n v="9.4E-2"/>
    <n v="10"/>
    <x v="191"/>
    <n v="4466.8999999999996"/>
    <n v="4296.3850000000002"/>
    <n v="0.49027105702941309"/>
  </r>
  <r>
    <x v="191"/>
    <x v="175"/>
    <d v="2024-09-03T00:00:00"/>
    <d v="2024-09-03T00:00:00"/>
    <n v="22"/>
    <s v="Q3-2024"/>
    <s v="Americas"/>
    <x v="10"/>
    <s v="Austin"/>
    <s v="Consumer"/>
    <s v="Distributor"/>
    <s v="I. Johnson"/>
    <x v="4"/>
    <n v="0.22302991104723963"/>
    <x v="192"/>
    <n v="797.8"/>
    <n v="886.22"/>
    <s v="Profit"/>
    <n v="0.23599999999999999"/>
    <n v="36"/>
    <x v="192"/>
    <n v="28720.799999999999"/>
    <n v="-4346.2051199999987"/>
    <n v="-0.17830881462428633"/>
  </r>
  <r>
    <x v="192"/>
    <x v="176"/>
    <d v="2023-11-13T00:00:00"/>
    <d v="2023-11-13T00:00:00"/>
    <n v="29"/>
    <s v="Q4-2023"/>
    <s v="Asia"/>
    <x v="9"/>
    <s v="Shenzhen"/>
    <s v="Non-Profit"/>
    <s v="Distributor"/>
    <s v="J. Njeri"/>
    <x v="1"/>
    <n v="4.0279793440160243E-2"/>
    <x v="193"/>
    <n v="986.44"/>
    <n v="790.61"/>
    <s v="Loss"/>
    <n v="7.1999999999999995E-2"/>
    <n v="6"/>
    <x v="193"/>
    <n v="5918.64"/>
    <n v="-1516.5235200000006"/>
    <n v="-0.34449872621271499"/>
  </r>
  <r>
    <x v="193"/>
    <x v="177"/>
    <d v="2023-05-26T00:00:00"/>
    <d v="2023-05-26T00:00:00"/>
    <n v="22"/>
    <s v="Q2-2023"/>
    <s v="Americas"/>
    <x v="10"/>
    <s v="San Francisco"/>
    <s v="Enterprise"/>
    <s v="Online"/>
    <s v="J. Njeri"/>
    <x v="2"/>
    <n v="3.5945056430516417E-2"/>
    <x v="194"/>
    <n v="249.71"/>
    <n v="361.33"/>
    <s v="Profit"/>
    <n v="9.4E-2"/>
    <n v="12"/>
    <x v="194"/>
    <n v="2996.52"/>
    <n v="931.85976000000028"/>
    <n v="0.23721223937881206"/>
  </r>
  <r>
    <x v="194"/>
    <x v="178"/>
    <d v="2024-10-01T00:00:00"/>
    <d v="2024-10-01T00:00:00"/>
    <n v="9"/>
    <s v="Q3-2024"/>
    <s v="Americas"/>
    <x v="5"/>
    <s v="São Paulo"/>
    <s v="Non-Profit"/>
    <s v="Online"/>
    <s v="K. Singh"/>
    <x v="5"/>
    <n v="0.28540660165883686"/>
    <x v="195"/>
    <n v="1378.8"/>
    <n v="1952.04"/>
    <s v="Profit"/>
    <n v="0.159"/>
    <n v="19"/>
    <x v="195"/>
    <n v="26197.200000000001"/>
    <n v="4994.4471599999997"/>
    <n v="0.16012130216723058"/>
  </r>
  <r>
    <x v="195"/>
    <x v="1"/>
    <d v="2024-11-14T00:00:00"/>
    <d v="2024-11-14T00:00:00"/>
    <n v="22"/>
    <s v="Q4-2024"/>
    <s v="Asia"/>
    <x v="2"/>
    <s v="Osaka"/>
    <s v="Non-Profit"/>
    <s v="Direct"/>
    <s v="B. Chen"/>
    <x v="3"/>
    <n v="0.198371816771726"/>
    <x v="196"/>
    <n v="1406.4"/>
    <n v="1564.76"/>
    <s v="Profit"/>
    <n v="0.185"/>
    <n v="17"/>
    <x v="196"/>
    <n v="23908.800000000003"/>
    <n v="-2229.0502000000051"/>
    <n v="-0.10281715520536151"/>
  </r>
  <r>
    <x v="196"/>
    <x v="179"/>
    <d v="2024-03-03T00:00:00"/>
    <d v="2024-03-03T00:00:00"/>
    <n v="21"/>
    <s v="Q1-2024"/>
    <s v="Africa"/>
    <x v="0"/>
    <s v="Kisumu"/>
    <s v="Enterprise"/>
    <s v="Online"/>
    <s v="B. Chen"/>
    <x v="3"/>
    <n v="0.1036417452842171"/>
    <x v="197"/>
    <n v="516.86"/>
    <n v="852.54"/>
    <s v="Profit"/>
    <n v="5.0999999999999997E-2"/>
    <n v="14"/>
    <x v="197"/>
    <n v="7236.04"/>
    <n v="4090.8064399999994"/>
    <n v="0.36116022775355994"/>
  </r>
  <r>
    <x v="197"/>
    <x v="180"/>
    <d v="2023-02-21T00:00:00"/>
    <d v="2023-02-21T00:00:00"/>
    <n v="22"/>
    <s v="Q1-2023"/>
    <s v="Europe"/>
    <x v="6"/>
    <s v="Munich"/>
    <s v="Small Business"/>
    <s v="Marketplace"/>
    <s v="G. Dubois"/>
    <x v="2"/>
    <n v="7.6396196236850802E-2"/>
    <x v="198"/>
    <n v="1142.8800000000001"/>
    <n v="1465.29"/>
    <s v="Profit"/>
    <n v="0.186"/>
    <n v="7"/>
    <x v="198"/>
    <n v="8000.1600000000008"/>
    <n v="349.06241999999929"/>
    <n v="4.1807775915017401E-2"/>
  </r>
  <r>
    <x v="198"/>
    <x v="27"/>
    <d v="2023-05-13T00:00:00"/>
    <d v="2023-05-13T00:00:00"/>
    <n v="29"/>
    <s v="Q2-2023"/>
    <s v="Europe"/>
    <x v="6"/>
    <s v="Frankfurt"/>
    <s v="Consumer"/>
    <s v="Direct"/>
    <s v="J. Njeri"/>
    <x v="1"/>
    <n v="0.51131185487991249"/>
    <x v="199"/>
    <n v="1320.33"/>
    <n v="2645.23"/>
    <s v="Profit"/>
    <n v="0.155"/>
    <n v="25"/>
    <x v="199"/>
    <n v="33008.25"/>
    <n v="22872.233749999999"/>
    <n v="0.40930629470436536"/>
  </r>
  <r>
    <x v="199"/>
    <x v="181"/>
    <d v="2023-01-19T00:00:00"/>
    <d v="2023-01-19T00:00:00"/>
    <n v="6"/>
    <s v="Q1-2023"/>
    <s v="Americas"/>
    <x v="10"/>
    <s v="Chicago"/>
    <s v="Corporate"/>
    <s v="Direct"/>
    <s v="H. Kim"/>
    <x v="3"/>
    <n v="0.13691994166783975"/>
    <x v="200"/>
    <n v="833.57"/>
    <n v="881.57"/>
    <s v="Profit"/>
    <n v="5.7000000000000002E-2"/>
    <n v="18"/>
    <x v="200"/>
    <n v="15004.26"/>
    <n v="-40.490820000000895"/>
    <n v="-2.7059238560107821E-3"/>
  </r>
  <r>
    <x v="200"/>
    <x v="182"/>
    <d v="2024-01-29T00:00:00"/>
    <d v="2024-01-29T00:00:00"/>
    <n v="17"/>
    <s v="Q1-2024"/>
    <s v="Americas"/>
    <x v="10"/>
    <s v="Chicago"/>
    <s v="Education"/>
    <s v="Distributor"/>
    <s v="A. Patel"/>
    <x v="1"/>
    <n v="4.2436291263568793E-2"/>
    <x v="201"/>
    <n v="493.76"/>
    <n v="625.04"/>
    <s v="Profit"/>
    <n v="0.25800000000000001"/>
    <n v="10"/>
    <x v="201"/>
    <n v="4937.6000000000004"/>
    <n v="-299.80320000000029"/>
    <n v="-6.464345311549663E-2"/>
  </r>
  <r>
    <x v="201"/>
    <x v="183"/>
    <d v="2023-09-07T00:00:00"/>
    <d v="2023-09-07T00:00:00"/>
    <n v="23"/>
    <s v="Q3-2023"/>
    <s v="Americas"/>
    <x v="10"/>
    <s v="New York"/>
    <s v="Enterprise"/>
    <s v="Online"/>
    <s v="K. Singh"/>
    <x v="3"/>
    <n v="0.23148867370141732"/>
    <x v="202"/>
    <n v="590.33000000000004"/>
    <n v="973.04"/>
    <s v="Profit"/>
    <n v="0"/>
    <n v="26"/>
    <x v="202"/>
    <n v="15348.580000000002"/>
    <n v="9950.4599999999991"/>
    <n v="0.39331373838691108"/>
  </r>
  <r>
    <x v="202"/>
    <x v="184"/>
    <d v="2023-02-03T00:00:00"/>
    <d v="2023-02-03T00:00:00"/>
    <n v="14"/>
    <s v="Q1-2023"/>
    <s v="Africa"/>
    <x v="0"/>
    <s v="Kisumu"/>
    <s v="Corporate"/>
    <s v="Retail"/>
    <s v="M. Rossi"/>
    <x v="2"/>
    <n v="0.43886352524482553"/>
    <x v="203"/>
    <n v="884.36"/>
    <n v="1545.34"/>
    <s v="Profit"/>
    <n v="0.24299999999999999"/>
    <n v="41"/>
    <x v="203"/>
    <n v="36258.76"/>
    <n v="11703.957579999995"/>
    <n v="0.24402198562827965"/>
  </r>
  <r>
    <x v="203"/>
    <x v="185"/>
    <d v="2025-02-25T00:00:00"/>
    <d v="2025-02-25T00:00:00"/>
    <n v="21"/>
    <s v="Q1-2025"/>
    <s v="Europe"/>
    <x v="8"/>
    <s v="Birmingham"/>
    <s v="Corporate"/>
    <s v="Marketplace"/>
    <s v="D. Smith"/>
    <x v="5"/>
    <n v="0.2338195950686702"/>
    <x v="204"/>
    <n v="1016.32"/>
    <n v="2253.42"/>
    <s v="Profit"/>
    <n v="5.5E-2"/>
    <n v="12"/>
    <x v="204"/>
    <n v="12195.84"/>
    <n v="13357.942800000001"/>
    <n v="0.52273837124419797"/>
  </r>
  <r>
    <x v="204"/>
    <x v="43"/>
    <d v="2023-04-28T00:00:00"/>
    <d v="2023-04-28T00:00:00"/>
    <n v="9"/>
    <s v="Q2-2023"/>
    <s v="Europe"/>
    <x v="6"/>
    <s v="Berlin"/>
    <s v="Education"/>
    <s v="Online"/>
    <s v="E. Garcia"/>
    <x v="5"/>
    <n v="0.23910766093574953"/>
    <x v="205"/>
    <n v="1178.42"/>
    <n v="2446.56"/>
    <s v="Profit"/>
    <n v="2.9000000000000001E-2"/>
    <n v="11"/>
    <x v="205"/>
    <n v="12962.62"/>
    <n v="13169.08736"/>
    <n v="0.5039505141618883"/>
  </r>
  <r>
    <x v="205"/>
    <x v="186"/>
    <d v="2023-08-01T00:00:00"/>
    <d v="2023-08-01T00:00:00"/>
    <n v="30"/>
    <s v="Q3-2023"/>
    <s v="Europe"/>
    <x v="8"/>
    <s v="Birmingham"/>
    <s v="Small Business"/>
    <s v="Retail"/>
    <s v="B. Chen"/>
    <x v="0"/>
    <n v="6.1327155436744996E-2"/>
    <x v="206"/>
    <n v="137.46"/>
    <n v="188.3"/>
    <s v="Profit"/>
    <n v="3.7999999999999999E-2"/>
    <n v="37"/>
    <x v="206"/>
    <n v="5086.0200000000004"/>
    <n v="1616.3301999999994"/>
    <n v="0.24115872071262398"/>
  </r>
  <r>
    <x v="206"/>
    <x v="51"/>
    <d v="2025-02-14T00:00:00"/>
    <d v="2025-02-14T00:00:00"/>
    <n v="24"/>
    <s v="Q1-2025"/>
    <s v="Africa"/>
    <x v="0"/>
    <s v="Nairobi"/>
    <s v="Small Business"/>
    <s v="Retail"/>
    <s v="J. Njeri"/>
    <x v="6"/>
    <n v="0.25973480252487929"/>
    <x v="207"/>
    <n v="1030.44"/>
    <n v="2562.84"/>
    <s v="Profit"/>
    <n v="0.14799999999999999"/>
    <n v="13"/>
    <x v="207"/>
    <n v="13395.720000000001"/>
    <n v="14990.295839999995"/>
    <n v="0.52808734852027039"/>
  </r>
  <r>
    <x v="207"/>
    <x v="187"/>
    <d v="2024-10-07T00:00:00"/>
    <d v="2024-10-07T00:00:00"/>
    <n v="27"/>
    <s v="Q3-2024"/>
    <s v="Africa"/>
    <x v="0"/>
    <s v="Kisumu"/>
    <s v="Consumer"/>
    <s v="Retail"/>
    <s v="L. Okafor"/>
    <x v="1"/>
    <n v="0.14480394161029606"/>
    <x v="208"/>
    <n v="1248.3900000000001"/>
    <n v="1805.11"/>
    <s v="Profit"/>
    <n v="0.20300000000000001"/>
    <n v="11"/>
    <x v="208"/>
    <n v="13732.29"/>
    <n v="2093.1093699999965"/>
    <n v="0.13226265707820786"/>
  </r>
  <r>
    <x v="208"/>
    <x v="188"/>
    <d v="2025-08-07T00:00:00"/>
    <d v="2025-08-07T00:00:00"/>
    <n v="17"/>
    <s v="Q3-2025"/>
    <s v="Africa"/>
    <x v="1"/>
    <s v="Lagos"/>
    <s v="Enterprise"/>
    <s v="Direct"/>
    <s v="M. Rossi"/>
    <x v="6"/>
    <n v="0.16331008473341185"/>
    <x v="209"/>
    <n v="1204.95"/>
    <n v="2065.73"/>
    <s v="Profit"/>
    <n v="0.13600000000000001"/>
    <n v="10"/>
    <x v="209"/>
    <n v="12049.5"/>
    <n v="5798.4071999999978"/>
    <n v="0.32487882949100039"/>
  </r>
  <r>
    <x v="209"/>
    <x v="189"/>
    <d v="2024-10-23T00:00:00"/>
    <d v="2024-10-23T00:00:00"/>
    <n v="21"/>
    <s v="Q4-2024"/>
    <s v="Africa"/>
    <x v="11"/>
    <s v="Durban"/>
    <s v="Corporate"/>
    <s v="Marketplace"/>
    <s v="A. Patel"/>
    <x v="0"/>
    <n v="0.16526177410238133"/>
    <x v="210"/>
    <n v="1095.6099999999999"/>
    <n v="2366.5100000000002"/>
    <s v="Profit"/>
    <n v="0.152"/>
    <n v="9"/>
    <x v="210"/>
    <n v="9860.49"/>
    <n v="8200.7143200000046"/>
    <n v="0.4540513564158607"/>
  </r>
  <r>
    <x v="210"/>
    <x v="190"/>
    <d v="2025-08-04T00:00:00"/>
    <d v="2025-08-04T00:00:00"/>
    <n v="21"/>
    <s v="Q3-2025"/>
    <s v="Americas"/>
    <x v="3"/>
    <s v="Montreal"/>
    <s v="Consumer"/>
    <s v="Online"/>
    <s v="H. Kim"/>
    <x v="5"/>
    <n v="1.623965829548181E-2"/>
    <x v="211"/>
    <n v="90.3"/>
    <n v="131.76"/>
    <s v="Profit"/>
    <n v="0.10199999999999999"/>
    <n v="15"/>
    <x v="211"/>
    <n v="1354.5"/>
    <n v="420.30719999999997"/>
    <n v="0.23681851189244668"/>
  </r>
  <r>
    <x v="211"/>
    <x v="191"/>
    <d v="2024-10-01T00:00:00"/>
    <d v="2024-10-01T00:00:00"/>
    <n v="22"/>
    <s v="Q3-2024"/>
    <s v="Asia"/>
    <x v="9"/>
    <s v="Shenzhen"/>
    <s v="Consumer"/>
    <s v="Direct"/>
    <s v="L. Okafor"/>
    <x v="1"/>
    <n v="6.3911824004016737E-2"/>
    <x v="212"/>
    <n v="1166.18"/>
    <n v="1335.02"/>
    <s v="Profit"/>
    <n v="0.128"/>
    <n v="6"/>
    <x v="212"/>
    <n v="6997.08"/>
    <n v="-12.25536000000011"/>
    <n v="-1.7545694604582242E-3"/>
  </r>
  <r>
    <x v="212"/>
    <x v="192"/>
    <d v="2025-02-06T00:00:00"/>
    <d v="2025-02-06T00:00:00"/>
    <n v="8"/>
    <s v="Q1-2025"/>
    <s v="Africa"/>
    <x v="0"/>
    <s v="Kisumu"/>
    <s v="Education"/>
    <s v="Retail"/>
    <s v="B. Chen"/>
    <x v="3"/>
    <n v="0.22164326067325543"/>
    <x v="213"/>
    <n v="1445.27"/>
    <n v="2691.45"/>
    <s v="Profit"/>
    <n v="0"/>
    <n v="9"/>
    <x v="213"/>
    <n v="13007.43"/>
    <n v="11215.619999999999"/>
    <n v="0.46301436028906351"/>
  </r>
  <r>
    <x v="213"/>
    <x v="193"/>
    <d v="2023-11-28T00:00:00"/>
    <d v="2023-11-28T00:00:00"/>
    <n v="18"/>
    <s v="Q4-2023"/>
    <s v="Americas"/>
    <x v="5"/>
    <s v="Brasília"/>
    <s v="Education"/>
    <s v="Marketplace"/>
    <s v="L. Okafor"/>
    <x v="6"/>
    <n v="7.1870987693982077E-2"/>
    <x v="214"/>
    <n v="388.51"/>
    <n v="776.46"/>
    <s v="Profit"/>
    <n v="0.157"/>
    <n v="12"/>
    <x v="214"/>
    <n v="4662.12"/>
    <n v="3192.54936"/>
    <n v="0.40645241876864946"/>
  </r>
  <r>
    <x v="214"/>
    <x v="194"/>
    <d v="2024-03-30T00:00:00"/>
    <d v="2024-03-30T00:00:00"/>
    <n v="30"/>
    <s v="Q1-2024"/>
    <s v="Asia"/>
    <x v="2"/>
    <s v="Nagoya"/>
    <s v="Small Business"/>
    <s v="Direct"/>
    <s v="I. Johnson"/>
    <x v="2"/>
    <n v="0.13956707044524783"/>
    <x v="215"/>
    <n v="231.11"/>
    <n v="318.17"/>
    <s v="Profit"/>
    <n v="0.20100000000000001"/>
    <n v="60"/>
    <x v="215"/>
    <n v="13866.6"/>
    <n v="1386.4697999999989"/>
    <n v="9.0897754889969692E-2"/>
  </r>
  <r>
    <x v="215"/>
    <x v="195"/>
    <d v="2024-01-14T00:00:00"/>
    <d v="2024-01-14T00:00:00"/>
    <n v="25"/>
    <s v="Q4-2023"/>
    <s v="Asia"/>
    <x v="4"/>
    <s v="Mumbai"/>
    <s v="Non-Profit"/>
    <s v="Marketplace"/>
    <s v="L. Okafor"/>
    <x v="5"/>
    <n v="7.0812232972746469E-2"/>
    <x v="216"/>
    <n v="1085.6099999999999"/>
    <n v="1246.4100000000001"/>
    <s v="Profit"/>
    <n v="0.113"/>
    <n v="7"/>
    <x v="216"/>
    <n v="7599.2699999999995"/>
    <n v="139.68969000000106"/>
    <n v="1.8050189637310417E-2"/>
  </r>
  <r>
    <x v="216"/>
    <x v="119"/>
    <d v="2023-01-21T00:00:00"/>
    <d v="2023-01-29T00:00:00"/>
    <n v="7"/>
    <s v="Q1-2023"/>
    <s v="Europe"/>
    <x v="6"/>
    <s v="Munich"/>
    <s v="Corporate"/>
    <s v="Direct"/>
    <s v="F. Müller"/>
    <x v="5"/>
    <n v="2.0419784283629665E-2"/>
    <x v="217"/>
    <n v="150.86000000000001"/>
    <n v="346.96"/>
    <s v="Profit"/>
    <n v="0.19600000000000001"/>
    <n v="8"/>
    <x v="217"/>
    <n v="1206.8800000000001"/>
    <n v="1024.7667200000001"/>
    <n v="0.45919755614365343"/>
  </r>
  <r>
    <x v="217"/>
    <x v="196"/>
    <d v="2024-11-09T00:00:00"/>
    <d v="2024-11-09T00:00:00"/>
    <n v="29"/>
    <s v="Q4-2024"/>
    <s v="Asia"/>
    <x v="9"/>
    <s v="Shanghai"/>
    <s v="Non-Profit"/>
    <s v="Online"/>
    <s v="F. Müller"/>
    <x v="1"/>
    <n v="5.9801672102779577E-2"/>
    <x v="218"/>
    <n v="391.64"/>
    <n v="504.76"/>
    <s v="Profit"/>
    <n v="4.0000000000000001E-3"/>
    <n v="13"/>
    <x v="218"/>
    <n v="5091.32"/>
    <n v="1444.3124800000005"/>
    <n v="0.22099046793402319"/>
  </r>
  <r>
    <x v="218"/>
    <x v="197"/>
    <d v="2024-10-14T00:00:00"/>
    <d v="2024-10-14T00:00:00"/>
    <n v="25"/>
    <s v="Q3-2024"/>
    <s v="Americas"/>
    <x v="5"/>
    <s v="Rio de Janeiro"/>
    <s v="Small Business"/>
    <s v="Retail"/>
    <s v="K. Singh"/>
    <x v="1"/>
    <n v="0.25814182002227926"/>
    <x v="219"/>
    <n v="386.96"/>
    <n v="937.46"/>
    <s v="Profit"/>
    <n v="0.26600000000000001"/>
    <n v="41"/>
    <x v="219"/>
    <n v="15865.359999999999"/>
    <n v="12346.561240000001"/>
    <n v="0.43763631462626335"/>
  </r>
  <r>
    <x v="219"/>
    <x v="198"/>
    <d v="2025-09-24T00:00:00"/>
    <d v="2025-09-24T00:00:00"/>
    <n v="30"/>
    <s v="Q3-2025"/>
    <s v="Africa"/>
    <x v="0"/>
    <s v="Nairobi"/>
    <s v="Consumer"/>
    <s v="Direct"/>
    <s v="B. Chen"/>
    <x v="0"/>
    <n v="0.12370500463364284"/>
    <x v="220"/>
    <n v="589.14"/>
    <n v="1300.58"/>
    <s v="Profit"/>
    <n v="5.5E-2"/>
    <n v="11"/>
    <x v="220"/>
    <n v="6480.54"/>
    <n v="7038.989099999998"/>
    <n v="0.52065342275863724"/>
  </r>
  <r>
    <x v="220"/>
    <x v="199"/>
    <d v="2023-10-02T00:00:00"/>
    <d v="2023-10-02T00:00:00"/>
    <n v="7"/>
    <s v="Q3-2023"/>
    <s v="Americas"/>
    <x v="10"/>
    <s v="New York"/>
    <s v="Education"/>
    <s v="Marketplace"/>
    <s v="I. Johnson"/>
    <x v="6"/>
    <n v="8.3086267621938961E-3"/>
    <x v="221"/>
    <n v="145.58000000000001"/>
    <n v="228.15"/>
    <s v="Profit"/>
    <n v="0.20399999999999999"/>
    <n v="5"/>
    <x v="221"/>
    <n v="727.90000000000009"/>
    <n v="180.13699999999994"/>
    <n v="0.19838068272548359"/>
  </r>
  <r>
    <x v="221"/>
    <x v="200"/>
    <d v="2023-09-10T00:00:00"/>
    <d v="2023-09-10T00:00:00"/>
    <n v="15"/>
    <s v="Q3-2023"/>
    <s v="Africa"/>
    <x v="11"/>
    <s v="Cape Town"/>
    <s v="Non-Profit"/>
    <s v="Direct"/>
    <s v="N. Brown"/>
    <x v="0"/>
    <n v="4.1206880550988707E-2"/>
    <x v="222"/>
    <n v="241.14"/>
    <n v="496.52"/>
    <s v="Profit"/>
    <n v="9.2999999999999999E-2"/>
    <n v="10"/>
    <x v="222"/>
    <n v="2411.3999999999996"/>
    <n v="2092.0364"/>
    <n v="0.46454223268257994"/>
  </r>
  <r>
    <x v="222"/>
    <x v="201"/>
    <d v="2025-07-17T00:00:00"/>
    <d v="2025-07-17T00:00:00"/>
    <n v="1"/>
    <s v="Q3-2025"/>
    <s v="Africa"/>
    <x v="11"/>
    <s v="Durban"/>
    <s v="Small Business"/>
    <s v="Distributor"/>
    <s v="B. Chen"/>
    <x v="2"/>
    <n v="0.61295376417349035"/>
    <x v="223"/>
    <n v="1198.9000000000001"/>
    <n v="2941.2"/>
    <s v="Profit"/>
    <n v="5.0999999999999997E-2"/>
    <n v="24"/>
    <x v="223"/>
    <n v="28773.600000000002"/>
    <n v="38215.171199999982"/>
    <n v="0.57047129713583977"/>
  </r>
  <r>
    <x v="223"/>
    <x v="43"/>
    <d v="2023-05-07T00:00:00"/>
    <d v="2023-05-07T00:00:00"/>
    <n v="18"/>
    <s v="Q2-2023"/>
    <s v="Europe"/>
    <x v="8"/>
    <s v="Birmingham"/>
    <s v="Enterprise"/>
    <s v="Retail"/>
    <s v="N. Brown"/>
    <x v="4"/>
    <n v="0.14173982689327319"/>
    <x v="224"/>
    <n v="1089.1500000000001"/>
    <n v="1088.2"/>
    <s v="Loss"/>
    <n v="5.0999999999999997E-2"/>
    <n v="15"/>
    <x v="224"/>
    <n v="16337.250000000002"/>
    <n v="-846.72300000000178"/>
    <n v="-5.4660696824582002E-2"/>
  </r>
  <r>
    <x v="224"/>
    <x v="202"/>
    <d v="2023-12-20T00:00:00"/>
    <d v="2023-12-20T00:00:00"/>
    <n v="1"/>
    <s v="Q4-2023"/>
    <s v="Americas"/>
    <x v="5"/>
    <s v="Rio de Janeiro"/>
    <s v="Consumer"/>
    <s v="Distributor"/>
    <s v="J. Njeri"/>
    <x v="3"/>
    <n v="0.1974009887195026"/>
    <x v="225"/>
    <n v="1080.43"/>
    <n v="2529.15"/>
    <s v="Profit"/>
    <n v="0.14699999999999999"/>
    <n v="10"/>
    <x v="225"/>
    <n v="10804.300000000001"/>
    <n v="10769.349499999998"/>
    <n v="0.49918997247081437"/>
  </r>
  <r>
    <x v="225"/>
    <x v="203"/>
    <d v="2023-08-07T00:00:00"/>
    <d v="2023-08-07T00:00:00"/>
    <n v="8"/>
    <s v="Q3-2023"/>
    <s v="Asia"/>
    <x v="2"/>
    <s v="Nagoya"/>
    <s v="Education"/>
    <s v="Marketplace"/>
    <s v="A. Patel"/>
    <x v="2"/>
    <n v="0.27888964453019244"/>
    <x v="226"/>
    <n v="1352.44"/>
    <n v="2698.01"/>
    <s v="Profit"/>
    <n v="0.13100000000000001"/>
    <n v="13"/>
    <x v="226"/>
    <n v="17581.72"/>
    <n v="12897.698970000001"/>
    <n v="0.42316091992090887"/>
  </r>
  <r>
    <x v="226"/>
    <x v="204"/>
    <d v="2023-10-29T00:00:00"/>
    <d v="2023-10-29T00:00:00"/>
    <n v="25"/>
    <s v="Q4-2023"/>
    <s v="Americas"/>
    <x v="10"/>
    <s v="San Francisco"/>
    <s v="Small Business"/>
    <s v="Distributor"/>
    <s v="O. Wang"/>
    <x v="6"/>
    <n v="5.0633188019531893E-2"/>
    <x v="227"/>
    <n v="1239.8399999999999"/>
    <n v="1482.75"/>
    <s v="Profit"/>
    <n v="6.7000000000000004E-2"/>
    <n v="4"/>
    <x v="227"/>
    <n v="4959.3599999999997"/>
    <n v="574.26300000000083"/>
    <n v="0.10377703721413634"/>
  </r>
  <r>
    <x v="227"/>
    <x v="205"/>
    <d v="2025-08-30T00:00:00"/>
    <d v="2025-08-30T00:00:00"/>
    <n v="20"/>
    <s v="Q3-2025"/>
    <s v="Americas"/>
    <x v="10"/>
    <s v="San Francisco"/>
    <s v="Corporate"/>
    <s v="Marketplace"/>
    <s v="K. Singh"/>
    <x v="1"/>
    <n v="0.15197479441881187"/>
    <x v="228"/>
    <n v="933.29"/>
    <n v="1456.81"/>
    <s v="Profit"/>
    <n v="0.123"/>
    <n v="13"/>
    <x v="228"/>
    <n v="12132.77"/>
    <n v="4476.3208099999974"/>
    <n v="0.26951028573489977"/>
  </r>
  <r>
    <x v="228"/>
    <x v="206"/>
    <d v="2023-04-01T00:00:00"/>
    <d v="2023-04-01T00:00:00"/>
    <n v="25"/>
    <s v="Q1-2023"/>
    <s v="Africa"/>
    <x v="0"/>
    <s v="Nairobi"/>
    <s v="Consumer"/>
    <s v="Marketplace"/>
    <s v="D. Smith"/>
    <x v="1"/>
    <n v="6.8136389634977618E-2"/>
    <x v="229"/>
    <n v="1024.0999999999999"/>
    <n v="918.19"/>
    <s v="Loss"/>
    <n v="0.189"/>
    <n v="10"/>
    <x v="229"/>
    <n v="10241"/>
    <n v="-2794.4790999999996"/>
    <n v="-0.37527311579827827"/>
  </r>
  <r>
    <x v="229"/>
    <x v="207"/>
    <d v="2023-06-10T00:00:00"/>
    <d v="2023-06-10T00:00:00"/>
    <n v="18"/>
    <s v="Q2-2023"/>
    <s v="Asia"/>
    <x v="9"/>
    <s v="Shanghai"/>
    <s v="Corporate"/>
    <s v="Distributor"/>
    <s v="E. Garcia"/>
    <x v="0"/>
    <n v="6.104488042984811E-3"/>
    <x v="230"/>
    <n v="54.62"/>
    <n v="48.94"/>
    <s v="Loss"/>
    <n v="0.14799999999999999"/>
    <n v="16"/>
    <x v="230"/>
    <n v="873.92"/>
    <n v="-206.76991999999996"/>
    <n v="-0.3099301434543783"/>
  </r>
  <r>
    <x v="230"/>
    <x v="208"/>
    <d v="2025-05-06T00:00:00"/>
    <d v="2025-05-06T00:00:00"/>
    <n v="12"/>
    <s v="Q2-2025"/>
    <s v="Americas"/>
    <x v="5"/>
    <s v="Brasília"/>
    <s v="Consumer"/>
    <s v="Online"/>
    <s v="C. Otieno"/>
    <x v="3"/>
    <n v="5.3205003353841623E-2"/>
    <x v="231"/>
    <n v="394.13"/>
    <n v="932.29"/>
    <s v="Profit"/>
    <n v="0.109"/>
    <n v="7"/>
    <x v="231"/>
    <n v="2758.91"/>
    <n v="3055.7827299999999"/>
    <n v="0.5255278089303268"/>
  </r>
  <r>
    <x v="231"/>
    <x v="209"/>
    <d v="2024-09-08T00:00:00"/>
    <d v="2024-09-08T00:00:00"/>
    <n v="5"/>
    <s v="Q3-2024"/>
    <s v="Africa"/>
    <x v="1"/>
    <s v="Lagos"/>
    <s v="Small Business"/>
    <s v="Direct"/>
    <s v="K. Singh"/>
    <x v="1"/>
    <n v="2.6352129718986692E-2"/>
    <x v="232"/>
    <n v="197.63"/>
    <n v="325.79000000000002"/>
    <s v="Profit"/>
    <n v="0.11600000000000001"/>
    <n v="10"/>
    <x v="232"/>
    <n v="1976.3"/>
    <n v="903.68360000000007"/>
    <n v="0.31378081458519419"/>
  </r>
  <r>
    <x v="232"/>
    <x v="210"/>
    <d v="2024-09-25T00:00:00"/>
    <d v="2024-09-25T00:00:00"/>
    <n v="20"/>
    <s v="Q3-2024"/>
    <s v="Asia"/>
    <x v="2"/>
    <s v="Osaka"/>
    <s v="Enterprise"/>
    <s v="Distributor"/>
    <s v="D. Smith"/>
    <x v="5"/>
    <n v="4.8320361518391114E-2"/>
    <x v="233"/>
    <n v="195.54"/>
    <n v="405.97"/>
    <s v="Profit"/>
    <n v="0.187"/>
    <n v="16"/>
    <x v="233"/>
    <n v="3128.64"/>
    <n v="2152.21776"/>
    <n v="0.40755079152141377"/>
  </r>
  <r>
    <x v="233"/>
    <x v="211"/>
    <d v="2023-03-30T00:00:00"/>
    <d v="2023-03-30T00:00:00"/>
    <n v="16"/>
    <s v="Q1-2023"/>
    <s v="Africa"/>
    <x v="11"/>
    <s v="Cape Town"/>
    <s v="Consumer"/>
    <s v="Distributor"/>
    <s v="K. Singh"/>
    <x v="0"/>
    <n v="0.13057050094920702"/>
    <x v="234"/>
    <n v="1309.77"/>
    <n v="1589.07"/>
    <s v="Profit"/>
    <n v="0.10199999999999999"/>
    <n v="10"/>
    <x v="234"/>
    <n v="13097.7"/>
    <n v="1172.1485999999986"/>
    <n v="8.2141628328137886E-2"/>
  </r>
  <r>
    <x v="234"/>
    <x v="39"/>
    <d v="2024-02-02T00:00:00"/>
    <d v="2024-02-02T00:00:00"/>
    <n v="22"/>
    <s v="Q1-2024"/>
    <s v="Asia"/>
    <x v="2"/>
    <s v="Nagoya"/>
    <s v="Small Business"/>
    <s v="Online"/>
    <s v="not provided"/>
    <x v="1"/>
    <n v="0.15884390035619916"/>
    <x v="235"/>
    <n v="1237.68"/>
    <n v="1432.8"/>
    <s v="Profit"/>
    <n v="6.8000000000000005E-2"/>
    <n v="13"/>
    <x v="235"/>
    <n v="16089.84"/>
    <n v="1269.9647999999979"/>
    <n v="7.315547695559331E-2"/>
  </r>
  <r>
    <x v="235"/>
    <x v="212"/>
    <d v="2024-10-02T00:00:00"/>
    <d v="2024-10-02T00:00:00"/>
    <n v="19"/>
    <s v="Q3-2024"/>
    <s v="Africa"/>
    <x v="0"/>
    <s v="Mombasa"/>
    <s v="Small Business"/>
    <s v="Retail"/>
    <s v="M. Rossi"/>
    <x v="3"/>
    <n v="0.33890662125534832"/>
    <x v="236"/>
    <n v="1338.99"/>
    <n v="1765.76"/>
    <s v="Profit"/>
    <n v="0.126"/>
    <n v="24"/>
    <x v="236"/>
    <n v="32135.760000000002"/>
    <n v="4902.8217599999989"/>
    <n v="0.1323706666677725"/>
  </r>
  <r>
    <x v="236"/>
    <x v="213"/>
    <d v="2025-07-23T00:00:00"/>
    <d v="2025-07-23T00:00:00"/>
    <n v="6"/>
    <s v="Q3-2025"/>
    <s v="Americas"/>
    <x v="3"/>
    <s v="Vancouver"/>
    <s v="Consumer"/>
    <s v="Online"/>
    <s v="H. Kim"/>
    <x v="0"/>
    <n v="1.274405677716935"/>
    <x v="237"/>
    <n v="1364.89"/>
    <n v="2757.54"/>
    <s v="Profit"/>
    <n v="0.17199999999999999"/>
    <n v="61"/>
    <x v="237"/>
    <n v="83258.290000000008"/>
    <n v="56019.54032"/>
    <n v="0.4022143379983118"/>
  </r>
  <r>
    <x v="237"/>
    <x v="214"/>
    <d v="2023-12-07T00:00:00"/>
    <d v="2023-12-07T00:00:00"/>
    <n v="9"/>
    <s v="Q4-2023"/>
    <s v="Asia"/>
    <x v="4"/>
    <s v="Delhi"/>
    <s v="Enterprise"/>
    <s v="Marketplace"/>
    <s v="L. Okafor"/>
    <x v="3"/>
    <n v="6.1160964967310702E-2"/>
    <x v="238"/>
    <n v="699.33"/>
    <n v="873.75"/>
    <s v="Profit"/>
    <n v="0.23499999999999999"/>
    <n v="10"/>
    <x v="238"/>
    <n v="6993.3"/>
    <n v="-309.11250000000018"/>
    <n v="-4.6245336475076469E-2"/>
  </r>
  <r>
    <x v="238"/>
    <x v="215"/>
    <d v="2024-04-24T00:00:00"/>
    <d v="2024-04-24T00:00:00"/>
    <n v="25"/>
    <s v="Q1-2024"/>
    <s v="Americas"/>
    <x v="10"/>
    <s v="Austin"/>
    <s v="Non-Profit"/>
    <s v="Online"/>
    <s v="G. Dubois"/>
    <x v="4"/>
    <n v="3.4985495258912785E-2"/>
    <x v="239"/>
    <n v="160.82"/>
    <n v="258.52"/>
    <s v="Profit"/>
    <n v="0.13"/>
    <n v="17"/>
    <x v="239"/>
    <n v="2733.94"/>
    <n v="1089.5708"/>
    <n v="0.28496605789631874"/>
  </r>
  <r>
    <x v="239"/>
    <x v="216"/>
    <d v="2023-10-08T00:00:00"/>
    <d v="2023-10-08T00:00:00"/>
    <n v="19"/>
    <s v="Q3-2023"/>
    <s v="Asia"/>
    <x v="4"/>
    <s v="Bengaluru"/>
    <s v="Education"/>
    <s v="Direct"/>
    <s v="J. Njeri"/>
    <x v="1"/>
    <n v="4.0595587448926371E-2"/>
    <x v="240"/>
    <n v="385.32"/>
    <n v="606.76"/>
    <s v="Profit"/>
    <n v="8.5999999999999993E-2"/>
    <n v="8"/>
    <x v="240"/>
    <n v="3082.56"/>
    <n v="1354.0691200000006"/>
    <n v="0.30520223425842735"/>
  </r>
  <r>
    <x v="240"/>
    <x v="217"/>
    <d v="2025-05-27T00:00:00"/>
    <d v="2025-05-27T00:00:00"/>
    <n v="11"/>
    <s v="Q2-2025"/>
    <s v="Asia"/>
    <x v="9"/>
    <s v="Beijing"/>
    <s v="Enterprise"/>
    <s v="Online"/>
    <s v="F. Müller"/>
    <x v="3"/>
    <n v="8.861755258726095E-2"/>
    <x v="241"/>
    <n v="918.12"/>
    <n v="1337.69"/>
    <s v="Profit"/>
    <n v="9.5000000000000001E-2"/>
    <n v="8"/>
    <x v="241"/>
    <n v="7344.96"/>
    <n v="2339.9156000000012"/>
    <n v="0.24160512707050164"/>
  </r>
  <r>
    <x v="241"/>
    <x v="218"/>
    <d v="2025-08-08T00:00:00"/>
    <d v="2025-08-08T00:00:00"/>
    <n v="6"/>
    <s v="Q3-2025"/>
    <s v="Asia"/>
    <x v="2"/>
    <s v="Osaka"/>
    <s v="Consumer"/>
    <s v="Direct"/>
    <s v="N. Brown"/>
    <x v="4"/>
    <n v="0.31186152247115034"/>
    <x v="242"/>
    <n v="1225.94"/>
    <n v="1793.08"/>
    <s v="Profit"/>
    <n v="0.13600000000000001"/>
    <n v="22"/>
    <x v="242"/>
    <n v="26970.68"/>
    <n v="7112.1846399999922"/>
    <n v="0.20867332353434462"/>
  </r>
  <r>
    <x v="242"/>
    <x v="219"/>
    <d v="2024-12-12T00:00:00"/>
    <d v="2024-12-12T00:00:00"/>
    <n v="8"/>
    <s v="Q4-2024"/>
    <s v="Europe"/>
    <x v="6"/>
    <s v="Frankfurt"/>
    <s v="Enterprise"/>
    <s v="Marketplace"/>
    <s v="B. Chen"/>
    <x v="1"/>
    <n v="6.8463135029013938E-3"/>
    <x v="243"/>
    <n v="72.06"/>
    <n v="122.74"/>
    <s v="Profit"/>
    <n v="0.23799999999999999"/>
    <n v="8"/>
    <x v="243"/>
    <n v="576.48"/>
    <n v="171.74303999999995"/>
    <n v="0.22953455162246802"/>
  </r>
  <r>
    <x v="243"/>
    <x v="43"/>
    <d v="2023-04-28T00:00:00"/>
    <d v="2023-04-28T00:00:00"/>
    <n v="9"/>
    <s v="Q2-2023"/>
    <s v="Americas"/>
    <x v="5"/>
    <s v="Rio de Janeiro"/>
    <s v="Corporate"/>
    <s v="Distributor"/>
    <s v="M. Rossi"/>
    <x v="3"/>
    <n v="0.11207657531030352"/>
    <x v="244"/>
    <n v="1013.54"/>
    <n v="927.93"/>
    <s v="Loss"/>
    <n v="0.17499999999999999"/>
    <n v="16"/>
    <x v="244"/>
    <n v="16216.64"/>
    <n v="-3967.9639999999999"/>
    <n v="-0.32395044166406234"/>
  </r>
  <r>
    <x v="244"/>
    <x v="220"/>
    <d v="2024-03-26T00:00:00"/>
    <d v="2024-03-26T00:00:00"/>
    <n v="20"/>
    <s v="Q1-2024"/>
    <s v="Africa"/>
    <x v="1"/>
    <s v="Port Harcourt"/>
    <s v="Consumer"/>
    <s v="Marketplace"/>
    <s v="I. Johnson"/>
    <x v="3"/>
    <n v="2.6625583300227025E-2"/>
    <x v="245"/>
    <n v="65.64"/>
    <n v="151.88"/>
    <s v="Profit"/>
    <n v="0.16700000000000001"/>
    <n v="23"/>
    <x v="245"/>
    <n v="1509.72"/>
    <n v="1400.1489199999999"/>
    <n v="0.48117250587356353"/>
  </r>
  <r>
    <x v="245"/>
    <x v="221"/>
    <d v="2024-03-04T00:00:00"/>
    <d v="2024-03-04T00:00:00"/>
    <n v="17"/>
    <s v="Q1-2024"/>
    <s v="Americas"/>
    <x v="3"/>
    <s v="Montreal"/>
    <s v="Non-Profit"/>
    <s v="Retail"/>
    <s v="D. Smith"/>
    <x v="4"/>
    <n v="8.9436607063113377E-2"/>
    <x v="246"/>
    <n v="1350.98"/>
    <n v="2210.4"/>
    <s v="Profit"/>
    <n v="0.26300000000000001"/>
    <n v="6"/>
    <x v="246"/>
    <n v="8105.88"/>
    <n v="1668.5088000000005"/>
    <n v="0.17070211080615091"/>
  </r>
  <r>
    <x v="246"/>
    <x v="222"/>
    <d v="2025-05-02T00:00:00"/>
    <d v="2025-05-02T00:00:00"/>
    <n v="10"/>
    <s v="Q2-2025"/>
    <s v="Europe"/>
    <x v="6"/>
    <s v="Berlin"/>
    <s v="Corporate"/>
    <s v="Marketplace"/>
    <s v="C. Otieno"/>
    <x v="5"/>
    <n v="5.5569151194357989E-3"/>
    <x v="247"/>
    <n v="20.149999999999999"/>
    <n v="39.74"/>
    <s v="Profit"/>
    <n v="0.151"/>
    <n v="18"/>
    <x v="247"/>
    <n v="362.7"/>
    <n v="244.60668000000004"/>
    <n v="0.4027729120318585"/>
  </r>
  <r>
    <x v="247"/>
    <x v="223"/>
    <d v="2024-11-08T00:00:00"/>
    <d v="2024-11-08T00:00:00"/>
    <n v="0"/>
    <s v="Q4-2024"/>
    <s v="Africa"/>
    <x v="0"/>
    <s v="Nakuru"/>
    <s v="Enterprise"/>
    <s v="Marketplace"/>
    <s v="M. Rossi"/>
    <x v="2"/>
    <n v="3.2867514952442424E-2"/>
    <x v="248"/>
    <n v="803.28"/>
    <n v="1009"/>
    <s v="Profit"/>
    <n v="0.11"/>
    <n v="4"/>
    <x v="248"/>
    <n v="3213.12"/>
    <n v="378.92000000000007"/>
    <n v="0.10548880302001093"/>
  </r>
  <r>
    <x v="248"/>
    <x v="224"/>
    <d v="2025-09-30T00:00:00"/>
    <d v="2025-09-30T00:00:00"/>
    <n v="18"/>
    <s v="Q3-2025"/>
    <s v="Asia"/>
    <x v="2"/>
    <s v="Nagoya"/>
    <s v="Non-Profit"/>
    <s v="Marketplace"/>
    <s v="F. Müller"/>
    <x v="5"/>
    <n v="0.10809562570879946"/>
    <x v="249"/>
    <n v="1212.99"/>
    <n v="1653.64"/>
    <s v="Profit"/>
    <n v="0.107"/>
    <n v="8"/>
    <x v="249"/>
    <n v="9703.92"/>
    <n v="2109.6841600000007"/>
    <n v="0.17858090819931455"/>
  </r>
  <r>
    <x v="249"/>
    <x v="225"/>
    <d v="2024-09-08T00:00:00"/>
    <d v="2024-09-08T00:00:00"/>
    <n v="6"/>
    <s v="Q3-2024"/>
    <s v="Americas"/>
    <x v="10"/>
    <s v="Austin"/>
    <s v="Consumer"/>
    <s v="Direct"/>
    <s v="H. Kim"/>
    <x v="0"/>
    <n v="0.1115064565473867"/>
    <x v="250"/>
    <n v="462.94"/>
    <n v="1015.7"/>
    <s v="Profit"/>
    <n v="0.14299999999999999"/>
    <n v="14"/>
    <x v="250"/>
    <n v="6481.16"/>
    <n v="5705.2086000000018"/>
    <n v="0.46816314090483041"/>
  </r>
  <r>
    <x v="250"/>
    <x v="226"/>
    <d v="2023-03-24T00:00:00"/>
    <d v="2023-03-24T00:00:00"/>
    <n v="20"/>
    <s v="Q1-2023"/>
    <s v="Americas"/>
    <x v="3"/>
    <s v="Montreal"/>
    <s v="Consumer"/>
    <s v="Distributor"/>
    <s v="I. Johnson"/>
    <x v="4"/>
    <n v="0.15969978946312272"/>
    <x v="251"/>
    <n v="481.71"/>
    <n v="912.45"/>
    <s v="Profit"/>
    <n v="0.20300000000000001"/>
    <n v="24"/>
    <x v="251"/>
    <n v="11561.039999999999"/>
    <n v="5892.3036000000011"/>
    <n v="0.33760313983619739"/>
  </r>
  <r>
    <x v="251"/>
    <x v="227"/>
    <d v="2024-04-09T00:00:00"/>
    <d v="2024-04-09T00:00:00"/>
    <n v="25"/>
    <s v="Q1-2024"/>
    <s v="Americas"/>
    <x v="3"/>
    <s v="Vancouver"/>
    <s v="Consumer"/>
    <s v="Online"/>
    <s v="F. Müller"/>
    <x v="5"/>
    <n v="0.16186176892672949"/>
    <x v="252"/>
    <n v="648.64"/>
    <n v="815.19"/>
    <s v="Profit"/>
    <n v="0.22500000000000001"/>
    <n v="28"/>
    <x v="252"/>
    <n v="18161.919999999998"/>
    <n v="-472.29699999999866"/>
    <n v="-2.6699099240272032E-2"/>
  </r>
  <r>
    <x v="252"/>
    <x v="228"/>
    <d v="2024-07-31T00:00:00"/>
    <d v="2024-07-31T00:00:00"/>
    <n v="2"/>
    <s v="Q3-2024"/>
    <s v="Americas"/>
    <x v="10"/>
    <s v="New York"/>
    <s v="Education"/>
    <s v="Marketplace"/>
    <s v="I. Johnson"/>
    <x v="1"/>
    <n v="0.23318029681327879"/>
    <x v="253"/>
    <n v="798.97"/>
    <n v="1814.06"/>
    <s v="Profit"/>
    <n v="0.122"/>
    <n v="16"/>
    <x v="253"/>
    <n v="12783.52"/>
    <n v="12700.39488"/>
    <n v="0.49836906691159061"/>
  </r>
  <r>
    <x v="253"/>
    <x v="229"/>
    <d v="2024-11-20T00:00:00"/>
    <d v="2024-11-20T00:00:00"/>
    <n v="24"/>
    <s v="Q4-2024"/>
    <s v="Asia"/>
    <x v="2"/>
    <s v="Nagoya"/>
    <s v="Non-Profit"/>
    <s v="Online"/>
    <s v="H. Kim"/>
    <x v="5"/>
    <n v="5.9185346081283029E-2"/>
    <x v="254"/>
    <n v="317.25"/>
    <n v="758.92"/>
    <s v="Profit"/>
    <n v="5.2999999999999999E-2"/>
    <n v="9"/>
    <x v="254"/>
    <n v="2855.25"/>
    <n v="3613.0251599999992"/>
    <n v="0.5585762928489888"/>
  </r>
  <r>
    <x v="254"/>
    <x v="230"/>
    <d v="2024-05-19T00:00:00"/>
    <d v="2024-05-19T00:00:00"/>
    <n v="20"/>
    <s v="Q2-2024"/>
    <s v="Europe"/>
    <x v="6"/>
    <s v="Frankfurt"/>
    <s v="Enterprise"/>
    <s v="Marketplace"/>
    <s v="C. Otieno"/>
    <x v="4"/>
    <n v="0.22107737840531722"/>
    <x v="255"/>
    <n v="668.97"/>
    <n v="1667.44"/>
    <s v="Profit"/>
    <n v="3.4000000000000002E-2"/>
    <n v="15"/>
    <x v="255"/>
    <n v="10034.550000000001"/>
    <n v="14126.6556"/>
    <n v="0.58468339013679016"/>
  </r>
  <r>
    <x v="255"/>
    <x v="231"/>
    <d v="2023-10-06T00:00:00"/>
    <d v="2023-10-06T00:00:00"/>
    <n v="1"/>
    <s v="Q4-2023"/>
    <s v="Asia"/>
    <x v="4"/>
    <s v="Bengaluru"/>
    <s v="Non-Profit"/>
    <s v="Online"/>
    <s v="I. Johnson"/>
    <x v="0"/>
    <n v="0.17452034866961427"/>
    <x v="256"/>
    <n v="1470.26"/>
    <n v="2562.5500000000002"/>
    <s v="Profit"/>
    <n v="0.17299999999999999"/>
    <n v="9"/>
    <x v="256"/>
    <n v="13232.34"/>
    <n v="5840.7196499999991"/>
    <n v="0.30622877279157462"/>
  </r>
  <r>
    <x v="256"/>
    <x v="43"/>
    <d v="2023-05-07T00:00:00"/>
    <d v="2023-05-07T00:00:00"/>
    <n v="18"/>
    <s v="Q2-2023"/>
    <s v="Europe"/>
    <x v="8"/>
    <s v="London"/>
    <s v="Non-Profit"/>
    <s v="Direct"/>
    <s v="H. Kim"/>
    <x v="2"/>
    <n v="2.1906801707204798E-2"/>
    <x v="257"/>
    <n v="516.96"/>
    <n v="745.38"/>
    <s v="Profit"/>
    <n v="0.19700000000000001"/>
    <n v="4"/>
    <x v="257"/>
    <n v="2067.84"/>
    <n v="326.32055999999966"/>
    <n v="0.13629852794835101"/>
  </r>
  <r>
    <x v="257"/>
    <x v="232"/>
    <d v="2025-07-05T00:00:00"/>
    <d v="2025-07-05T00:00:00"/>
    <n v="8"/>
    <s v="Q2-2025"/>
    <s v="Europe"/>
    <x v="6"/>
    <s v="Munich"/>
    <s v="Small Business"/>
    <s v="Direct"/>
    <s v="G. Dubois"/>
    <x v="5"/>
    <n v="4.0034987349068608E-2"/>
    <x v="258"/>
    <n v="314.93"/>
    <n v="687.95"/>
    <s v="Profit"/>
    <n v="0.20499999999999999"/>
    <n v="8"/>
    <x v="258"/>
    <n v="2519.44"/>
    <n v="1855.922"/>
    <n v="0.424175645352316"/>
  </r>
  <r>
    <x v="258"/>
    <x v="233"/>
    <d v="2023-10-13T00:00:00"/>
    <d v="2023-10-13T00:00:00"/>
    <n v="2"/>
    <s v="Q4-2023"/>
    <s v="Americas"/>
    <x v="5"/>
    <s v="Brasília"/>
    <s v="Consumer"/>
    <s v="Distributor"/>
    <s v="not provided"/>
    <x v="6"/>
    <n v="6.9256748574761551E-2"/>
    <x v="259"/>
    <n v="715.94"/>
    <n v="550.07000000000005"/>
    <s v="Loss"/>
    <n v="0.14000000000000001"/>
    <n v="16"/>
    <x v="259"/>
    <n v="11455.04"/>
    <n v="-3886.0768000000007"/>
    <n v="-0.51342260456491595"/>
  </r>
  <r>
    <x v="259"/>
    <x v="72"/>
    <d v="2023-06-07T00:00:00"/>
    <d v="2023-06-07T00:00:00"/>
    <n v="18"/>
    <s v="Q2-2023"/>
    <s v="Africa"/>
    <x v="1"/>
    <s v="Port Harcourt"/>
    <s v="Enterprise"/>
    <s v="Distributor"/>
    <s v="E. Garcia"/>
    <x v="0"/>
    <n v="0.20937870323718197"/>
    <x v="260"/>
    <n v="1120.06"/>
    <n v="2068.21"/>
    <s v="Profit"/>
    <n v="7.8E-2"/>
    <n v="12"/>
    <x v="260"/>
    <n v="13440.72"/>
    <n v="9441.9554400000034"/>
    <n v="0.41262462795303284"/>
  </r>
  <r>
    <x v="260"/>
    <x v="234"/>
    <d v="2023-06-19T00:00:00"/>
    <d v="2023-06-19T00:00:00"/>
    <n v="23"/>
    <s v="Q2-2023"/>
    <s v="Europe"/>
    <x v="6"/>
    <s v="Berlin"/>
    <s v="Education"/>
    <s v="Retail"/>
    <s v="O. Wang"/>
    <x v="6"/>
    <n v="0.16437603994059463"/>
    <x v="261"/>
    <n v="1471.58"/>
    <n v="2576.65"/>
    <s v="Profit"/>
    <n v="4.0000000000000001E-3"/>
    <n v="7"/>
    <x v="261"/>
    <n v="10301.06"/>
    <n v="7663.3438000000006"/>
    <n v="0.4265849223451546"/>
  </r>
  <r>
    <x v="261"/>
    <x v="235"/>
    <d v="2023-08-24T00:00:00"/>
    <d v="2023-08-24T00:00:00"/>
    <n v="20"/>
    <s v="Q3-2023"/>
    <s v="Americas"/>
    <x v="5"/>
    <s v="Brasília"/>
    <s v="Non-Profit"/>
    <s v="Direct"/>
    <s v="not provided"/>
    <x v="2"/>
    <n v="7.4903222283035531E-2"/>
    <x v="262"/>
    <n v="582.88"/>
    <n v="1044.1400000000001"/>
    <s v="Profit"/>
    <n v="0.216"/>
    <n v="10"/>
    <x v="262"/>
    <n v="5828.8"/>
    <n v="2357.2576000000008"/>
    <n v="0.28796005539956138"/>
  </r>
  <r>
    <x v="262"/>
    <x v="236"/>
    <d v="2025-06-27T00:00:00"/>
    <d v="2025-06-27T00:00:00"/>
    <n v="6"/>
    <s v="Q2-2025"/>
    <s v="Africa"/>
    <x v="11"/>
    <s v="Durban"/>
    <s v="Enterprise"/>
    <s v="Distributor"/>
    <s v="N. Brown"/>
    <x v="3"/>
    <n v="5.127424565560249E-3"/>
    <x v="263"/>
    <n v="93.91"/>
    <n v="99.04"/>
    <s v="Profit"/>
    <n v="5.7000000000000002E-2"/>
    <n v="6"/>
    <x v="263"/>
    <n v="563.46"/>
    <n v="-3.0916800000001103"/>
    <n v="-5.5172283829323376E-3"/>
  </r>
  <r>
    <x v="263"/>
    <x v="139"/>
    <d v="2025-04-26T00:00:00"/>
    <d v="2025-04-26T00:00:00"/>
    <n v="10"/>
    <s v="Q2-2025"/>
    <s v="Africa"/>
    <x v="1"/>
    <s v="Port Harcourt"/>
    <s v="Enterprise"/>
    <s v="Marketplace"/>
    <s v="F. Müller"/>
    <x v="4"/>
    <n v="0.36728375220265197"/>
    <x v="264"/>
    <n v="1457.44"/>
    <n v="1996.81"/>
    <s v="Profit"/>
    <n v="0.126"/>
    <n v="23"/>
    <x v="264"/>
    <n v="33521.120000000003"/>
    <n v="6618.7546199999924"/>
    <n v="0.16489225944672353"/>
  </r>
  <r>
    <x v="264"/>
    <x v="237"/>
    <d v="2025-09-11T00:00:00"/>
    <d v="2025-09-11T00:00:00"/>
    <n v="9"/>
    <s v="Q3-2025"/>
    <s v="Americas"/>
    <x v="3"/>
    <s v="Toronto"/>
    <s v="Corporate"/>
    <s v="Distributor"/>
    <s v="M. Rossi"/>
    <x v="1"/>
    <n v="0.11526855229533246"/>
    <x v="265"/>
    <n v="1207.6300000000001"/>
    <n v="921.68"/>
    <s v="Loss"/>
    <n v="0.19600000000000001"/>
    <n v="17"/>
    <x v="265"/>
    <n v="20529.710000000003"/>
    <n v="-7932.1877600000025"/>
    <n v="-0.62966253274897988"/>
  </r>
  <r>
    <x v="265"/>
    <x v="238"/>
    <d v="2024-10-08T00:00:00"/>
    <d v="2024-10-08T00:00:00"/>
    <n v="0"/>
    <s v="Q4-2024"/>
    <s v="Europe"/>
    <x v="8"/>
    <s v="London"/>
    <s v="Corporate"/>
    <s v="Online"/>
    <s v="E. Garcia"/>
    <x v="5"/>
    <n v="0.35519542655262093"/>
    <x v="266"/>
    <n v="1108.1099999999999"/>
    <n v="2503.79"/>
    <s v="Profit"/>
    <n v="0.184"/>
    <n v="19"/>
    <x v="266"/>
    <n v="21054.089999999997"/>
    <n v="17764.670160000009"/>
    <n v="0.45763105485025896"/>
  </r>
  <r>
    <x v="266"/>
    <x v="239"/>
    <d v="2023-05-05T00:00:00"/>
    <d v="2023-05-14T00:00:00"/>
    <n v="7"/>
    <s v="Q2-2023"/>
    <s v="Africa"/>
    <x v="1"/>
    <s v="Port Harcourt"/>
    <s v="Non-Profit"/>
    <s v="Marketplace"/>
    <s v="A. Patel"/>
    <x v="0"/>
    <n v="0.16098707344213981"/>
    <x v="267"/>
    <n v="1269.6500000000001"/>
    <n v="2462.77"/>
    <s v="Profit"/>
    <n v="0.107"/>
    <n v="8"/>
    <x v="267"/>
    <n v="10157.200000000001"/>
    <n v="7436.8288800000009"/>
    <n v="0.42269050089225502"/>
  </r>
  <r>
    <x v="267"/>
    <x v="240"/>
    <d v="2024-01-01T00:00:00"/>
    <d v="2024-01-01T00:00:00"/>
    <n v="8"/>
    <s v="Q4-2023"/>
    <s v="Americas"/>
    <x v="5"/>
    <s v="São Paulo"/>
    <s v="Education"/>
    <s v="Direct"/>
    <s v="C. Otieno"/>
    <x v="3"/>
    <n v="6.3563894854073738E-2"/>
    <x v="268"/>
    <n v="526.49"/>
    <n v="496.2"/>
    <s v="Loss"/>
    <n v="0"/>
    <n v="14"/>
    <x v="268"/>
    <n v="7370.8600000000006"/>
    <n v="-424.0600000000004"/>
    <n v="-6.1043933897621985E-2"/>
  </r>
  <r>
    <x v="268"/>
    <x v="241"/>
    <d v="2024-01-23T00:00:00"/>
    <d v="2024-01-23T00:00:00"/>
    <n v="13"/>
    <s v="Q1-2024"/>
    <s v="Europe"/>
    <x v="7"/>
    <s v="Marseille"/>
    <s v="Corporate"/>
    <s v="Direct"/>
    <s v="A. Patel"/>
    <x v="1"/>
    <n v="7.0256380217790959E-2"/>
    <x v="269"/>
    <n v="720"/>
    <n v="907.59"/>
    <s v="Profit"/>
    <n v="0.154"/>
    <n v="10"/>
    <x v="269"/>
    <n v="7200"/>
    <n v="478.21139999999923"/>
    <n v="6.2281614179052078E-2"/>
  </r>
  <r>
    <x v="269"/>
    <x v="242"/>
    <d v="2023-08-14T00:00:00"/>
    <d v="2023-08-14T00:00:00"/>
    <n v="11"/>
    <s v="Q3-2023"/>
    <s v="Americas"/>
    <x v="5"/>
    <s v="Brasília"/>
    <s v="Corporate"/>
    <s v="Direct"/>
    <s v="J. Njeri"/>
    <x v="6"/>
    <n v="6.6202906397301614E-2"/>
    <x v="270"/>
    <n v="232.73"/>
    <n v="334.19"/>
    <s v="Profit"/>
    <n v="0.13400000000000001"/>
    <n v="25"/>
    <x v="270"/>
    <n v="5818.25"/>
    <n v="1416.9634999999998"/>
    <n v="0.1958426658729559"/>
  </r>
  <r>
    <x v="270"/>
    <x v="243"/>
    <d v="2025-03-09T00:00:00"/>
    <d v="2025-03-09T00:00:00"/>
    <n v="18"/>
    <s v="Q1-2025"/>
    <s v="Asia"/>
    <x v="4"/>
    <s v="Delhi"/>
    <s v="Small Business"/>
    <s v="Direct"/>
    <s v="O. Wang"/>
    <x v="5"/>
    <n v="6.5154626798779758E-2"/>
    <x v="271"/>
    <n v="325.87"/>
    <n v="538.79"/>
    <s v="Profit"/>
    <n v="0.17399999999999999"/>
    <n v="16"/>
    <x v="271"/>
    <n v="5213.92"/>
    <n v="1906.7286400000003"/>
    <n v="0.26777457172778013"/>
  </r>
  <r>
    <x v="271"/>
    <x v="244"/>
    <d v="2024-04-17T00:00:00"/>
    <d v="2024-04-17T00:00:00"/>
    <n v="17"/>
    <s v="Q1-2024"/>
    <s v="Europe"/>
    <x v="6"/>
    <s v="Frankfurt"/>
    <s v="Education"/>
    <s v="Direct"/>
    <s v="H. Kim"/>
    <x v="5"/>
    <n v="0.31688713719980172"/>
    <x v="272"/>
    <n v="1025.51"/>
    <n v="1436.54"/>
    <s v="Profit"/>
    <n v="0.13900000000000001"/>
    <n v="28"/>
    <x v="272"/>
    <n v="28714.28"/>
    <n v="5917.8263200000001"/>
    <n v="0.17087688127656453"/>
  </r>
  <r>
    <x v="272"/>
    <x v="245"/>
    <d v="2023-08-13T00:00:00"/>
    <d v="2023-08-13T00:00:00"/>
    <n v="20"/>
    <s v="Q3-2023"/>
    <s v="Americas"/>
    <x v="3"/>
    <s v="Montreal"/>
    <s v="Education"/>
    <s v="Direct"/>
    <s v="C. Otieno"/>
    <x v="5"/>
    <n v="0.27026382077483696"/>
    <x v="273"/>
    <n v="1082.3800000000001"/>
    <n v="1766.55"/>
    <s v="Profit"/>
    <n v="0.16400000000000001"/>
    <n v="20"/>
    <x v="273"/>
    <n v="21647.600000000002"/>
    <n v="7889.1159999999982"/>
    <n v="0.26709523157550752"/>
  </r>
  <r>
    <x v="273"/>
    <x v="246"/>
    <d v="2024-04-13T00:00:00"/>
    <d v="2024-04-13T00:00:00"/>
    <n v="28"/>
    <s v="Q1-2024"/>
    <s v="Europe"/>
    <x v="7"/>
    <s v="Paris"/>
    <s v="Small Business"/>
    <s v="Online"/>
    <s v="K. Singh"/>
    <x v="1"/>
    <n v="0.10447058542296334"/>
    <x v="274"/>
    <n v="287.61"/>
    <n v="628.54"/>
    <s v="Profit"/>
    <n v="0.13500000000000001"/>
    <n v="21"/>
    <x v="274"/>
    <n v="6039.81"/>
    <n v="5377.619099999999"/>
    <n v="0.47100087531964613"/>
  </r>
  <r>
    <x v="274"/>
    <x v="247"/>
    <d v="2024-01-27T00:00:00"/>
    <d v="2024-01-27T00:00:00"/>
    <n v="2"/>
    <s v="Q1-2024"/>
    <s v="Americas"/>
    <x v="5"/>
    <s v="São Paulo"/>
    <s v="Non-Profit"/>
    <s v="Marketplace"/>
    <s v="N. Brown"/>
    <x v="4"/>
    <n v="7.839247366320895E-2"/>
    <x v="275"/>
    <n v="1410.97"/>
    <n v="1650.75"/>
    <s v="Profit"/>
    <n v="0.13500000000000001"/>
    <n v="6"/>
    <x v="275"/>
    <n v="8465.82"/>
    <n v="101.57250000000022"/>
    <n v="1.1855707556295596E-2"/>
  </r>
  <r>
    <x v="275"/>
    <x v="248"/>
    <d v="2024-04-11T00:00:00"/>
    <d v="2024-04-11T00:00:00"/>
    <n v="15"/>
    <s v="Q1-2024"/>
    <s v="Americas"/>
    <x v="10"/>
    <s v="San Francisco"/>
    <s v="Small Business"/>
    <s v="Direct"/>
    <s v="O. Wang"/>
    <x v="2"/>
    <n v="0.72787884524620938"/>
    <x v="276"/>
    <n v="1338.35"/>
    <n v="2247.14"/>
    <s v="Profit"/>
    <n v="0.115"/>
    <n v="40"/>
    <x v="276"/>
    <n v="53534"/>
    <n v="26014.755999999994"/>
    <n v="0.32702907384246205"/>
  </r>
  <r>
    <x v="276"/>
    <x v="35"/>
    <d v="2025-07-14T00:00:00"/>
    <d v="2025-07-14T00:00:00"/>
    <n v="20"/>
    <s v="Q2-2025"/>
    <s v="Europe"/>
    <x v="6"/>
    <s v="Berlin"/>
    <s v="Corporate"/>
    <s v="Direct"/>
    <s v="O. Wang"/>
    <x v="6"/>
    <n v="5.5509489632934755E-2"/>
    <x v="277"/>
    <n v="385.08"/>
    <n v="893.19"/>
    <s v="Profit"/>
    <n v="0.151"/>
    <n v="8"/>
    <x v="277"/>
    <n v="3080.64"/>
    <n v="2985.9064800000001"/>
    <n v="0.49219213762621666"/>
  </r>
  <r>
    <x v="277"/>
    <x v="249"/>
    <d v="2024-07-03T00:00:00"/>
    <d v="2024-07-03T00:00:00"/>
    <n v="17"/>
    <s v="Q2-2024"/>
    <s v="Africa"/>
    <x v="11"/>
    <s v="Johannesburg"/>
    <s v="Enterprise"/>
    <s v="Marketplace"/>
    <s v="F. Müller"/>
    <x v="3"/>
    <n v="0.31879253220126663"/>
    <x v="278"/>
    <n v="1173.83"/>
    <n v="2328.9"/>
    <s v="Profit"/>
    <n v="0.12"/>
    <n v="17"/>
    <x v="278"/>
    <n v="19955.11"/>
    <n v="14885.234000000004"/>
    <n v="0.42724130393201637"/>
  </r>
  <r>
    <x v="278"/>
    <x v="250"/>
    <d v="2023-11-14T00:00:00"/>
    <d v="2023-11-14T00:00:00"/>
    <n v="15"/>
    <s v="Q4-2023"/>
    <s v="Asia"/>
    <x v="4"/>
    <s v="Bengaluru"/>
    <s v="Corporate"/>
    <s v="Online"/>
    <s v="F. Müller"/>
    <x v="4"/>
    <n v="8.1506251722004555E-2"/>
    <x v="279"/>
    <n v="953.46"/>
    <n v="2066.75"/>
    <s v="Profit"/>
    <n v="0.13800000000000001"/>
    <n v="5"/>
    <x v="279"/>
    <n v="4767.3"/>
    <n v="4140.392499999999"/>
    <n v="0.46481089238318446"/>
  </r>
  <r>
    <x v="279"/>
    <x v="251"/>
    <d v="2023-06-23T00:00:00"/>
    <d v="2023-06-23T00:00:00"/>
    <n v="8"/>
    <s v="Q2-2023"/>
    <s v="Americas"/>
    <x v="10"/>
    <s v="San Francisco"/>
    <s v="Consumer"/>
    <s v="Distributor"/>
    <s v="O. Wang"/>
    <x v="5"/>
    <n v="0.15958704123408152"/>
    <x v="280"/>
    <n v="1097.0899999999999"/>
    <n v="2182.31"/>
    <s v="Profit"/>
    <n v="0.112"/>
    <n v="9"/>
    <x v="280"/>
    <n v="9873.81"/>
    <n v="7567.2115200000026"/>
    <n v="0.43387432962699546"/>
  </r>
  <r>
    <x v="280"/>
    <x v="252"/>
    <d v="2025-03-29T00:00:00"/>
    <d v="2025-03-29T00:00:00"/>
    <n v="15"/>
    <s v="Q1-2025"/>
    <s v="Asia"/>
    <x v="2"/>
    <s v="Tokyo"/>
    <s v="Non-Profit"/>
    <s v="Direct"/>
    <s v="H. Kim"/>
    <x v="2"/>
    <n v="0.11928039390581514"/>
    <x v="281"/>
    <n v="1106.96"/>
    <n v="2726.62"/>
    <s v="Profit"/>
    <n v="0.317"/>
    <n v="7"/>
    <x v="281"/>
    <n v="7748.72"/>
    <n v="5287.2502200000008"/>
    <n v="0.40558931408789306"/>
  </r>
  <r>
    <x v="281"/>
    <x v="183"/>
    <d v="2023-08-25T00:00:00"/>
    <d v="2023-08-25T00:00:00"/>
    <n v="10"/>
    <s v="Q3-2023"/>
    <s v="Africa"/>
    <x v="0"/>
    <s v="Nairobi"/>
    <s v="Small Business"/>
    <s v="Retail"/>
    <s v="N. Brown"/>
    <x v="3"/>
    <n v="6.1098858682932002E-3"/>
    <x v="282"/>
    <n v="91.85"/>
    <n v="111.29"/>
    <s v="Profit"/>
    <n v="0"/>
    <n v="6"/>
    <x v="282"/>
    <n v="551.09999999999991"/>
    <n v="116.6400000000001"/>
    <n v="0.17467876718483258"/>
  </r>
  <r>
    <x v="282"/>
    <x v="253"/>
    <d v="2025-05-28T00:00:00"/>
    <d v="2025-05-28T00:00:00"/>
    <n v="11"/>
    <s v="Q2-2025"/>
    <s v="Asia"/>
    <x v="4"/>
    <s v="Bengaluru"/>
    <s v="Corporate"/>
    <s v="Distributor"/>
    <s v="B. Chen"/>
    <x v="4"/>
    <n v="0.10702097168726191"/>
    <x v="283"/>
    <n v="623.4"/>
    <n v="1100.0899999999999"/>
    <s v="Profit"/>
    <n v="0.114"/>
    <n v="12"/>
    <x v="283"/>
    <n v="7480.7999999999993"/>
    <n v="4215.3568799999994"/>
    <n v="0.36040529579490388"/>
  </r>
  <r>
    <x v="283"/>
    <x v="94"/>
    <d v="2024-02-05T00:00:00"/>
    <d v="2024-02-05T00:00:00"/>
    <n v="23"/>
    <s v="Q1-2024"/>
    <s v="Europe"/>
    <x v="6"/>
    <s v="Frankfurt"/>
    <s v="Education"/>
    <s v="Direct"/>
    <s v="B. Chen"/>
    <x v="4"/>
    <n v="0.14187664463585903"/>
    <x v="284"/>
    <n v="1017.93"/>
    <n v="1529.14"/>
    <s v="Profit"/>
    <n v="0.155"/>
    <n v="12"/>
    <x v="284"/>
    <n v="12215.16"/>
    <n v="3290.3196000000007"/>
    <n v="0.21220366508366503"/>
  </r>
  <r>
    <x v="284"/>
    <x v="87"/>
    <d v="2023-07-21T00:00:00"/>
    <d v="2023-07-21T00:00:00"/>
    <n v="27"/>
    <s v="Q2-2023"/>
    <s v="Asia"/>
    <x v="2"/>
    <s v="Nagoya"/>
    <s v="Consumer"/>
    <s v="Marketplace"/>
    <s v="J. Njeri"/>
    <x v="3"/>
    <n v="3.6405010219818318E-2"/>
    <x v="285"/>
    <n v="554.76"/>
    <n v="728.69"/>
    <s v="Profit"/>
    <n v="0.22"/>
    <n v="7"/>
    <x v="285"/>
    <n v="3883.3199999999997"/>
    <n v="95.32740000000058"/>
    <n v="2.395975074343119E-2"/>
  </r>
  <r>
    <x v="285"/>
    <x v="254"/>
    <d v="2025-04-13T00:00:00"/>
    <d v="2025-04-13T00:00:00"/>
    <n v="9"/>
    <s v="Q2-2025"/>
    <s v="Europe"/>
    <x v="6"/>
    <s v="Munich"/>
    <s v="Consumer"/>
    <s v="Marketplace"/>
    <s v="F. Müller"/>
    <x v="3"/>
    <n v="6.9667668457473395E-4"/>
    <x v="286"/>
    <n v="7.02"/>
    <n v="6.28"/>
    <s v="Loss"/>
    <n v="0.13400000000000001"/>
    <n v="14"/>
    <x v="286"/>
    <n v="98.28"/>
    <n v="-22.141279999999995"/>
    <n v="-0.29080184169106066"/>
  </r>
  <r>
    <x v="286"/>
    <x v="255"/>
    <d v="2024-09-07T00:00:00"/>
    <d v="2024-09-07T00:00:00"/>
    <n v="0"/>
    <s v="Q3-2024"/>
    <s v="Asia"/>
    <x v="4"/>
    <s v="Mumbai"/>
    <s v="Education"/>
    <s v="Distributor"/>
    <s v="B. Chen"/>
    <x v="2"/>
    <n v="0.18326535024427351"/>
    <x v="287"/>
    <n v="1066.6500000000001"/>
    <n v="2569.77"/>
    <s v="Profit"/>
    <n v="0.13400000000000001"/>
    <n v="9"/>
    <x v="287"/>
    <n v="9599.85"/>
    <n v="10428.937380000001"/>
    <n v="0.52069739331368348"/>
  </r>
  <r>
    <x v="287"/>
    <x v="10"/>
    <d v="2024-01-30T00:00:00"/>
    <d v="2024-01-30T00:00:00"/>
    <n v="2"/>
    <s v="Q1-2024"/>
    <s v="Africa"/>
    <x v="11"/>
    <s v="Cape Town"/>
    <s v="Consumer"/>
    <s v="Direct"/>
    <s v="F. Müller"/>
    <x v="6"/>
    <n v="0.24490271831352747"/>
    <x v="288"/>
    <n v="798.45"/>
    <n v="1592.02"/>
    <s v="Profit"/>
    <n v="6.6000000000000003E-2"/>
    <n v="18"/>
    <x v="288"/>
    <n v="14372.1"/>
    <n v="12392.940239999998"/>
    <n v="0.46302714768494585"/>
  </r>
  <r>
    <x v="288"/>
    <x v="256"/>
    <d v="2023-08-10T00:00:00"/>
    <d v="2023-08-10T00:00:00"/>
    <n v="23"/>
    <s v="Q3-2023"/>
    <s v="Africa"/>
    <x v="11"/>
    <s v="Johannesburg"/>
    <s v="Small Business"/>
    <s v="Retail"/>
    <s v="L. Okafor"/>
    <x v="0"/>
    <n v="9.5677230251436901E-2"/>
    <x v="289"/>
    <n v="1271.56"/>
    <n v="995.47"/>
    <s v="Loss"/>
    <n v="0.192"/>
    <n v="13"/>
    <x v="289"/>
    <n v="16530.28"/>
    <n v="-6073.8631199999982"/>
    <n v="-0.58087423155607754"/>
  </r>
  <r>
    <x v="289"/>
    <x v="257"/>
    <d v="2025-08-26T00:00:00"/>
    <d v="2025-09-04T00:00:00"/>
    <n v="7"/>
    <s v="Q3-2025"/>
    <s v="Africa"/>
    <x v="1"/>
    <s v="Port Harcourt"/>
    <s v="Small Business"/>
    <s v="Retail"/>
    <s v="A. Patel"/>
    <x v="6"/>
    <n v="0.17445616686869991"/>
    <x v="290"/>
    <n v="521.05999999999995"/>
    <n v="1240.31"/>
    <s v="Profit"/>
    <n v="0.14599999999999999"/>
    <n v="18"/>
    <x v="290"/>
    <n v="9379.0799999999981"/>
    <n v="9686.9653199999993"/>
    <n v="0.50807417885650974"/>
  </r>
  <r>
    <x v="290"/>
    <x v="258"/>
    <d v="2025-04-07T00:00:00"/>
    <d v="2025-04-07T00:00:00"/>
    <n v="8"/>
    <s v="Q1-2025"/>
    <s v="Americas"/>
    <x v="5"/>
    <s v="São Paulo"/>
    <s v="Non-Profit"/>
    <s v="Direct"/>
    <s v="L. Okafor"/>
    <x v="1"/>
    <n v="1.005547254035115E-2"/>
    <x v="291"/>
    <n v="71.62"/>
    <n v="118.37"/>
    <s v="Profit"/>
    <n v="0.156"/>
    <n v="11"/>
    <x v="291"/>
    <n v="787.82"/>
    <n v="311.12708000000009"/>
    <n v="0.28311379652603474"/>
  </r>
  <r>
    <x v="291"/>
    <x v="259"/>
    <d v="2023-11-09T00:00:00"/>
    <d v="2023-11-09T00:00:00"/>
    <n v="19"/>
    <s v="Q4-2023"/>
    <s v="Europe"/>
    <x v="8"/>
    <s v="London"/>
    <s v="Non-Profit"/>
    <s v="Direct"/>
    <s v="A. Patel"/>
    <x v="6"/>
    <n v="0.21388895649527132"/>
    <x v="292"/>
    <n v="1142.48"/>
    <n v="2105.5300000000002"/>
    <s v="Profit"/>
    <n v="0.20699999999999999"/>
    <n v="14"/>
    <x v="292"/>
    <n v="15994.720000000001"/>
    <n v="7380.8740600000019"/>
    <n v="0.31575129346680658"/>
  </r>
  <r>
    <x v="292"/>
    <x v="260"/>
    <d v="2023-09-22T00:00:00"/>
    <d v="2023-09-22T00:00:00"/>
    <n v="30"/>
    <s v="Q3-2023"/>
    <s v="Europe"/>
    <x v="8"/>
    <s v="London"/>
    <s v="Consumer"/>
    <s v="Distributor"/>
    <s v="O. Wang"/>
    <x v="6"/>
    <n v="6.7547343896114206E-2"/>
    <x v="293"/>
    <n v="209.81"/>
    <n v="523"/>
    <s v="Profit"/>
    <n v="5.8999999999999997E-2"/>
    <n v="15"/>
    <x v="293"/>
    <n v="3147.15"/>
    <n v="4234.9950000000008"/>
    <n v="0.57368082041195356"/>
  </r>
  <r>
    <x v="293"/>
    <x v="261"/>
    <d v="2025-05-04T00:00:00"/>
    <d v="2025-05-04T00:00:00"/>
    <n v="23"/>
    <s v="Q2-2025"/>
    <s v="Asia"/>
    <x v="2"/>
    <s v="Osaka"/>
    <s v="Small Business"/>
    <s v="Online"/>
    <s v="M. Rossi"/>
    <x v="0"/>
    <n v="8.1467743538165452E-2"/>
    <x v="294"/>
    <n v="786.2"/>
    <n v="1075.3"/>
    <s v="Profit"/>
    <n v="0.08"/>
    <n v="9"/>
    <x v="294"/>
    <n v="7075.8"/>
    <n v="1827.6839999999984"/>
    <n v="0.20527739478163815"/>
  </r>
  <r>
    <x v="294"/>
    <x v="262"/>
    <d v="2025-06-27T00:00:00"/>
    <d v="2025-06-27T00:00:00"/>
    <n v="26"/>
    <s v="Q2-2025"/>
    <s v="Europe"/>
    <x v="6"/>
    <s v="Munich"/>
    <s v="Consumer"/>
    <s v="Distributor"/>
    <s v="E. Garcia"/>
    <x v="4"/>
    <n v="0.18717425115734093"/>
    <x v="295"/>
    <n v="1362.31"/>
    <n v="3294.57"/>
    <s v="Profit"/>
    <n v="0.113"/>
    <n v="7"/>
    <x v="295"/>
    <n v="9536.17"/>
    <n v="10919.815130000001"/>
    <n v="0.5338200561157721"/>
  </r>
  <r>
    <x v="295"/>
    <x v="263"/>
    <d v="2024-03-16T00:00:00"/>
    <d v="2024-03-16T00:00:00"/>
    <n v="14"/>
    <s v="Q1-2024"/>
    <s v="Americas"/>
    <x v="3"/>
    <s v="Vancouver"/>
    <s v="Non-Profit"/>
    <s v="Direct"/>
    <s v="O. Wang"/>
    <x v="1"/>
    <n v="3.8813623689423607E-2"/>
    <x v="296"/>
    <n v="248.24"/>
    <n v="464.05"/>
    <s v="Profit"/>
    <n v="0.16900000000000001"/>
    <n v="11"/>
    <x v="296"/>
    <n v="2730.6400000000003"/>
    <n v="1511.2410499999996"/>
    <n v="0.3562667203975462"/>
  </r>
  <r>
    <x v="296"/>
    <x v="264"/>
    <d v="2023-07-08T00:00:00"/>
    <d v="2023-07-08T00:00:00"/>
    <n v="18"/>
    <s v="Q2-2023"/>
    <s v="Americas"/>
    <x v="10"/>
    <s v="Austin"/>
    <s v="Non-Profit"/>
    <s v="Direct"/>
    <s v="F. Müller"/>
    <x v="5"/>
    <n v="2.9196782558495924E-2"/>
    <x v="297"/>
    <n v="337"/>
    <n v="511.03"/>
    <s v="Profit"/>
    <n v="0.108"/>
    <n v="7"/>
    <x v="297"/>
    <n v="2359"/>
    <n v="831.8713200000002"/>
    <n v="0.26070349963219458"/>
  </r>
  <r>
    <x v="297"/>
    <x v="265"/>
    <d v="2024-04-05T00:00:00"/>
    <d v="2024-04-05T00:00:00"/>
    <n v="10"/>
    <s v="Q1-2024"/>
    <s v="Americas"/>
    <x v="10"/>
    <s v="Austin"/>
    <s v="Consumer"/>
    <s v="Direct"/>
    <s v="J. Njeri"/>
    <x v="5"/>
    <n v="6.1233145508647201E-4"/>
    <x v="298"/>
    <n v="5.66"/>
    <n v="4.22"/>
    <s v="Loss"/>
    <n v="0.11899999999999999"/>
    <n v="18"/>
    <x v="298"/>
    <n v="101.88"/>
    <n v="-34.959239999999994"/>
    <n v="-0.52239753403876454"/>
  </r>
  <r>
    <x v="298"/>
    <x v="266"/>
    <d v="2025-01-22T00:00:00"/>
    <d v="2025-01-22T00:00:00"/>
    <n v="0"/>
    <s v="Q1-2025"/>
    <s v="Europe"/>
    <x v="7"/>
    <s v="Lyon"/>
    <s v="Small Business"/>
    <s v="Online"/>
    <s v="B. Chen"/>
    <x v="6"/>
    <n v="0.11619964568469535"/>
    <x v="299"/>
    <n v="591.72"/>
    <n v="577.24"/>
    <s v="Loss"/>
    <n v="0"/>
    <n v="22"/>
    <x v="299"/>
    <n v="13017.84"/>
    <n v="-318.55999999999949"/>
    <n v="-2.5084886702238195E-2"/>
  </r>
  <r>
    <x v="299"/>
    <x v="267"/>
    <d v="2025-05-27T00:00:00"/>
    <d v="2025-05-27T00:00:00"/>
    <n v="17"/>
    <s v="Q2-2025"/>
    <s v="Americas"/>
    <x v="3"/>
    <s v="Vancouver"/>
    <s v="Education"/>
    <s v="Direct"/>
    <s v="C. Otieno"/>
    <x v="0"/>
    <n v="0.23403454256275485"/>
    <x v="300"/>
    <n v="862.89"/>
    <n v="1426.03"/>
    <s v="Profit"/>
    <n v="5.6000000000000001E-2"/>
    <n v="19"/>
    <x v="300"/>
    <n v="16394.91"/>
    <n v="9182.3640799999994"/>
    <n v="0.35900479665188778"/>
  </r>
  <r>
    <x v="300"/>
    <x v="231"/>
    <d v="2023-10-31T00:00:00"/>
    <d v="2023-10-31T00:00:00"/>
    <n v="26"/>
    <s v="Q4-2023"/>
    <s v="Asia"/>
    <x v="9"/>
    <s v="Shanghai"/>
    <s v="Consumer"/>
    <s v="not provided"/>
    <s v="J. Njeri"/>
    <x v="1"/>
    <n v="9.0277699364940067E-2"/>
    <x v="301"/>
    <n v="649.91"/>
    <n v="1360.12"/>
    <s v="Profit"/>
    <n v="0.19400000000000001"/>
    <n v="9"/>
    <x v="301"/>
    <n v="5849.19"/>
    <n v="4017.1204799999987"/>
    <n v="0.40715528749506769"/>
  </r>
  <r>
    <x v="301"/>
    <x v="256"/>
    <d v="2023-07-22T00:00:00"/>
    <d v="2023-07-22T00:00:00"/>
    <n v="4"/>
    <s v="Q3-2023"/>
    <s v="Americas"/>
    <x v="5"/>
    <s v="São Paulo"/>
    <s v="Consumer"/>
    <s v="Direct"/>
    <s v="F. Müller"/>
    <x v="2"/>
    <n v="0.36313458190815895"/>
    <x v="302"/>
    <n v="1269.55"/>
    <n v="2071.1"/>
    <s v="Profit"/>
    <n v="0.129"/>
    <n v="22"/>
    <x v="302"/>
    <n v="27930.1"/>
    <n v="11756.318200000002"/>
    <n v="0.29623026549672354"/>
  </r>
  <r>
    <x v="302"/>
    <x v="268"/>
    <d v="2025-07-08T00:00:00"/>
    <d v="2025-07-08T00:00:00"/>
    <n v="16"/>
    <s v="Q2-2025"/>
    <s v="Europe"/>
    <x v="8"/>
    <s v="London"/>
    <s v="Education"/>
    <s v="Direct"/>
    <s v="A. Patel"/>
    <x v="3"/>
    <n v="7.4056113609333354E-2"/>
    <x v="303"/>
    <n v="892.73"/>
    <n v="979.84"/>
    <s v="Profit"/>
    <n v="0.17399999999999999"/>
    <n v="10"/>
    <x v="303"/>
    <n v="8927.2999999999993"/>
    <n v="-833.82159999999931"/>
    <n v="-0.10302388649112838"/>
  </r>
  <r>
    <x v="303"/>
    <x v="269"/>
    <d v="2024-06-20T00:00:00"/>
    <d v="2024-06-20T00:00:00"/>
    <n v="1"/>
    <s v="Q2-2024"/>
    <s v="Africa"/>
    <x v="0"/>
    <s v="Kisumu"/>
    <s v="Small Business"/>
    <s v="Direct"/>
    <s v="J. Njeri"/>
    <x v="4"/>
    <n v="5.4285564586595669E-2"/>
    <x v="304"/>
    <n v="231.63"/>
    <n v="537.39"/>
    <s v="Profit"/>
    <n v="0.08"/>
    <n v="12"/>
    <x v="304"/>
    <n v="2779.56"/>
    <n v="3153.2256000000002"/>
    <n v="0.53149158129024587"/>
  </r>
  <r>
    <x v="304"/>
    <x v="69"/>
    <d v="2025-04-12T00:00:00"/>
    <d v="2025-04-12T00:00:00"/>
    <n v="3"/>
    <s v="Q2-2025"/>
    <s v="Europe"/>
    <x v="7"/>
    <s v="Lyon"/>
    <s v="Small Business"/>
    <s v="Distributor"/>
    <s v="H. Kim"/>
    <x v="5"/>
    <n v="1.5021812573686542E-2"/>
    <x v="305"/>
    <n v="86.68"/>
    <n v="213.32"/>
    <s v="Profit"/>
    <n v="3.7999999999999999E-2"/>
    <n v="8"/>
    <x v="305"/>
    <n v="693.44"/>
    <n v="948.27071999999976"/>
    <n v="0.57761133459614611"/>
  </r>
  <r>
    <x v="305"/>
    <x v="80"/>
    <d v="2025-03-26T00:00:00"/>
    <d v="2025-03-26T00:00:00"/>
    <n v="1"/>
    <s v="Q1-2025"/>
    <s v="Africa"/>
    <x v="1"/>
    <s v="Lagos"/>
    <s v="Education"/>
    <s v="Distributor"/>
    <s v="G. Dubois"/>
    <x v="6"/>
    <n v="0.39423076432446968"/>
    <x v="306"/>
    <n v="1450.43"/>
    <n v="1994.67"/>
    <s v="Profit"/>
    <n v="0.1"/>
    <n v="24"/>
    <x v="306"/>
    <n v="34810.32"/>
    <n v="8274.5520000000033"/>
    <n v="0.19205237513529116"/>
  </r>
  <r>
    <x v="306"/>
    <x v="270"/>
    <d v="2025-06-09T00:00:00"/>
    <d v="2025-06-09T00:00:00"/>
    <n v="22"/>
    <s v="Q2-2025"/>
    <s v="Americas"/>
    <x v="10"/>
    <s v="New York"/>
    <s v="Consumer"/>
    <s v="Retail"/>
    <s v="H. Kim"/>
    <x v="2"/>
    <n v="3.3345893743361471E-2"/>
    <x v="307"/>
    <n v="382.96"/>
    <n v="552.84"/>
    <s v="Profit"/>
    <n v="0.17599999999999999"/>
    <n v="8"/>
    <x v="307"/>
    <n v="3063.68"/>
    <n v="580.64128000000073"/>
    <n v="0.15932768693763483"/>
  </r>
  <r>
    <x v="307"/>
    <x v="266"/>
    <d v="2025-02-04T00:00:00"/>
    <d v="2025-02-04T00:00:00"/>
    <n v="13"/>
    <s v="Q1-2025"/>
    <s v="Asia"/>
    <x v="2"/>
    <s v="Tokyo"/>
    <s v="Small Business"/>
    <s v="Distributor"/>
    <s v="L. Okafor"/>
    <x v="1"/>
    <n v="4.8814983195759901E-2"/>
    <x v="308"/>
    <n v="122.29"/>
    <n v="224.95"/>
    <s v="Profit"/>
    <n v="0.153"/>
    <n v="28"/>
    <x v="308"/>
    <n v="3424.1200000000003"/>
    <n v="1910.7941999999989"/>
    <n v="0.3581677471026618"/>
  </r>
  <r>
    <x v="308"/>
    <x v="271"/>
    <d v="2023-01-29T00:00:00"/>
    <d v="2023-01-29T00:00:00"/>
    <n v="19"/>
    <s v="Q1-2023"/>
    <s v="Europe"/>
    <x v="7"/>
    <s v="Lyon"/>
    <s v="Non-Profit"/>
    <s v="Direct"/>
    <s v="D. Smith"/>
    <x v="4"/>
    <n v="9.0103164738916386E-2"/>
    <x v="309"/>
    <n v="401.66"/>
    <n v="772.09"/>
    <s v="Profit"/>
    <n v="8.8999999999999996E-2"/>
    <n v="14"/>
    <x v="309"/>
    <n v="5623.2400000000007"/>
    <n v="4223.99586"/>
    <n v="0.42895244107619046"/>
  </r>
  <r>
    <x v="309"/>
    <x v="272"/>
    <d v="2025-01-12T00:00:00"/>
    <d v="2025-01-12T00:00:00"/>
    <n v="14"/>
    <s v="Q4-2024"/>
    <s v="Europe"/>
    <x v="8"/>
    <s v="Manchester"/>
    <s v="Corporate"/>
    <s v="Direct"/>
    <s v="B. Chen"/>
    <x v="5"/>
    <n v="0.2818163472973208"/>
    <x v="310"/>
    <n v="1399.72"/>
    <n v="3149.21"/>
    <s v="Profit"/>
    <n v="0.185"/>
    <n v="12"/>
    <x v="310"/>
    <n v="16796.64"/>
    <n v="14002.633800000003"/>
    <n v="0.45464168703873797"/>
  </r>
  <r>
    <x v="310"/>
    <x v="154"/>
    <d v="2024-06-06T00:00:00"/>
    <d v="2024-06-06T00:00:00"/>
    <n v="14"/>
    <s v="Q2-2024"/>
    <s v="Americas"/>
    <x v="5"/>
    <s v="Rio de Janeiro"/>
    <s v="Non-Profit"/>
    <s v="Online"/>
    <s v="I. Johnson"/>
    <x v="2"/>
    <n v="8.0434697570378154E-3"/>
    <x v="311"/>
    <n v="51.13"/>
    <n v="57.53"/>
    <s v="Profit"/>
    <n v="4.4999999999999998E-2"/>
    <n v="16"/>
    <x v="311"/>
    <n v="818.08"/>
    <n v="60.978399999999965"/>
    <n v="6.9367859973808302E-2"/>
  </r>
  <r>
    <x v="311"/>
    <x v="87"/>
    <d v="2023-06-22T00:00:00"/>
    <d v="2023-07-01T00:00:00"/>
    <n v="7"/>
    <s v="Q2-2023"/>
    <s v="Americas"/>
    <x v="3"/>
    <s v="Toronto"/>
    <s v="Non-Profit"/>
    <s v="Retail"/>
    <s v="M. Rossi"/>
    <x v="6"/>
    <n v="0.10324421345764545"/>
    <x v="312"/>
    <n v="471.42"/>
    <n v="824.81"/>
    <s v="Profit"/>
    <n v="8.7999999999999995E-2"/>
    <n v="15"/>
    <x v="312"/>
    <n v="7071.3"/>
    <n v="4212.1007999999993"/>
    <n v="0.37330064531608231"/>
  </r>
  <r>
    <x v="312"/>
    <x v="273"/>
    <d v="2024-11-05T00:00:00"/>
    <d v="2024-11-05T00:00:00"/>
    <n v="1"/>
    <s v="Q4-2024"/>
    <s v="Europe"/>
    <x v="8"/>
    <s v="London"/>
    <s v="Corporate"/>
    <s v="Retail"/>
    <s v="M. Rossi"/>
    <x v="1"/>
    <n v="0.36898050394396387"/>
    <x v="313"/>
    <n v="840.68"/>
    <n v="1493.53"/>
    <s v="Profit"/>
    <n v="0"/>
    <n v="27"/>
    <x v="313"/>
    <n v="22698.359999999997"/>
    <n v="17626.95"/>
    <n v="0.43711877230454027"/>
  </r>
  <r>
    <x v="313"/>
    <x v="274"/>
    <d v="2024-06-24T00:00:00"/>
    <d v="2024-06-24T00:00:00"/>
    <n v="16"/>
    <s v="Q2-2024"/>
    <s v="Africa"/>
    <x v="11"/>
    <s v="Durban"/>
    <s v="Education"/>
    <s v="Distributor"/>
    <s v="H. Kim"/>
    <x v="5"/>
    <n v="4.604734562591719E-2"/>
    <x v="314"/>
    <n v="597.85"/>
    <n v="741.92"/>
    <s v="Profit"/>
    <n v="3.1E-2"/>
    <n v="7"/>
    <x v="314"/>
    <n v="4184.95"/>
    <n v="847.49335999999948"/>
    <n v="0.16840594108544515"/>
  </r>
  <r>
    <x v="314"/>
    <x v="262"/>
    <d v="2025-06-06T00:00:00"/>
    <d v="2025-06-06T00:00:00"/>
    <n v="5"/>
    <s v="Q2-2025"/>
    <s v="Europe"/>
    <x v="7"/>
    <s v="Paris"/>
    <s v="Consumer"/>
    <s v="Distributor"/>
    <s v="G. Dubois"/>
    <x v="0"/>
    <n v="8.034316823361666E-2"/>
    <x v="315"/>
    <n v="379.45"/>
    <n v="742.23"/>
    <s v="Profit"/>
    <n v="0.09"/>
    <n v="13"/>
    <x v="315"/>
    <n v="4932.8499999999995"/>
    <n v="3847.7309000000014"/>
    <n v="0.43820915083192286"/>
  </r>
  <r>
    <x v="315"/>
    <x v="275"/>
    <d v="2023-05-14T00:00:00"/>
    <d v="2023-05-14T00:00:00"/>
    <n v="8"/>
    <s v="Q2-2023"/>
    <s v="Asia"/>
    <x v="2"/>
    <s v="Osaka"/>
    <s v="Enterprise"/>
    <s v="Marketplace"/>
    <s v="B. Chen"/>
    <x v="3"/>
    <n v="8.2921354689068208E-2"/>
    <x v="316"/>
    <n v="291.18"/>
    <n v="479.54"/>
    <s v="Profit"/>
    <n v="0.14099999999999999"/>
    <n v="22"/>
    <x v="316"/>
    <n v="6405.96"/>
    <n v="2656.3869199999999"/>
    <n v="0.29312350801066001"/>
  </r>
  <r>
    <x v="316"/>
    <x v="276"/>
    <d v="2023-11-30T00:00:00"/>
    <d v="2023-11-30T00:00:00"/>
    <n v="16"/>
    <s v="Q4-2023"/>
    <s v="Americas"/>
    <x v="5"/>
    <s v="São Paulo"/>
    <s v="Enterprise"/>
    <s v="Direct"/>
    <s v="K. Singh"/>
    <x v="2"/>
    <n v="0.149206916933422"/>
    <x v="317"/>
    <n v="1017.92"/>
    <n v="1175.25"/>
    <s v="Profit"/>
    <n v="7.4999999999999997E-2"/>
    <n v="15"/>
    <x v="317"/>
    <n v="15268.8"/>
    <n v="1037.7937500000007"/>
    <n v="6.3642583234159542E-2"/>
  </r>
  <r>
    <x v="317"/>
    <x v="277"/>
    <d v="2025-04-27T00:00:00"/>
    <d v="2025-04-27T00:00:00"/>
    <n v="26"/>
    <s v="Q2-2025"/>
    <s v="Americas"/>
    <x v="10"/>
    <s v="San Francisco"/>
    <s v="Corporate"/>
    <s v="Direct"/>
    <s v="I. Johnson"/>
    <x v="5"/>
    <n v="2.6676688239805114E-2"/>
    <x v="318"/>
    <n v="156.55000000000001"/>
    <n v="227.45"/>
    <s v="Profit"/>
    <n v="1.4E-2"/>
    <n v="13"/>
    <x v="318"/>
    <n v="2035.15"/>
    <n v="880.30409999999983"/>
    <n v="0.3019440779396938"/>
  </r>
  <r>
    <x v="318"/>
    <x v="278"/>
    <d v="2023-04-15T00:00:00"/>
    <d v="2023-04-15T00:00:00"/>
    <n v="23"/>
    <s v="Q1-2023"/>
    <s v="Africa"/>
    <x v="0"/>
    <s v="Mombasa"/>
    <s v="Small Business"/>
    <s v="Retail"/>
    <s v="C. Otieno"/>
    <x v="6"/>
    <n v="0.48526958395917802"/>
    <x v="319"/>
    <n v="875.36"/>
    <n v="1178.6199999999999"/>
    <s v="Profit"/>
    <n v="0.151"/>
    <n v="53"/>
    <x v="319"/>
    <n v="46394.080000000002"/>
    <n v="6640.2841399999888"/>
    <n v="0.12520719815685888"/>
  </r>
  <r>
    <x v="319"/>
    <x v="91"/>
    <d v="2024-06-18T00:00:00"/>
    <d v="2024-06-18T00:00:00"/>
    <n v="21"/>
    <s v="Q2-2024"/>
    <s v="Europe"/>
    <x v="6"/>
    <s v="Frankfurt"/>
    <s v="Small Business"/>
    <s v="Online"/>
    <s v="E. Garcia"/>
    <x v="3"/>
    <n v="0.20478104074807402"/>
    <x v="320"/>
    <n v="986.85"/>
    <n v="2422.1"/>
    <s v="Profit"/>
    <n v="7.5999999999999998E-2"/>
    <n v="10"/>
    <x v="320"/>
    <n v="9868.5"/>
    <n v="12511.704000000002"/>
    <n v="0.55905227673527913"/>
  </r>
  <r>
    <x v="320"/>
    <x v="279"/>
    <d v="2024-01-01T00:00:00"/>
    <d v="2024-01-09T00:00:00"/>
    <n v="7"/>
    <s v="Q1-2024"/>
    <s v="Americas"/>
    <x v="10"/>
    <s v="Chicago"/>
    <s v="Education"/>
    <s v="Marketplace"/>
    <s v="B. Chen"/>
    <x v="2"/>
    <n v="6.8562662465690802E-2"/>
    <x v="321"/>
    <n v="404.77"/>
    <n v="433.88"/>
    <s v="Profit"/>
    <n v="0.215"/>
    <n v="22"/>
    <x v="321"/>
    <n v="8904.9399999999987"/>
    <n v="-1411.8323999999975"/>
    <n v="-0.18841747314558746"/>
  </r>
  <r>
    <x v="321"/>
    <x v="2"/>
    <d v="2023-02-27T00:00:00"/>
    <d v="2023-03-07T00:00:00"/>
    <n v="7"/>
    <s v="Q1-2023"/>
    <s v="Europe"/>
    <x v="7"/>
    <s v="Marseille"/>
    <s v="Corporate"/>
    <s v="Retail"/>
    <s v="K. Singh"/>
    <x v="2"/>
    <n v="0.36185682885333104"/>
    <x v="322"/>
    <n v="1299.81"/>
    <n v="3149.13"/>
    <s v="Profit"/>
    <n v="0.10299999999999999"/>
    <n v="14"/>
    <x v="322"/>
    <n v="18197.34"/>
    <n v="21349.434539999998"/>
    <n v="0.53985273864511729"/>
  </r>
  <r>
    <x v="322"/>
    <x v="142"/>
    <d v="2024-03-11T00:00:00"/>
    <d v="2024-03-11T00:00:00"/>
    <n v="22"/>
    <s v="Q1-2024"/>
    <s v="Americas"/>
    <x v="5"/>
    <s v="São Paulo"/>
    <s v="Consumer"/>
    <s v="Online"/>
    <s v="A. Patel"/>
    <x v="0"/>
    <n v="6.4347399372494413E-3"/>
    <x v="323"/>
    <n v="80.48"/>
    <n v="65.650000000000006"/>
    <s v="Loss"/>
    <n v="0.17599999999999999"/>
    <n v="13"/>
    <x v="323"/>
    <n v="1046.24"/>
    <n v="-342.99719999999991"/>
    <n v="-0.48773652570634191"/>
  </r>
  <r>
    <x v="323"/>
    <x v="191"/>
    <d v="2024-10-08T00:00:00"/>
    <d v="2024-10-08T00:00:00"/>
    <n v="29"/>
    <s v="Q3-2024"/>
    <s v="Americas"/>
    <x v="5"/>
    <s v="São Paulo"/>
    <s v="Education"/>
    <s v="Direct"/>
    <s v="J. Njeri"/>
    <x v="0"/>
    <n v="0.23804388985675548"/>
    <x v="324"/>
    <n v="1010.33"/>
    <n v="2492.14"/>
    <s v="Profit"/>
    <n v="5.0999999999999997E-2"/>
    <n v="11"/>
    <x v="324"/>
    <n v="11113.630000000001"/>
    <n v="14901.819459999995"/>
    <n v="0.57280653493656752"/>
  </r>
  <r>
    <x v="324"/>
    <x v="239"/>
    <d v="2023-05-29T00:00:00"/>
    <d v="2023-05-29T00:00:00"/>
    <n v="22"/>
    <s v="Q2-2023"/>
    <s v="Africa"/>
    <x v="11"/>
    <s v="Durban"/>
    <s v="Education"/>
    <s v="Distributor"/>
    <s v="K. Singh"/>
    <x v="6"/>
    <n v="8.9936746981069002E-2"/>
    <x v="325"/>
    <n v="653.86"/>
    <n v="931.84"/>
    <s v="Profit"/>
    <n v="0.121"/>
    <n v="12"/>
    <x v="325"/>
    <n v="7846.32"/>
    <n v="1982.7283200000002"/>
    <n v="0.20172129136506273"/>
  </r>
  <r>
    <x v="325"/>
    <x v="182"/>
    <d v="2024-01-29T00:00:00"/>
    <d v="2024-01-29T00:00:00"/>
    <n v="17"/>
    <s v="Q1-2024"/>
    <s v="Asia"/>
    <x v="4"/>
    <s v="Hyderabad"/>
    <s v="Small Business"/>
    <s v="Direct"/>
    <s v="B. Chen"/>
    <x v="0"/>
    <n v="2.1721985849025877E-2"/>
    <x v="326"/>
    <n v="310.02"/>
    <n v="619.51"/>
    <s v="Profit"/>
    <n v="4.2000000000000003E-2"/>
    <n v="4"/>
    <x v="326"/>
    <n v="1240.08"/>
    <n v="1133.8823200000002"/>
    <n v="0.47763282106347843"/>
  </r>
  <r>
    <x v="326"/>
    <x v="280"/>
    <d v="2023-06-18T00:00:00"/>
    <d v="2023-06-18T00:00:00"/>
    <n v="8"/>
    <s v="Q2-2023"/>
    <s v="Africa"/>
    <x v="0"/>
    <s v="Nakuru"/>
    <s v="Enterprise"/>
    <s v="Direct"/>
    <s v="H. Kim"/>
    <x v="3"/>
    <n v="3.4768567958308599E-2"/>
    <x v="327"/>
    <n v="894.23"/>
    <n v="1421.55"/>
    <s v="Profit"/>
    <n v="0.109"/>
    <n v="3"/>
    <x v="327"/>
    <n v="2682.69"/>
    <n v="1117.1131499999997"/>
    <n v="0.29399237431549574"/>
  </r>
  <r>
    <x v="327"/>
    <x v="281"/>
    <d v="2025-05-17T00:00:00"/>
    <d v="2025-05-26T00:00:00"/>
    <n v="7"/>
    <s v="Q2-2025"/>
    <s v="Americas"/>
    <x v="5"/>
    <s v="São Paulo"/>
    <s v="Small Business"/>
    <s v="Distributor"/>
    <s v="L. Okafor"/>
    <x v="5"/>
    <n v="5.700274815477125E-2"/>
    <x v="328"/>
    <n v="383.77"/>
    <n v="952.56"/>
    <s v="Profit"/>
    <n v="0.34599999999999997"/>
    <n v="10"/>
    <x v="328"/>
    <n v="3837.7"/>
    <n v="2392.0423999999994"/>
    <n v="0.38397131797937578"/>
  </r>
  <r>
    <x v="328"/>
    <x v="282"/>
    <d v="2023-11-16T00:00:00"/>
    <d v="2023-11-16T00:00:00"/>
    <n v="25"/>
    <s v="Q4-2023"/>
    <s v="Americas"/>
    <x v="3"/>
    <s v="Toronto"/>
    <s v="Small Business"/>
    <s v="Marketplace"/>
    <s v="I. Johnson"/>
    <x v="4"/>
    <n v="0.25397404922730576"/>
    <x v="329"/>
    <n v="1373.31"/>
    <n v="3154.14"/>
    <s v="Profit"/>
    <n v="0.2"/>
    <n v="11"/>
    <x v="329"/>
    <n v="15106.41"/>
    <n v="12650.022000000001"/>
    <n v="0.45575101295440279"/>
  </r>
  <r>
    <x v="329"/>
    <x v="283"/>
    <d v="2025-01-23T00:00:00"/>
    <d v="2025-01-23T00:00:00"/>
    <n v="12"/>
    <s v="Q1-2025"/>
    <s v="Americas"/>
    <x v="10"/>
    <s v="Austin"/>
    <s v="Consumer"/>
    <s v="Distributor"/>
    <s v="H. Kim"/>
    <x v="3"/>
    <n v="2.3216457307740062E-2"/>
    <x v="330"/>
    <n v="100.69"/>
    <n v="226.14"/>
    <s v="Profit"/>
    <n v="6.5000000000000002E-2"/>
    <n v="12"/>
    <x v="330"/>
    <n v="1208.28"/>
    <n v="1329.0108000000002"/>
    <n v="0.52379128162999689"/>
  </r>
  <r>
    <x v="330"/>
    <x v="284"/>
    <d v="2025-09-26T00:00:00"/>
    <d v="2025-09-26T00:00:00"/>
    <n v="12"/>
    <s v="Q3-2025"/>
    <s v="Europe"/>
    <x v="8"/>
    <s v="London"/>
    <s v="Small Business"/>
    <s v="Direct"/>
    <s v="N. Brown"/>
    <x v="2"/>
    <n v="8.0195171451343653E-2"/>
    <x v="331"/>
    <n v="425.15"/>
    <n v="885.92"/>
    <s v="Profit"/>
    <n v="0.23899999999999999"/>
    <n v="13"/>
    <x v="331"/>
    <n v="5526.95"/>
    <n v="3237.4565599999996"/>
    <n v="0.3693868532725848"/>
  </r>
  <r>
    <x v="331"/>
    <x v="52"/>
    <d v="2023-09-03T00:00:00"/>
    <d v="2023-09-03T00:00:00"/>
    <n v="4"/>
    <s v="Q3-2023"/>
    <s v="Asia"/>
    <x v="4"/>
    <s v="Delhi"/>
    <s v="Small Business"/>
    <s v="Marketplace"/>
    <s v="L. Okafor"/>
    <x v="6"/>
    <n v="6.5014668376849549E-2"/>
    <x v="332"/>
    <n v="1082.25"/>
    <n v="2433.34"/>
    <s v="Profit"/>
    <n v="0.27"/>
    <n v="4"/>
    <x v="332"/>
    <n v="4329"/>
    <n v="2776.3528000000006"/>
    <n v="0.3907410199251472"/>
  </r>
  <r>
    <x v="332"/>
    <x v="285"/>
    <d v="2023-12-06T00:00:00"/>
    <d v="2023-12-06T00:00:00"/>
    <n v="21"/>
    <s v="Q4-2023"/>
    <s v="Europe"/>
    <x v="8"/>
    <s v="Manchester"/>
    <s v="Education"/>
    <s v="Direct"/>
    <s v="H. Kim"/>
    <x v="6"/>
    <n v="5.1332890458230862E-2"/>
    <x v="333"/>
    <n v="1184.99"/>
    <n v="1154.3399999999999"/>
    <s v="Loss"/>
    <n v="2.8000000000000001E-2"/>
    <n v="5"/>
    <x v="333"/>
    <n v="5924.95"/>
    <n v="-314.85760000000028"/>
    <n v="-5.6123424990290764E-2"/>
  </r>
  <r>
    <x v="333"/>
    <x v="60"/>
    <d v="2025-05-27T00:00:00"/>
    <d v="2025-05-27T00:00:00"/>
    <n v="30"/>
    <s v="Q2-2025"/>
    <s v="Asia"/>
    <x v="4"/>
    <s v="not provided"/>
    <s v="Enterprise"/>
    <s v="Marketplace"/>
    <s v="H. Kim"/>
    <x v="3"/>
    <n v="4.4436140613349842E-2"/>
    <x v="334"/>
    <n v="481.32"/>
    <n v="1135.99"/>
    <s v="Profit"/>
    <n v="0.14499999999999999"/>
    <n v="5"/>
    <x v="334"/>
    <n v="2406.6"/>
    <n v="2449.7572500000001"/>
    <n v="0.50444337677175621"/>
  </r>
  <r>
    <x v="334"/>
    <x v="286"/>
    <d v="2024-04-18T00:00:00"/>
    <d v="2024-04-18T00:00:00"/>
    <n v="9"/>
    <s v="Q2-2024"/>
    <s v="Europe"/>
    <x v="7"/>
    <s v="Lyon"/>
    <s v="Consumer"/>
    <s v="Online"/>
    <s v="E. Garcia"/>
    <x v="1"/>
    <n v="0.14840858202904803"/>
    <x v="335"/>
    <n v="1288.8499999999999"/>
    <n v="2751.84"/>
    <s v="Profit"/>
    <n v="0.158"/>
    <n v="7"/>
    <x v="335"/>
    <n v="9021.9499999999989"/>
    <n v="7197.3949600000014"/>
    <n v="0.44375373837538756"/>
  </r>
  <r>
    <x v="335"/>
    <x v="287"/>
    <d v="2024-07-31T00:00:00"/>
    <d v="2024-07-31T00:00:00"/>
    <n v="20"/>
    <s v="Q3-2024"/>
    <s v="Asia"/>
    <x v="9"/>
    <s v="Shenzhen"/>
    <s v="Consumer"/>
    <s v="Online"/>
    <s v="G. Dubois"/>
    <x v="3"/>
    <n v="0.25846962518056704"/>
    <x v="336"/>
    <n v="647.26"/>
    <n v="1374.72"/>
    <s v="Profit"/>
    <n v="6.6000000000000003E-2"/>
    <n v="22"/>
    <x v="336"/>
    <n v="14239.72"/>
    <n v="14008.02656"/>
    <n v="0.49589890401508901"/>
  </r>
  <r>
    <x v="336"/>
    <x v="142"/>
    <d v="2024-03-03T00:00:00"/>
    <d v="2024-03-03T00:00:00"/>
    <n v="14"/>
    <s v="Q1-2024"/>
    <s v="Americas"/>
    <x v="5"/>
    <s v="not provided"/>
    <s v="Enterprise"/>
    <s v="Distributor"/>
    <s v="A. Patel"/>
    <x v="1"/>
    <n v="0.35260773278023066"/>
    <x v="337"/>
    <n v="624.23"/>
    <n v="1318.37"/>
    <s v="Profit"/>
    <n v="0.21"/>
    <n v="37"/>
    <x v="337"/>
    <n v="23096.510000000002"/>
    <n v="15439.445099999997"/>
    <n v="0.40065038118128793"/>
  </r>
  <r>
    <x v="337"/>
    <x v="288"/>
    <d v="2023-08-10T00:00:00"/>
    <d v="2023-08-10T00:00:00"/>
    <n v="16"/>
    <s v="Q3-2023"/>
    <s v="Africa"/>
    <x v="1"/>
    <s v="Port Harcourt"/>
    <s v="Corporate"/>
    <s v="Distributor"/>
    <s v="I. Johnson"/>
    <x v="6"/>
    <n v="2.7647033166899232E-2"/>
    <x v="338"/>
    <n v="506.83"/>
    <n v="441.74"/>
    <s v="Loss"/>
    <n v="0.24"/>
    <n v="9"/>
    <x v="338"/>
    <n v="4561.47"/>
    <n v="-1539.9684000000002"/>
    <n v="-0.50966989393618067"/>
  </r>
  <r>
    <x v="338"/>
    <x v="289"/>
    <d v="2023-07-21T00:00:00"/>
    <d v="2023-07-21T00:00:00"/>
    <n v="7"/>
    <s v="Q3-2023"/>
    <s v="Africa"/>
    <x v="11"/>
    <s v="Durban"/>
    <s v="Enterprise"/>
    <s v="Marketplace"/>
    <s v="not provided"/>
    <x v="5"/>
    <n v="0.23887805388802524"/>
    <x v="339"/>
    <n v="620.74"/>
    <n v="1330.07"/>
    <s v="Profit"/>
    <n v="0.29899999999999999"/>
    <n v="28"/>
    <x v="339"/>
    <n v="17380.72"/>
    <n v="8725.8939600000012"/>
    <n v="0.33424073965967516"/>
  </r>
  <r>
    <x v="339"/>
    <x v="245"/>
    <d v="2023-08-19T00:00:00"/>
    <d v="2023-08-19T00:00:00"/>
    <n v="26"/>
    <s v="Q3-2023"/>
    <s v="Africa"/>
    <x v="0"/>
    <s v="Nairobi"/>
    <s v="Enterprise"/>
    <s v="Distributor"/>
    <s v="M. Rossi"/>
    <x v="6"/>
    <n v="0.1561732944425358"/>
    <x v="340"/>
    <n v="661.45"/>
    <n v="1634.86"/>
    <s v="Profit"/>
    <n v="0.56499999999999995"/>
    <n v="24"/>
    <x v="340"/>
    <n v="15874.800000000001"/>
    <n v="1193.1384000000016"/>
    <n v="6.9905244092045793E-2"/>
  </r>
  <r>
    <x v="340"/>
    <x v="290"/>
    <d v="2023-04-11T00:00:00"/>
    <d v="2023-04-20T00:00:00"/>
    <n v="7"/>
    <s v="Q2-2023"/>
    <s v="Americas"/>
    <x v="10"/>
    <s v="San Francisco"/>
    <s v="Education"/>
    <s v="Marketplace"/>
    <s v="G. Dubois"/>
    <x v="2"/>
    <n v="1.0204166377024726E-2"/>
    <x v="341"/>
    <n v="32.1"/>
    <n v="70.599999999999994"/>
    <s v="Profit"/>
    <n v="0.28199999999999997"/>
    <n v="22"/>
    <x v="341"/>
    <n v="706.2"/>
    <n v="408.99759999999969"/>
    <n v="0.36674899587301818"/>
  </r>
  <r>
    <x v="341"/>
    <x v="291"/>
    <d v="2024-11-04T00:00:00"/>
    <d v="2024-11-04T00:00:00"/>
    <n v="6"/>
    <s v="Q4-2024"/>
    <s v="Africa"/>
    <x v="0"/>
    <s v="Nairobi"/>
    <s v="Corporate"/>
    <s v="Distributor"/>
    <s v="M. Rossi"/>
    <x v="1"/>
    <n v="0.18349092411217774"/>
    <x v="342"/>
    <n v="805.81"/>
    <n v="1823.04"/>
    <s v="Profit"/>
    <n v="0"/>
    <n v="11"/>
    <x v="342"/>
    <n v="8863.91"/>
    <n v="11189.529999999999"/>
    <n v="0.55798556257679477"/>
  </r>
  <r>
    <x v="342"/>
    <x v="292"/>
    <d v="2024-03-04T00:00:00"/>
    <d v="2024-03-04T00:00:00"/>
    <n v="16"/>
    <s v="Q1-2024"/>
    <s v="Asia"/>
    <x v="4"/>
    <s v="Delhi"/>
    <s v="Small Business"/>
    <s v="Marketplace"/>
    <s v="F. Müller"/>
    <x v="3"/>
    <n v="8.1791800267656409E-2"/>
    <x v="343"/>
    <n v="1231.8"/>
    <n v="2015.99"/>
    <s v="Profit"/>
    <n v="0.26100000000000001"/>
    <n v="6"/>
    <x v="343"/>
    <n v="7390.7999999999993"/>
    <n v="1548.0996600000017"/>
    <n v="0.17318682599464391"/>
  </r>
  <r>
    <x v="343"/>
    <x v="293"/>
    <d v="2024-07-12T00:00:00"/>
    <d v="2024-07-20T00:00:00"/>
    <n v="7"/>
    <s v="Q3-2024"/>
    <s v="Asia"/>
    <x v="2"/>
    <s v="Nagoya"/>
    <s v="Small Business"/>
    <s v="Marketplace"/>
    <s v="F. Müller"/>
    <x v="2"/>
    <n v="2.9052974690696384E-2"/>
    <x v="344"/>
    <n v="105.13"/>
    <n v="244.13"/>
    <s v="Profit"/>
    <n v="7.0999999999999994E-2"/>
    <n v="14"/>
    <x v="344"/>
    <n v="1471.82"/>
    <n v="1703.3347799999999"/>
    <n v="0.53645724319618837"/>
  </r>
  <r>
    <x v="344"/>
    <x v="294"/>
    <d v="2023-12-18T00:00:00"/>
    <d v="2023-12-18T00:00:00"/>
    <n v="17"/>
    <s v="Q4-2023"/>
    <s v="Asia"/>
    <x v="2"/>
    <s v="Nagoya"/>
    <s v="Small Business"/>
    <s v="Direct"/>
    <s v="N. Brown"/>
    <x v="4"/>
    <n v="0.12478251000845303"/>
    <x v="345"/>
    <n v="1495.79"/>
    <n v="2783.12"/>
    <s v="Profit"/>
    <n v="0.02"/>
    <n v="5"/>
    <x v="345"/>
    <n v="7478.95"/>
    <n v="6158.3379999999988"/>
    <n v="0.45158084217331185"/>
  </r>
  <r>
    <x v="345"/>
    <x v="19"/>
    <d v="2024-08-02T00:00:00"/>
    <d v="2024-08-02T00:00:00"/>
    <n v="8"/>
    <s v="Q3-2024"/>
    <s v="Americas"/>
    <x v="3"/>
    <s v="Montreal"/>
    <s v="Consumer"/>
    <s v="Direct"/>
    <s v="J. Njeri"/>
    <x v="6"/>
    <n v="0.72361262169346885"/>
    <x v="346"/>
    <n v="986.81"/>
    <n v="2050.31"/>
    <s v="Profit"/>
    <n v="0.10299999999999999"/>
    <n v="43"/>
    <x v="346"/>
    <n v="42432.829999999994"/>
    <n v="36649.677010000007"/>
    <n v="0.46343595310358138"/>
  </r>
  <r>
    <x v="346"/>
    <x v="177"/>
    <d v="2023-05-16T00:00:00"/>
    <d v="2023-05-16T00:00:00"/>
    <n v="12"/>
    <s v="Q2-2023"/>
    <s v="Africa"/>
    <x v="1"/>
    <s v="Abuja"/>
    <s v="Small Business"/>
    <s v="Marketplace"/>
    <s v="J. Njeri"/>
    <x v="3"/>
    <n v="2.019243438186934E-2"/>
    <x v="347"/>
    <n v="77.739999999999995"/>
    <n v="147.12"/>
    <s v="Profit"/>
    <n v="0"/>
    <n v="15"/>
    <x v="347"/>
    <n v="1166.0999999999999"/>
    <n v="1040.7000000000003"/>
    <n v="0.47158781946710177"/>
  </r>
  <r>
    <x v="347"/>
    <x v="295"/>
    <d v="2024-01-06T00:00:00"/>
    <d v="2024-01-06T00:00:00"/>
    <n v="16"/>
    <s v="Q4-2023"/>
    <s v="Africa"/>
    <x v="1"/>
    <s v="not provided"/>
    <s v="Corporate"/>
    <s v="Marketplace"/>
    <s v="K. Singh"/>
    <x v="0"/>
    <n v="0.24850651921086625"/>
    <x v="348"/>
    <n v="932.61"/>
    <n v="1982.98"/>
    <s v="Profit"/>
    <n v="0.14399999999999999"/>
    <n v="16"/>
    <x v="348"/>
    <n v="14921.76"/>
    <n v="12237.134079999998"/>
    <n v="0.45057556629345635"/>
  </r>
  <r>
    <x v="348"/>
    <x v="296"/>
    <d v="2025-07-05T00:00:00"/>
    <d v="2025-07-05T00:00:00"/>
    <n v="18"/>
    <s v="Q2-2025"/>
    <s v="Asia"/>
    <x v="4"/>
    <s v="Delhi"/>
    <s v="Consumer"/>
    <s v="Marketplace"/>
    <s v="L. Okafor"/>
    <x v="4"/>
    <n v="0.11196859135384432"/>
    <x v="349"/>
    <n v="982.93"/>
    <n v="2299.3000000000002"/>
    <s v="Profit"/>
    <n v="0.113"/>
    <n v="6"/>
    <x v="349"/>
    <n v="5897.58"/>
    <n v="6339.2946000000011"/>
    <n v="0.51804850562087157"/>
  </r>
  <r>
    <x v="349"/>
    <x v="29"/>
    <d v="2023-03-08T00:00:00"/>
    <d v="2023-03-08T00:00:00"/>
    <n v="13"/>
    <s v="Q1-2023"/>
    <s v="Europe"/>
    <x v="8"/>
    <s v="Manchester"/>
    <s v="Small Business"/>
    <s v="Direct"/>
    <s v="C. Otieno"/>
    <x v="1"/>
    <n v="3.7808498968574508E-2"/>
    <x v="350"/>
    <n v="307.37"/>
    <n v="462.61"/>
    <s v="Profit"/>
    <n v="0.188"/>
    <n v="11"/>
    <x v="350"/>
    <n v="3381.07"/>
    <n v="750.9625200000005"/>
    <n v="0.18174167709599739"/>
  </r>
  <r>
    <x v="350"/>
    <x v="297"/>
    <d v="2023-12-16T00:00:00"/>
    <d v="2023-12-16T00:00:00"/>
    <n v="14"/>
    <s v="Q4-2023"/>
    <s v="Europe"/>
    <x v="6"/>
    <s v="Frankfurt"/>
    <s v="Education"/>
    <s v="Direct"/>
    <s v="N. Brown"/>
    <x v="5"/>
    <n v="0.15085973613030468"/>
    <x v="351"/>
    <n v="879.08"/>
    <n v="1093.3900000000001"/>
    <s v="Profit"/>
    <n v="0.113"/>
    <n v="17"/>
    <x v="351"/>
    <n v="14944.36"/>
    <n v="1542.8678099999997"/>
    <n v="9.3579577341935186E-2"/>
  </r>
  <r>
    <x v="351"/>
    <x v="289"/>
    <d v="2023-07-14T00:00:00"/>
    <d v="2023-07-14T00:00:00"/>
    <n v="0"/>
    <s v="Q3-2023"/>
    <s v="Africa"/>
    <x v="1"/>
    <s v="Lagos"/>
    <s v="Education"/>
    <s v="Retail"/>
    <s v="I. Johnson"/>
    <x v="6"/>
    <n v="0.24295889674709001"/>
    <x v="352"/>
    <n v="956.38"/>
    <n v="1454.22"/>
    <s v="Profit"/>
    <n v="3.9E-2"/>
    <n v="19"/>
    <x v="352"/>
    <n v="18171.22"/>
    <n v="8381.3829799999985"/>
    <n v="0.31565202802576603"/>
  </r>
  <r>
    <x v="352"/>
    <x v="298"/>
    <d v="2024-08-20T00:00:00"/>
    <d v="2024-08-20T00:00:00"/>
    <n v="12"/>
    <s v="Q3-2024"/>
    <s v="Asia"/>
    <x v="2"/>
    <s v="Osaka"/>
    <s v="Small Business"/>
    <s v="Retail"/>
    <s v="H. Kim"/>
    <x v="2"/>
    <n v="0.3185786395303809"/>
    <x v="353"/>
    <n v="1233.3599999999999"/>
    <n v="2120.4"/>
    <s v="Profit"/>
    <n v="0.17899999999999999"/>
    <n v="20"/>
    <x v="353"/>
    <n v="24667.199999999997"/>
    <n v="10149.768000000004"/>
    <n v="0.29151785991244278"/>
  </r>
  <r>
    <x v="353"/>
    <x v="299"/>
    <d v="2024-11-26T00:00:00"/>
    <d v="2024-11-26T00:00:00"/>
    <n v="19"/>
    <s v="Q4-2024"/>
    <s v="Americas"/>
    <x v="5"/>
    <s v="Rio de Janeiro"/>
    <s v="Non-Profit"/>
    <s v="Distributor"/>
    <s v="J. Njeri"/>
    <x v="1"/>
    <n v="1.0267228846555202E-2"/>
    <x v="354"/>
    <n v="55.35"/>
    <n v="128.68"/>
    <s v="Profit"/>
    <n v="0.128"/>
    <n v="10"/>
    <x v="354"/>
    <n v="553.5"/>
    <n v="568.58960000000025"/>
    <n v="0.50672388372550647"/>
  </r>
  <r>
    <x v="354"/>
    <x v="300"/>
    <d v="2024-01-27T00:00:00"/>
    <d v="2024-01-27T00:00:00"/>
    <n v="26"/>
    <s v="Q1-2024"/>
    <s v="Europe"/>
    <x v="8"/>
    <s v="Manchester"/>
    <s v="Education"/>
    <s v="Distributor"/>
    <s v="D. Smith"/>
    <x v="6"/>
    <n v="0.21223667056605033"/>
    <x v="355"/>
    <n v="657.45"/>
    <n v="1325.96"/>
    <s v="Profit"/>
    <n v="0.16700000000000001"/>
    <n v="21"/>
    <x v="355"/>
    <n v="13806.45"/>
    <n v="9388.5682799999995"/>
    <n v="0.40476658249048808"/>
  </r>
  <r>
    <x v="355"/>
    <x v="301"/>
    <d v="2025-09-11T00:00:00"/>
    <d v="2025-09-11T00:00:00"/>
    <n v="28"/>
    <s v="Q3-2025"/>
    <s v="Americas"/>
    <x v="5"/>
    <s v="São Paulo"/>
    <s v="Non-Profit"/>
    <s v="Direct"/>
    <s v="F. Müller"/>
    <x v="1"/>
    <n v="0.40176191648226217"/>
    <x v="356"/>
    <n v="1203.02"/>
    <n v="2439.33"/>
    <s v="Profit"/>
    <n v="0"/>
    <n v="18"/>
    <x v="356"/>
    <n v="21654.36"/>
    <n v="22253.58"/>
    <n v="0.50682359500354612"/>
  </r>
  <r>
    <x v="356"/>
    <x v="149"/>
    <d v="2024-04-21T00:00:00"/>
    <d v="2024-04-21T00:00:00"/>
    <n v="18"/>
    <s v="Q2-2024"/>
    <s v="Americas"/>
    <x v="5"/>
    <s v="Brasília"/>
    <s v="Small Business"/>
    <s v="Distributor"/>
    <s v="B. Chen"/>
    <x v="2"/>
    <n v="0.45143387215644765"/>
    <x v="357"/>
    <n v="1176.69"/>
    <n v="2201.54"/>
    <s v="Profit"/>
    <n v="0.17"/>
    <n v="27"/>
    <x v="357"/>
    <n v="31770.63"/>
    <n v="17565.881399999995"/>
    <n v="0.35604222717701106"/>
  </r>
  <r>
    <x v="357"/>
    <x v="302"/>
    <d v="2024-12-07T00:00:00"/>
    <d v="2024-12-07T00:00:00"/>
    <n v="12"/>
    <s v="Q4-2024"/>
    <s v="Asia"/>
    <x v="9"/>
    <s v="Shanghai"/>
    <s v="Corporate"/>
    <s v="Distributor"/>
    <s v="A. Patel"/>
    <x v="6"/>
    <n v="3.7257365559224022E-2"/>
    <x v="358"/>
    <n v="769.9"/>
    <n v="814.36"/>
    <s v="Profit"/>
    <n v="0"/>
    <n v="5"/>
    <x v="358"/>
    <n v="3849.5"/>
    <n v="222.30000000000018"/>
    <n v="5.4595019401738831E-2"/>
  </r>
  <r>
    <x v="358"/>
    <x v="303"/>
    <d v="2024-02-03T00:00:00"/>
    <d v="2024-02-03T00:00:00"/>
    <n v="16"/>
    <s v="Q1-2024"/>
    <s v="Africa"/>
    <x v="11"/>
    <s v="Cape Town"/>
    <s v="Non-Profit"/>
    <s v="Distributor"/>
    <s v="L. Okafor"/>
    <x v="1"/>
    <n v="0.1355470861633149"/>
    <x v="359"/>
    <n v="666.23"/>
    <n v="1382.91"/>
    <s v="Profit"/>
    <n v="0.17599999999999999"/>
    <n v="13"/>
    <x v="359"/>
    <n v="8660.99"/>
    <n v="6152.7419200000022"/>
    <n v="0.41534043907553048"/>
  </r>
  <r>
    <x v="359"/>
    <x v="304"/>
    <d v="2024-06-25T00:00:00"/>
    <d v="2024-06-25T00:00:00"/>
    <n v="2"/>
    <s v="Q2-2024"/>
    <s v="Europe"/>
    <x v="8"/>
    <s v="Birmingham"/>
    <s v="Small Business"/>
    <s v="Marketplace"/>
    <s v="L. Okafor"/>
    <x v="6"/>
    <n v="0.32178828132695608"/>
    <x v="360"/>
    <n v="951.44"/>
    <n v="1646.43"/>
    <s v="Profit"/>
    <n v="0.11"/>
    <n v="24"/>
    <x v="360"/>
    <n v="22834.560000000001"/>
    <n v="12333.184799999999"/>
    <n v="0.35069592520473475"/>
  </r>
  <r>
    <x v="360"/>
    <x v="305"/>
    <d v="2025-07-10T00:00:00"/>
    <d v="2025-07-10T00:00:00"/>
    <n v="15"/>
    <s v="Q2-2025"/>
    <s v="Europe"/>
    <x v="8"/>
    <s v="Birmingham"/>
    <s v="Non-Profit"/>
    <s v="Marketplace"/>
    <s v="D. Smith"/>
    <x v="3"/>
    <n v="4.396135113103828E-2"/>
    <x v="361"/>
    <n v="546.83000000000004"/>
    <n v="400.84"/>
    <s v="Loss"/>
    <n v="7.8E-2"/>
    <n v="13"/>
    <x v="361"/>
    <n v="7108.7900000000009"/>
    <n v="-2304.3217600000007"/>
    <n v="-0.47962056254533608"/>
  </r>
  <r>
    <x v="361"/>
    <x v="306"/>
    <d v="2023-07-08T00:00:00"/>
    <d v="2023-07-08T00:00:00"/>
    <n v="7"/>
    <s v="Q3-2023"/>
    <s v="Africa"/>
    <x v="1"/>
    <s v="Port Harcourt"/>
    <s v="Corporate"/>
    <s v="Retail"/>
    <s v="A. Patel"/>
    <x v="4"/>
    <n v="0.75501762638502723"/>
    <x v="362"/>
    <n v="834.26"/>
    <n v="1780.56"/>
    <s v="Profit"/>
    <n v="1.4E-2"/>
    <n v="47"/>
    <x v="362"/>
    <n v="39210.22"/>
    <n v="43304.491519999996"/>
    <n v="0.5248093427497933"/>
  </r>
  <r>
    <x v="362"/>
    <x v="307"/>
    <d v="2024-03-26T00:00:00"/>
    <d v="2024-03-26T00:00:00"/>
    <n v="17"/>
    <s v="Q1-2024"/>
    <s v="Asia"/>
    <x v="9"/>
    <s v="Shenzhen"/>
    <s v="Enterprise"/>
    <s v="Online"/>
    <s v="K. Singh"/>
    <x v="5"/>
    <n v="6.7051485125611265E-2"/>
    <x v="363"/>
    <n v="1029.67"/>
    <n v="1118.43"/>
    <s v="Profit"/>
    <n v="0.27200000000000002"/>
    <n v="9"/>
    <x v="363"/>
    <n v="9267.0300000000007"/>
    <n v="-1939.0766400000002"/>
    <n v="-0.26461367106736061"/>
  </r>
  <r>
    <x v="363"/>
    <x v="308"/>
    <d v="2023-06-28T00:00:00"/>
    <d v="2023-06-28T00:00:00"/>
    <n v="23"/>
    <s v="Q2-2023"/>
    <s v="Europe"/>
    <x v="8"/>
    <s v="Birmingham"/>
    <s v="Corporate"/>
    <s v="Direct"/>
    <s v="K. Singh"/>
    <x v="1"/>
    <n v="0.11636463145233938"/>
    <x v="364"/>
    <n v="605.82000000000005"/>
    <n v="771.12"/>
    <s v="Profit"/>
    <n v="0.13200000000000001"/>
    <n v="19"/>
    <x v="364"/>
    <n v="11510.580000000002"/>
    <n v="1206.7310399999988"/>
    <n v="9.4888851597986767E-2"/>
  </r>
  <r>
    <x v="364"/>
    <x v="309"/>
    <d v="2025-04-09T00:00:00"/>
    <d v="2025-04-09T00:00:00"/>
    <n v="19"/>
    <s v="Q1-2025"/>
    <s v="Asia"/>
    <x v="2"/>
    <s v="Tokyo"/>
    <s v="Small Business"/>
    <s v="Distributor"/>
    <s v="E. Garcia"/>
    <x v="0"/>
    <n v="0.19750204257538534"/>
    <x v="365"/>
    <n v="1055.45"/>
    <n v="1210.04"/>
    <s v="Profit"/>
    <n v="8.9999999999999993E-3"/>
    <n v="18"/>
    <x v="365"/>
    <n v="18998.100000000002"/>
    <n v="2586.5935199999985"/>
    <n v="0.1198346188053727"/>
  </r>
  <r>
    <x v="365"/>
    <x v="101"/>
    <d v="2024-06-15T00:00:00"/>
    <d v="2024-06-15T00:00:00"/>
    <n v="13"/>
    <s v="Q2-2024"/>
    <s v="Africa"/>
    <x v="0"/>
    <s v="Mombasa"/>
    <s v="Education"/>
    <s v="Online"/>
    <s v="O. Wang"/>
    <x v="3"/>
    <n v="0.17885996771359042"/>
    <x v="366"/>
    <n v="1295.18"/>
    <n v="3024.03"/>
    <s v="Profit"/>
    <n v="0.192"/>
    <n v="8"/>
    <x v="366"/>
    <n v="10361.44"/>
    <n v="9185.8899200000033"/>
    <n v="0.46993067378483178"/>
  </r>
  <r>
    <x v="366"/>
    <x v="310"/>
    <d v="2025-03-29T00:00:00"/>
    <d v="2025-03-29T00:00:00"/>
    <n v="14"/>
    <s v="Q1-2025"/>
    <s v="Asia"/>
    <x v="4"/>
    <s v="Mumbai"/>
    <s v="Enterprise"/>
    <s v="Direct"/>
    <s v="C. Otieno"/>
    <x v="0"/>
    <n v="0.16977429072850067"/>
    <x v="367"/>
    <n v="935.83"/>
    <n v="2303.46"/>
    <s v="Profit"/>
    <n v="0.105"/>
    <n v="9"/>
    <x v="367"/>
    <n v="8422.4700000000012"/>
    <n v="10131.900299999998"/>
    <n v="0.54606543559174292"/>
  </r>
  <r>
    <x v="367"/>
    <x v="199"/>
    <d v="2023-10-09T00:00:00"/>
    <d v="2023-10-09T00:00:00"/>
    <n v="14"/>
    <s v="Q3-2023"/>
    <s v="Americas"/>
    <x v="10"/>
    <s v="New York"/>
    <s v="Small Business"/>
    <s v="Marketplace"/>
    <s v="J. Njeri"/>
    <x v="4"/>
    <n v="0.12613030101786968"/>
    <x v="368"/>
    <n v="1279.56"/>
    <n v="3083.8"/>
    <s v="Profit"/>
    <n v="0.106"/>
    <n v="5"/>
    <x v="368"/>
    <n v="6397.7999999999993"/>
    <n v="7386.7860000000019"/>
    <n v="0.53587289455047848"/>
  </r>
  <r>
    <x v="368"/>
    <x v="35"/>
    <d v="2025-07-23T00:00:00"/>
    <d v="2025-07-23T00:00:00"/>
    <n v="29"/>
    <s v="Q2-2025"/>
    <s v="Americas"/>
    <x v="3"/>
    <s v="Vancouver"/>
    <s v="Non-Profit"/>
    <s v="Marketplace"/>
    <s v="I. Johnson"/>
    <x v="1"/>
    <n v="4.1812042355955432E-2"/>
    <x v="369"/>
    <n v="255.4"/>
    <n v="322.70999999999998"/>
    <s v="Profit"/>
    <n v="0.115"/>
    <n v="16"/>
    <x v="369"/>
    <n v="4086.4"/>
    <n v="483.17359999999962"/>
    <n v="0.10573713048412212"/>
  </r>
  <r>
    <x v="369"/>
    <x v="311"/>
    <d v="2024-01-03T00:00:00"/>
    <d v="2024-01-03T00:00:00"/>
    <n v="8"/>
    <s v="Q4-2023"/>
    <s v="Europe"/>
    <x v="7"/>
    <s v="Lyon"/>
    <s v="Small Business"/>
    <s v="Retail"/>
    <s v="M. Rossi"/>
    <x v="4"/>
    <n v="3.7819648910952776E-2"/>
    <x v="370"/>
    <n v="492.75"/>
    <n v="731.29"/>
    <s v="Profit"/>
    <n v="5.8000000000000003E-2"/>
    <n v="6"/>
    <x v="370"/>
    <n v="2956.5"/>
    <n v="1176.75108"/>
    <n v="0.28470350753528384"/>
  </r>
  <r>
    <x v="370"/>
    <x v="312"/>
    <d v="2023-02-28T00:00:00"/>
    <d v="2023-02-28T00:00:00"/>
    <n v="23"/>
    <s v="Q1-2023"/>
    <s v="Americas"/>
    <x v="10"/>
    <s v="Austin"/>
    <s v="Non-Profit"/>
    <s v="Distributor"/>
    <s v="L. Okafor"/>
    <x v="3"/>
    <n v="0.15439370668875893"/>
    <x v="371"/>
    <n v="1214.49"/>
    <n v="1533.95"/>
    <s v="Profit"/>
    <n v="0"/>
    <n v="11"/>
    <x v="371"/>
    <n v="13359.39"/>
    <n v="3514.0600000000013"/>
    <n v="0.20825972163369086"/>
  </r>
  <r>
    <x v="371"/>
    <x v="89"/>
    <d v="2023-04-08T00:00:00"/>
    <d v="2023-04-08T00:00:00"/>
    <n v="2"/>
    <s v="Q2-2023"/>
    <s v="Africa"/>
    <x v="1"/>
    <s v="Abuja"/>
    <s v="Small Business"/>
    <s v="Marketplace"/>
    <s v="K. Singh"/>
    <x v="5"/>
    <n v="0.29536810727654678"/>
    <x v="372"/>
    <n v="720.35"/>
    <n v="1571.66"/>
    <s v="Profit"/>
    <n v="0.107"/>
    <n v="23"/>
    <x v="372"/>
    <n v="16568.05"/>
    <n v="15712.274740000001"/>
    <n v="0.4867446305622265"/>
  </r>
  <r>
    <x v="372"/>
    <x v="254"/>
    <d v="2025-04-10T00:00:00"/>
    <d v="2025-04-10T00:00:00"/>
    <n v="6"/>
    <s v="Q2-2025"/>
    <s v="Europe"/>
    <x v="8"/>
    <s v="Birmingham"/>
    <s v="Non-Profit"/>
    <s v="Direct"/>
    <s v="N. Brown"/>
    <x v="1"/>
    <n v="3.767541574663788E-2"/>
    <x v="373"/>
    <n v="290.14"/>
    <n v="250.73"/>
    <s v="Loss"/>
    <n v="3.4000000000000002E-2"/>
    <n v="17"/>
    <x v="373"/>
    <n v="4932.38"/>
    <n v="-814.89194000000043"/>
    <n v="-0.19790997038131072"/>
  </r>
  <r>
    <x v="373"/>
    <x v="313"/>
    <d v="2024-05-27T00:00:00"/>
    <d v="2024-05-27T00:00:00"/>
    <n v="10"/>
    <s v="Q2-2024"/>
    <s v="Americas"/>
    <x v="10"/>
    <s v="Austin"/>
    <s v="Non-Profit"/>
    <s v="Online"/>
    <s v="C. Otieno"/>
    <x v="3"/>
    <n v="0.28370102830886651"/>
    <x v="374"/>
    <n v="1484.23"/>
    <n v="3472.81"/>
    <s v="Profit"/>
    <n v="0.25600000000000001"/>
    <n v="12"/>
    <x v="374"/>
    <n v="17810.760000000002"/>
    <n v="13194.487679999998"/>
    <n v="0.42555659661803413"/>
  </r>
  <r>
    <x v="374"/>
    <x v="314"/>
    <d v="2024-03-19T00:00:00"/>
    <d v="2024-03-19T00:00:00"/>
    <n v="16"/>
    <s v="Q1-2024"/>
    <s v="Asia"/>
    <x v="9"/>
    <s v="Beijing"/>
    <s v="Consumer"/>
    <s v="Distributor"/>
    <s v="G. Dubois"/>
    <x v="3"/>
    <n v="0.35156523677511292"/>
    <x v="375"/>
    <n v="988.83"/>
    <n v="1206.04"/>
    <s v="Profit"/>
    <n v="6.3E-2"/>
    <n v="34"/>
    <x v="375"/>
    <n v="33620.22"/>
    <n v="4801.8023200000025"/>
    <n v="0.12497526236406606"/>
  </r>
  <r>
    <x v="375"/>
    <x v="232"/>
    <d v="2025-07-11T00:00:00"/>
    <d v="2025-07-11T00:00:00"/>
    <n v="14"/>
    <s v="Q2-2025"/>
    <s v="Asia"/>
    <x v="9"/>
    <s v="Shanghai"/>
    <s v="Small Business"/>
    <s v="Marketplace"/>
    <s v="L. Okafor"/>
    <x v="2"/>
    <n v="0.39851869254814742"/>
    <x v="376"/>
    <n v="1227.7"/>
    <n v="2197.23"/>
    <s v="Profit"/>
    <n v="9.9000000000000005E-2"/>
    <n v="22"/>
    <x v="376"/>
    <n v="27009.4"/>
    <n v="16544.093059999999"/>
    <n v="0.37985685871873898"/>
  </r>
  <r>
    <x v="376"/>
    <x v="315"/>
    <d v="2023-04-04T00:00:00"/>
    <d v="2023-04-04T00:00:00"/>
    <n v="22"/>
    <s v="Q1-2023"/>
    <s v="Africa"/>
    <x v="11"/>
    <s v="Durban"/>
    <s v="Small Business"/>
    <s v="Retail"/>
    <s v="A. Patel"/>
    <x v="0"/>
    <n v="0.1404421198555951"/>
    <x v="377"/>
    <n v="1113.7"/>
    <n v="1620.6"/>
    <s v="Profit"/>
    <n v="0.13900000000000001"/>
    <n v="11"/>
    <x v="377"/>
    <n v="12250.7"/>
    <n v="3098.002599999998"/>
    <n v="0.20184133348182787"/>
  </r>
  <r>
    <x v="377"/>
    <x v="316"/>
    <d v="2025-01-20T00:00:00"/>
    <d v="2025-01-20T00:00:00"/>
    <n v="13"/>
    <s v="Q1-2025"/>
    <s v="Africa"/>
    <x v="11"/>
    <s v="Cape Town"/>
    <s v="Corporate"/>
    <s v="Direct"/>
    <s v="K. Singh"/>
    <x v="2"/>
    <n v="6.0173774345366859E-2"/>
    <x v="378"/>
    <n v="432.13"/>
    <n v="1034.6600000000001"/>
    <s v="Profit"/>
    <n v="9.1999999999999998E-2"/>
    <n v="7"/>
    <x v="378"/>
    <n v="3024.91"/>
    <n v="3551.3889600000011"/>
    <n v="0.54002851476204794"/>
  </r>
  <r>
    <x v="378"/>
    <x v="317"/>
    <d v="2025-02-15T00:00:00"/>
    <d v="2025-02-15T00:00:00"/>
    <n v="9"/>
    <s v="Q1-2025"/>
    <s v="Americas"/>
    <x v="5"/>
    <s v="São Paulo"/>
    <s v="Non-Profit"/>
    <s v="Distributor"/>
    <s v="F. Müller"/>
    <x v="2"/>
    <n v="0.30378357368405079"/>
    <x v="379"/>
    <n v="837.39"/>
    <n v="1905.42"/>
    <s v="Profit"/>
    <n v="3.2000000000000001E-2"/>
    <n v="18"/>
    <x v="379"/>
    <n v="15073.02"/>
    <n v="18127.018079999998"/>
    <n v="0.54599389423350919"/>
  </r>
  <r>
    <x v="379"/>
    <x v="318"/>
    <d v="2025-02-17T00:00:00"/>
    <d v="2025-02-17T00:00:00"/>
    <n v="17"/>
    <s v="Q1-2025"/>
    <s v="Europe"/>
    <x v="8"/>
    <s v="London"/>
    <s v="Enterprise"/>
    <s v="Retail"/>
    <s v="H. Kim"/>
    <x v="0"/>
    <n v="0.10369020932275691"/>
    <x v="78"/>
    <n v="378.26"/>
    <n v="541.55999999999995"/>
    <s v="Profit"/>
    <n v="0.16300000000000001"/>
    <n v="25"/>
    <x v="380"/>
    <n v="9456.5"/>
    <n v="1875.6429999999982"/>
    <n v="0.16551529573885526"/>
  </r>
  <r>
    <x v="380"/>
    <x v="83"/>
    <d v="2025-09-06T00:00:00"/>
    <d v="2025-09-06T00:00:00"/>
    <n v="30"/>
    <s v="Q3-2025"/>
    <s v="Americas"/>
    <x v="3"/>
    <s v="Montreal"/>
    <s v="Education"/>
    <s v="Direct"/>
    <s v="M. Rossi"/>
    <x v="2"/>
    <n v="0.11786329438755419"/>
    <x v="380"/>
    <n v="833.73"/>
    <n v="1116.5999999999999"/>
    <s v="Profit"/>
    <n v="0.17599999999999999"/>
    <n v="14"/>
    <x v="381"/>
    <n v="11672.220000000001"/>
    <n v="1208.877599999998"/>
    <n v="9.3848958958279924E-2"/>
  </r>
  <r>
    <x v="381"/>
    <x v="319"/>
    <d v="2025-08-17T00:00:00"/>
    <d v="2025-08-17T00:00:00"/>
    <n v="25"/>
    <s v="Q3-2025"/>
    <s v="Europe"/>
    <x v="8"/>
    <s v="Birmingham"/>
    <s v="Education"/>
    <s v="Online"/>
    <s v="I. Johnson"/>
    <x v="1"/>
    <n v="0.34369851102655569"/>
    <x v="381"/>
    <n v="1142.06"/>
    <n v="1455"/>
    <s v="Profit"/>
    <n v="7.8E-2"/>
    <n v="28"/>
    <x v="382"/>
    <n v="31977.68"/>
    <n v="5584.5999999999985"/>
    <n v="0.1486757459877302"/>
  </r>
  <r>
    <x v="382"/>
    <x v="264"/>
    <d v="2023-07-08T00:00:00"/>
    <d v="2023-07-08T00:00:00"/>
    <n v="18"/>
    <s v="Q2-2023"/>
    <s v="Americas"/>
    <x v="10"/>
    <s v="New York"/>
    <s v="Consumer"/>
    <s v="Marketplace"/>
    <s v="O. Wang"/>
    <x v="2"/>
    <n v="0.43639899617206768"/>
    <x v="382"/>
    <n v="1145.53"/>
    <n v="1278.3"/>
    <s v="Profit"/>
    <n v="0.09"/>
    <n v="41"/>
    <x v="383"/>
    <n v="46966.729999999996"/>
    <n v="726.64300000000367"/>
    <n v="1.5235722581416158E-2"/>
  </r>
  <r>
    <x v="383"/>
    <x v="320"/>
    <d v="2024-08-07T00:00:00"/>
    <d v="2024-08-07T00:00:00"/>
    <n v="20"/>
    <s v="Q3-2024"/>
    <s v="Europe"/>
    <x v="7"/>
    <s v="Marseille"/>
    <s v="Corporate"/>
    <s v="Retail"/>
    <s v="F. Müller"/>
    <x v="5"/>
    <n v="0.1396077671493223"/>
    <x v="383"/>
    <n v="941.35"/>
    <n v="899.83"/>
    <s v="Loss"/>
    <n v="5.8000000000000003E-2"/>
    <n v="18"/>
    <x v="384"/>
    <n v="16944.3"/>
    <n v="-1686.7825199999988"/>
    <n v="-0.11055419220139073"/>
  </r>
  <r>
    <x v="384"/>
    <x v="72"/>
    <d v="2023-06-19T00:00:00"/>
    <d v="2023-06-19T00:00:00"/>
    <n v="30"/>
    <s v="Q2-2023"/>
    <s v="Asia"/>
    <x v="4"/>
    <s v="Delhi"/>
    <s v="Non-Profit"/>
    <s v="Marketplace"/>
    <s v="H. Kim"/>
    <x v="4"/>
    <n v="0.2018960727635413"/>
    <x v="384"/>
    <n v="1161.2"/>
    <n v="878.73"/>
    <s v="Loss"/>
    <n v="0.19"/>
    <n v="31"/>
    <x v="385"/>
    <n v="35997.200000000004"/>
    <n v="-13932.289700000001"/>
    <n v="-0.63142290227212028"/>
  </r>
  <r>
    <x v="385"/>
    <x v="321"/>
    <d v="2025-05-26T00:00:00"/>
    <d v="2025-05-26T00:00:00"/>
    <n v="14"/>
    <s v="Q2-2025"/>
    <s v="Asia"/>
    <x v="4"/>
    <s v="Hyderabad"/>
    <s v="Corporate"/>
    <s v="Marketplace"/>
    <s v="G. Dubois"/>
    <x v="1"/>
    <n v="8.7720204024164861E-2"/>
    <x v="385"/>
    <n v="320.12"/>
    <n v="594.41999999999996"/>
    <s v="Profit"/>
    <n v="0.104"/>
    <n v="18"/>
    <x v="386"/>
    <n v="5762.16"/>
    <n v="3824.6457599999994"/>
    <n v="0.39894891538931104"/>
  </r>
  <r>
    <x v="386"/>
    <x v="322"/>
    <d v="2024-05-12T00:00:00"/>
    <d v="2024-05-12T00:00:00"/>
    <n v="5"/>
    <s v="Q2-2024"/>
    <s v="Africa"/>
    <x v="1"/>
    <s v="Abuja"/>
    <s v="Non-Profit"/>
    <s v="Distributor"/>
    <s v="L. Okafor"/>
    <x v="4"/>
    <n v="0.18092818960877866"/>
    <x v="386"/>
    <n v="1163.99"/>
    <n v="1617.85"/>
    <s v="Profit"/>
    <n v="0.127"/>
    <n v="14"/>
    <x v="387"/>
    <n v="16295.86"/>
    <n v="3477.5026999999973"/>
    <n v="0.17586804797749436"/>
  </r>
  <r>
    <x v="387"/>
    <x v="323"/>
    <d v="2023-10-03T00:00:00"/>
    <d v="2023-10-03T00:00:00"/>
    <n v="3"/>
    <s v="Q3-2023"/>
    <s v="Asia"/>
    <x v="9"/>
    <s v="Beijing"/>
    <s v="Non-Profit"/>
    <s v="Retail"/>
    <s v="J. Njeri"/>
    <x v="4"/>
    <n v="0.12909110692906911"/>
    <x v="387"/>
    <n v="1019.36"/>
    <n v="972.91"/>
    <s v="Loss"/>
    <n v="0.14699999999999999"/>
    <n v="17"/>
    <x v="388"/>
    <n v="17329.12"/>
    <n v="-3220.9520899999989"/>
    <n v="-0.22830406545678819"/>
  </r>
  <r>
    <x v="388"/>
    <x v="324"/>
    <d v="2023-11-05T00:00:00"/>
    <d v="2023-11-05T00:00:00"/>
    <n v="10"/>
    <s v="Q4-2023"/>
    <s v="Africa"/>
    <x v="11"/>
    <s v="Cape Town"/>
    <s v="Non-Profit"/>
    <s v="Online"/>
    <s v="I. Johnson"/>
    <x v="4"/>
    <n v="3.9752823973356905E-3"/>
    <x v="388"/>
    <n v="20.38"/>
    <n v="42.56"/>
    <s v="Profit"/>
    <n v="7.1999999999999995E-2"/>
    <n v="11"/>
    <x v="389"/>
    <n v="224.17999999999998"/>
    <n v="210.27248000000006"/>
    <n v="0.48399419885921713"/>
  </r>
  <r>
    <x v="389"/>
    <x v="325"/>
    <d v="2025-06-30T00:00:00"/>
    <d v="2025-06-30T00:00:00"/>
    <n v="15"/>
    <s v="Q2-2025"/>
    <s v="Africa"/>
    <x v="11"/>
    <s v="Johannesburg"/>
    <s v="Small Business"/>
    <s v="Direct"/>
    <s v="C. Otieno"/>
    <x v="5"/>
    <n v="0.14770569782706844"/>
    <x v="389"/>
    <n v="1487.59"/>
    <n v="1480.83"/>
    <s v="Loss"/>
    <n v="8.9999999999999993E-3"/>
    <n v="11"/>
    <x v="390"/>
    <n v="16363.49"/>
    <n v="-220.9621700000007"/>
    <n v="-1.3688201273492908E-2"/>
  </r>
  <r>
    <x v="390"/>
    <x v="326"/>
    <d v="2024-09-07T00:00:00"/>
    <d v="2024-09-07T00:00:00"/>
    <n v="28"/>
    <s v="Q3-2024"/>
    <s v="Europe"/>
    <x v="7"/>
    <s v="Marseille"/>
    <s v="Non-Profit"/>
    <s v="Direct"/>
    <s v="F. Müller"/>
    <x v="1"/>
    <n v="2.310457632490635E-2"/>
    <x v="390"/>
    <n v="229.96"/>
    <n v="564.26"/>
    <s v="Profit"/>
    <n v="0.105"/>
    <n v="5"/>
    <x v="391"/>
    <n v="1149.8"/>
    <n v="1375.2635000000002"/>
    <n v="0.54464511486542821"/>
  </r>
  <r>
    <x v="391"/>
    <x v="327"/>
    <d v="2023-10-26T00:00:00"/>
    <d v="2023-10-26T00:00:00"/>
    <n v="17"/>
    <s v="Q4-2023"/>
    <s v="Asia"/>
    <x v="9"/>
    <s v="Shanghai"/>
    <s v="Consumer"/>
    <s v="Marketplace"/>
    <s v="C. Otieno"/>
    <x v="0"/>
    <n v="0.44010055862883507"/>
    <x v="391"/>
    <n v="1132.03"/>
    <n v="2137.21"/>
    <s v="Profit"/>
    <n v="0.35699999999999998"/>
    <n v="35"/>
    <x v="392"/>
    <n v="39621.049999999996"/>
    <n v="8476.8610500000068"/>
    <n v="0.17624177152284051"/>
  </r>
  <r>
    <x v="392"/>
    <x v="307"/>
    <d v="2024-03-26T00:00:00"/>
    <d v="2024-03-26T00:00:00"/>
    <n v="17"/>
    <s v="Q1-2024"/>
    <s v="Americas"/>
    <x v="10"/>
    <s v="San Francisco"/>
    <s v="Education"/>
    <s v="Direct"/>
    <s v="I. Johnson"/>
    <x v="3"/>
    <n v="0.10326583715022293"/>
    <x v="392"/>
    <n v="1137.4100000000001"/>
    <n v="1680.93"/>
    <s v="Profit"/>
    <n v="0.254"/>
    <n v="9"/>
    <x v="393"/>
    <n v="10236.69"/>
    <n v="1049.07402"/>
    <n v="9.2955516183121464E-2"/>
  </r>
  <r>
    <x v="393"/>
    <x v="328"/>
    <d v="2023-06-20T00:00:00"/>
    <d v="2023-06-20T00:00:00"/>
    <n v="22"/>
    <s v="Q2-2023"/>
    <s v="Europe"/>
    <x v="8"/>
    <s v="London"/>
    <s v="Small Business"/>
    <s v="Direct"/>
    <s v="K. Singh"/>
    <x v="0"/>
    <n v="0.18118005756184566"/>
    <x v="393"/>
    <n v="1295.3900000000001"/>
    <n v="2905.06"/>
    <s v="Profit"/>
    <n v="0.14799999999999999"/>
    <n v="8"/>
    <x v="394"/>
    <n v="10363.120000000001"/>
    <n v="9437.7689599999994"/>
    <n v="0.47663359857556614"/>
  </r>
  <r>
    <x v="394"/>
    <x v="329"/>
    <d v="2025-06-08T00:00:00"/>
    <d v="2025-06-08T00:00:00"/>
    <n v="12"/>
    <s v="Q2-2025"/>
    <s v="Asia"/>
    <x v="2"/>
    <s v="Osaka"/>
    <s v="Corporate"/>
    <s v="Retail"/>
    <s v="H. Kim"/>
    <x v="6"/>
    <n v="0.13205180852916112"/>
    <x v="394"/>
    <n v="653.6"/>
    <n v="842.09"/>
    <s v="Profit"/>
    <n v="9.8000000000000004E-2"/>
    <n v="19"/>
    <x v="395"/>
    <n v="12418.4"/>
    <n v="2013.3384200000019"/>
    <n v="0.13950768517324622"/>
  </r>
  <r>
    <x v="395"/>
    <x v="164"/>
    <d v="2025-09-14T00:00:00"/>
    <d v="2025-09-14T00:00:00"/>
    <n v="24"/>
    <s v="Q3-2025"/>
    <s v="Europe"/>
    <x v="6"/>
    <s v="Berlin"/>
    <s v="Non-Profit"/>
    <s v="Online"/>
    <s v="A. Patel"/>
    <x v="5"/>
    <n v="0.51402297422120447"/>
    <x v="395"/>
    <n v="1397.67"/>
    <n v="3131.37"/>
    <s v="Profit"/>
    <n v="0.10299999999999999"/>
    <n v="20"/>
    <x v="396"/>
    <n v="27953.4"/>
    <n v="28223.377799999995"/>
    <n v="0.50240293062874808"/>
  </r>
  <r>
    <x v="396"/>
    <x v="330"/>
    <d v="2024-12-20T00:00:00"/>
    <d v="2024-12-20T00:00:00"/>
    <n v="8"/>
    <s v="Q4-2024"/>
    <s v="Asia"/>
    <x v="2"/>
    <s v="Tokyo"/>
    <s v="Corporate"/>
    <s v="Retail"/>
    <s v="B. Chen"/>
    <x v="4"/>
    <n v="0.17056899368481451"/>
    <x v="396"/>
    <n v="1202.47"/>
    <n v="1444.72"/>
    <s v="Profit"/>
    <n v="0.24099999999999999"/>
    <n v="17"/>
    <x v="397"/>
    <n v="20441.990000000002"/>
    <n v="-1800.7678400000004"/>
    <n v="-9.6601382921343834E-2"/>
  </r>
  <r>
    <x v="397"/>
    <x v="284"/>
    <d v="2025-09-23T00:00:00"/>
    <d v="2025-09-23T00:00:00"/>
    <n v="9"/>
    <s v="Q3-2025"/>
    <s v="Africa"/>
    <x v="11"/>
    <s v="Durban"/>
    <s v="Non-Profit"/>
    <s v="Online"/>
    <s v="D. Smith"/>
    <x v="0"/>
    <n v="0.1206489993732176"/>
    <x v="397"/>
    <n v="1310.3"/>
    <n v="2875.8"/>
    <s v="Profit"/>
    <n v="8.3000000000000004E-2"/>
    <n v="5"/>
    <x v="398"/>
    <n v="6551.5"/>
    <n v="6634.0429999999997"/>
    <n v="0.50313005691157353"/>
  </r>
  <r>
    <x v="398"/>
    <x v="331"/>
    <d v="2024-10-04T00:00:00"/>
    <d v="2024-10-04T00:00:00"/>
    <n v="28"/>
    <s v="Q3-2024"/>
    <s v="Africa"/>
    <x v="11"/>
    <s v="Cape Town"/>
    <s v="Corporate"/>
    <s v="Marketplace"/>
    <s v="D. Smith"/>
    <x v="5"/>
    <n v="0.11869508049157758"/>
    <x v="398"/>
    <n v="1174.17"/>
    <n v="1641.61"/>
    <s v="Profit"/>
    <n v="0.122"/>
    <n v="9"/>
    <x v="399"/>
    <n v="10567.53"/>
    <n v="2404.4722199999997"/>
    <n v="0.18535860380079394"/>
  </r>
  <r>
    <x v="399"/>
    <x v="332"/>
    <d v="2025-04-30T00:00:00"/>
    <d v="2025-04-30T00:00:00"/>
    <n v="18"/>
    <s v="Q2-2025"/>
    <s v="Africa"/>
    <x v="0"/>
    <s v="Kisumu"/>
    <s v="Corporate"/>
    <s v="Marketplace"/>
    <s v="F. Müller"/>
    <x v="2"/>
    <n v="0.16224607300686295"/>
    <x v="399"/>
    <n v="1119.04"/>
    <n v="1299.02"/>
    <s v="Profit"/>
    <n v="2.5000000000000001E-2"/>
    <n v="14"/>
    <x v="400"/>
    <n v="15666.56"/>
    <n v="2065.0630000000001"/>
    <n v="0.11646215352085933"/>
  </r>
  <r>
    <x v="400"/>
    <x v="175"/>
    <d v="2024-08-15T00:00:00"/>
    <d v="2024-08-15T00:00:00"/>
    <n v="3"/>
    <s v="Q3-2024"/>
    <s v="Americas"/>
    <x v="10"/>
    <s v="Chicago"/>
    <s v="Corporate"/>
    <s v="Marketplace"/>
    <s v="D. Smith"/>
    <x v="1"/>
    <n v="0.15946025089995611"/>
    <x v="400"/>
    <n v="850.7"/>
    <n v="1118.56"/>
    <s v="Profit"/>
    <n v="0.18"/>
    <n v="19"/>
    <x v="401"/>
    <n v="16163.300000000001"/>
    <n v="1263.8648000000012"/>
    <n v="7.2522685962090688E-2"/>
  </r>
  <r>
    <x v="401"/>
    <x v="333"/>
    <d v="2024-11-08T00:00:00"/>
    <d v="2024-11-08T00:00:00"/>
    <n v="3"/>
    <s v="Q4-2024"/>
    <s v="Americas"/>
    <x v="3"/>
    <s v="Toronto"/>
    <s v="Education"/>
    <s v="Marketplace"/>
    <s v="O. Wang"/>
    <x v="0"/>
    <n v="0.15505838658162566"/>
    <x v="401"/>
    <n v="1020.4"/>
    <n v="1184.71"/>
    <s v="Profit"/>
    <n v="0.106"/>
    <n v="16"/>
    <x v="402"/>
    <n v="16326.4"/>
    <n v="619.69184000000132"/>
    <n v="3.6568422138328345E-2"/>
  </r>
  <r>
    <x v="402"/>
    <x v="334"/>
    <d v="2024-08-08T00:00:00"/>
    <d v="2024-08-08T00:00:00"/>
    <n v="15"/>
    <s v="Q3-2024"/>
    <s v="Europe"/>
    <x v="7"/>
    <s v="Marseille"/>
    <s v="Enterprise"/>
    <s v="Marketplace"/>
    <s v="H. Kim"/>
    <x v="4"/>
    <n v="4.8041888742862297E-2"/>
    <x v="402"/>
    <n v="501.5"/>
    <n v="1201.47"/>
    <s v="Profit"/>
    <n v="0.126"/>
    <n v="5"/>
    <x v="403"/>
    <n v="2507.5"/>
    <n v="2742.9239000000007"/>
    <n v="0.52241951359394057"/>
  </r>
  <r>
    <x v="403"/>
    <x v="335"/>
    <d v="2025-02-03T00:00:00"/>
    <d v="2025-02-03T00:00:00"/>
    <n v="14"/>
    <s v="Q1-2025"/>
    <s v="Americas"/>
    <x v="5"/>
    <s v="Brasília"/>
    <s v="Enterprise"/>
    <s v="Marketplace"/>
    <s v="F. Müller"/>
    <x v="0"/>
    <n v="7.1663570912850486E-2"/>
    <x v="403"/>
    <n v="974.11"/>
    <n v="880.99"/>
    <s v="Loss"/>
    <n v="0.111"/>
    <n v="10"/>
    <x v="404"/>
    <n v="9741.1"/>
    <n v="-1909.0989000000009"/>
    <n v="-0.2437562093805121"/>
  </r>
  <r>
    <x v="404"/>
    <x v="336"/>
    <d v="2023-04-04T00:00:00"/>
    <d v="2023-04-04T00:00:00"/>
    <n v="29"/>
    <s v="Q1-2023"/>
    <s v="Asia"/>
    <x v="9"/>
    <s v="Beijing"/>
    <s v="Small Business"/>
    <s v="Direct"/>
    <s v="C. Otieno"/>
    <x v="5"/>
    <n v="0.12295260257643514"/>
    <x v="404"/>
    <n v="1126.29"/>
    <n v="2050.87"/>
    <s v="Profit"/>
    <n v="6.4000000000000001E-2"/>
    <n v="7"/>
    <x v="405"/>
    <n v="7884.03"/>
    <n v="5553.2702399999989"/>
    <n v="0.41327276616690373"/>
  </r>
  <r>
    <x v="405"/>
    <x v="337"/>
    <d v="2025-01-14T00:00:00"/>
    <d v="2025-01-14T00:00:00"/>
    <n v="25"/>
    <s v="Q4-2024"/>
    <s v="Asia"/>
    <x v="4"/>
    <s v="Delhi"/>
    <s v="Small Business"/>
    <s v="Retail"/>
    <s v="M. Rossi"/>
    <x v="1"/>
    <n v="0.2054850473924705"/>
    <x v="405"/>
    <n v="1361.34"/>
    <n v="1737.9"/>
    <s v="Profit"/>
    <n v="7.6999999999999999E-2"/>
    <n v="14"/>
    <x v="406"/>
    <n v="19058.759999999998"/>
    <n v="3398.3838000000032"/>
    <n v="0.15132751654731813"/>
  </r>
  <r>
    <x v="406"/>
    <x v="338"/>
    <d v="2025-03-21T00:00:00"/>
    <d v="2025-03-21T00:00:00"/>
    <n v="28"/>
    <s v="Q1-2025"/>
    <s v="Africa"/>
    <x v="1"/>
    <s v="Abuja"/>
    <s v="Enterprise"/>
    <s v="Marketplace"/>
    <s v="I. Johnson"/>
    <x v="3"/>
    <n v="0.19710240695847786"/>
    <x v="406"/>
    <n v="1437.39"/>
    <n v="1388.31"/>
    <s v="Loss"/>
    <n v="0.13800000000000001"/>
    <n v="18"/>
    <x v="407"/>
    <n v="25873.02"/>
    <n v="-4332.002040000003"/>
    <n v="-0.20110479681341872"/>
  </r>
  <r>
    <x v="407"/>
    <x v="339"/>
    <d v="2025-03-15T00:00:00"/>
    <d v="2025-03-15T00:00:00"/>
    <n v="7"/>
    <s v="Q1-2025"/>
    <s v="Asia"/>
    <x v="4"/>
    <s v="Bengaluru"/>
    <s v="Corporate"/>
    <s v="Distributor"/>
    <s v="K. Singh"/>
    <x v="4"/>
    <n v="4.28198391796741E-2"/>
    <x v="407"/>
    <n v="475.66"/>
    <n v="529.14"/>
    <s v="Profit"/>
    <n v="0.19600000000000001"/>
    <n v="11"/>
    <x v="408"/>
    <n v="5232.26"/>
    <n v="-552.54583999999977"/>
    <n v="-0.11807256193613323"/>
  </r>
  <r>
    <x v="408"/>
    <x v="340"/>
    <d v="2023-12-19T00:00:00"/>
    <d v="2023-12-19T00:00:00"/>
    <n v="3"/>
    <s v="Q4-2023"/>
    <s v="Asia"/>
    <x v="9"/>
    <s v="Beijing"/>
    <s v="Education"/>
    <s v="Retail"/>
    <s v="A. Patel"/>
    <x v="6"/>
    <n v="0.21656962330675067"/>
    <x v="408"/>
    <n v="1415.05"/>
    <n v="1972.38"/>
    <s v="Profit"/>
    <n v="0"/>
    <n v="12"/>
    <x v="409"/>
    <n v="16980.599999999999"/>
    <n v="6687.9600000000028"/>
    <n v="0.28256725377462771"/>
  </r>
  <r>
    <x v="409"/>
    <x v="341"/>
    <d v="2024-09-05T00:00:00"/>
    <d v="2024-09-05T00:00:00"/>
    <n v="6"/>
    <s v="Q3-2024"/>
    <s v="Asia"/>
    <x v="2"/>
    <s v="Nagoya"/>
    <s v="Education"/>
    <s v="Online"/>
    <s v="N. Brown"/>
    <x v="4"/>
    <n v="4.8715028632548278E-2"/>
    <x v="409"/>
    <n v="466.16"/>
    <n v="876.81"/>
    <s v="Profit"/>
    <n v="0.24099999999999999"/>
    <n v="8"/>
    <x v="410"/>
    <n v="3729.28"/>
    <n v="1594.7103199999997"/>
    <n v="0.29953291124691594"/>
  </r>
  <r>
    <x v="410"/>
    <x v="22"/>
    <d v="2024-05-21T00:00:00"/>
    <d v="2024-05-21T00:00:00"/>
    <n v="3"/>
    <s v="Q2-2024"/>
    <s v="Europe"/>
    <x v="7"/>
    <s v="Marseille"/>
    <s v="Non-Profit"/>
    <s v="Marketplace"/>
    <s v="D. Smith"/>
    <x v="1"/>
    <n v="6.3134576505026491E-2"/>
    <x v="410"/>
    <n v="663.66"/>
    <n v="824.26"/>
    <s v="Profit"/>
    <n v="0.23899999999999999"/>
    <n v="11"/>
    <x v="411"/>
    <n v="7300.2599999999993"/>
    <n v="-400.379539999999"/>
    <n v="-5.8027025587048933E-2"/>
  </r>
  <r>
    <x v="411"/>
    <x v="342"/>
    <d v="2023-04-06T00:00:00"/>
    <d v="2023-04-06T00:00:00"/>
    <n v="20"/>
    <s v="Q1-2023"/>
    <s v="Europe"/>
    <x v="6"/>
    <s v="Munich"/>
    <s v="Consumer"/>
    <s v="Retail"/>
    <s v="O. Wang"/>
    <x v="3"/>
    <n v="1.8840101264229431E-2"/>
    <x v="411"/>
    <n v="692.18"/>
    <n v="1159.3499999999999"/>
    <s v="Profit"/>
    <n v="0.112"/>
    <n v="2"/>
    <x v="412"/>
    <n v="1384.36"/>
    <n v="674.64560000000006"/>
    <n v="0.32765602968734037"/>
  </r>
  <r>
    <x v="412"/>
    <x v="343"/>
    <d v="2023-09-16T00:00:00"/>
    <d v="2023-09-16T00:00:00"/>
    <n v="22"/>
    <s v="Q3-2023"/>
    <s v="Africa"/>
    <x v="1"/>
    <s v="Abuja"/>
    <s v="Corporate"/>
    <s v="Marketplace"/>
    <s v="L. Okafor"/>
    <x v="3"/>
    <n v="0.14762968668906273"/>
    <x v="412"/>
    <n v="1196.83"/>
    <n v="2513.5100000000002"/>
    <s v="Profit"/>
    <n v="8.3000000000000004E-2"/>
    <n v="7"/>
    <x v="413"/>
    <n v="8377.81"/>
    <n v="7756.4106900000006"/>
    <n v="0.48074281609445374"/>
  </r>
  <r>
    <x v="413"/>
    <x v="344"/>
    <d v="2024-06-24T00:00:00"/>
    <d v="2024-06-24T00:00:00"/>
    <n v="18"/>
    <s v="Q2-2024"/>
    <s v="Asia"/>
    <x v="4"/>
    <s v="Bengaluru"/>
    <s v="Small Business"/>
    <s v="Direct"/>
    <s v="H. Kim"/>
    <x v="2"/>
    <n v="0.28835088222008765"/>
    <x v="413"/>
    <n v="1253.25"/>
    <n v="3087.13"/>
    <s v="Profit"/>
    <n v="7.1999999999999995E-2"/>
    <n v="11"/>
    <x v="414"/>
    <n v="13785.75"/>
    <n v="17727.673040000001"/>
    <n v="0.562543555408064"/>
  </r>
  <r>
    <x v="414"/>
    <x v="345"/>
    <d v="2023-09-13T00:00:00"/>
    <d v="2023-09-13T00:00:00"/>
    <n v="15"/>
    <s v="Q3-2023"/>
    <s v="Americas"/>
    <x v="3"/>
    <s v="Vancouver"/>
    <s v="Small Business"/>
    <s v="Marketplace"/>
    <s v="O. Wang"/>
    <x v="1"/>
    <n v="0.168466175455319"/>
    <x v="414"/>
    <n v="1287.6400000000001"/>
    <n v="2717.15"/>
    <s v="Profit"/>
    <n v="3.2000000000000001E-2"/>
    <n v="7"/>
    <x v="415"/>
    <n v="9013.4800000000014"/>
    <n v="9397.9283999999989"/>
    <n v="0.51044049405802105"/>
  </r>
  <r>
    <x v="415"/>
    <x v="25"/>
    <d v="2024-12-10T00:00:00"/>
    <d v="2024-12-10T00:00:00"/>
    <n v="10"/>
    <s v="Q4-2024"/>
    <s v="Asia"/>
    <x v="4"/>
    <s v="Hyderabad"/>
    <s v="Small Business"/>
    <s v="Retail"/>
    <s v="F. Müller"/>
    <x v="6"/>
    <n v="9.9677710552297225E-2"/>
    <x v="415"/>
    <n v="851.49"/>
    <n v="901.79"/>
    <s v="Profit"/>
    <n v="0.245"/>
    <n v="16"/>
    <x v="416"/>
    <n v="13623.84"/>
    <n v="-2730.2168000000001"/>
    <n v="-0.25062522816100341"/>
  </r>
  <r>
    <x v="416"/>
    <x v="346"/>
    <d v="2025-06-14T00:00:00"/>
    <d v="2025-06-14T00:00:00"/>
    <n v="9"/>
    <s v="Q2-2025"/>
    <s v="Asia"/>
    <x v="4"/>
    <s v="Delhi"/>
    <s v="Non-Profit"/>
    <s v="Retail"/>
    <s v="A. Patel"/>
    <x v="6"/>
    <n v="7.2921346926583294E-2"/>
    <x v="416"/>
    <n v="618.69000000000005"/>
    <n v="796.15"/>
    <s v="Profit"/>
    <n v="0.09"/>
    <n v="11"/>
    <x v="417"/>
    <n v="6805.59"/>
    <n v="1163.8715000000002"/>
    <n v="0.14604142325049191"/>
  </r>
  <r>
    <x v="417"/>
    <x v="252"/>
    <d v="2025-04-08T00:00:00"/>
    <d v="2025-04-08T00:00:00"/>
    <n v="25"/>
    <s v="Q1-2025"/>
    <s v="Asia"/>
    <x v="9"/>
    <s v="not provided"/>
    <s v="Corporate"/>
    <s v="Distributor"/>
    <s v="D. Smith"/>
    <x v="1"/>
    <n v="6.7842330217966363E-3"/>
    <x v="417"/>
    <n v="80.59"/>
    <n v="157.82"/>
    <s v="Profit"/>
    <n v="0.217"/>
    <n v="6"/>
    <x v="418"/>
    <n v="483.54"/>
    <n v="257.89835999999997"/>
    <n v="0.34783519967863541"/>
  </r>
  <r>
    <x v="418"/>
    <x v="347"/>
    <d v="2024-02-11T00:00:00"/>
    <d v="2024-02-11T00:00:00"/>
    <n v="26"/>
    <s v="Q1-2024"/>
    <s v="Europe"/>
    <x v="6"/>
    <s v="Frankfurt"/>
    <s v="Non-Profit"/>
    <s v="Distributor"/>
    <s v="E. Garcia"/>
    <x v="5"/>
    <n v="8.7010896179485861E-2"/>
    <x v="418"/>
    <n v="504.93"/>
    <n v="819.06"/>
    <s v="Profit"/>
    <n v="0.22600000000000001"/>
    <n v="15"/>
    <x v="419"/>
    <n v="7573.95"/>
    <n v="1935.3365999999996"/>
    <n v="0.20352069312959814"/>
  </r>
  <r>
    <x v="419"/>
    <x v="348"/>
    <d v="2023-10-29T00:00:00"/>
    <d v="2023-10-29T00:00:00"/>
    <n v="17"/>
    <s v="Q4-2023"/>
    <s v="Asia"/>
    <x v="2"/>
    <s v="Nagoya"/>
    <s v="Non-Profit"/>
    <s v="Direct"/>
    <s v="H. Kim"/>
    <x v="3"/>
    <n v="0.13293030917314996"/>
    <x v="419"/>
    <n v="1102.19"/>
    <n v="1711.16"/>
    <s v="Profit"/>
    <n v="0.151"/>
    <n v="10"/>
    <x v="420"/>
    <n v="11021.900000000001"/>
    <n v="3505.8484000000008"/>
    <n v="0.24132083675127525"/>
  </r>
  <r>
    <x v="420"/>
    <x v="349"/>
    <d v="2025-03-17T00:00:00"/>
    <d v="2025-03-17T00:00:00"/>
    <n v="20"/>
    <s v="Q1-2025"/>
    <s v="Americas"/>
    <x v="10"/>
    <s v="San Francisco"/>
    <s v="Non-Profit"/>
    <s v="Marketplace"/>
    <s v="H. Kim"/>
    <x v="3"/>
    <n v="9.1361122290576538E-2"/>
    <x v="420"/>
    <n v="1205.26"/>
    <n v="1696.35"/>
    <s v="Profit"/>
    <n v="1.9E-2"/>
    <n v="6"/>
    <x v="421"/>
    <n v="7231.5599999999995"/>
    <n v="2753.1560999999983"/>
    <n v="0.27573704374028213"/>
  </r>
  <r>
    <x v="421"/>
    <x v="350"/>
    <d v="2025-07-06T00:00:00"/>
    <d v="2025-07-06T00:00:00"/>
    <n v="3"/>
    <s v="Q3-2025"/>
    <s v="Africa"/>
    <x v="1"/>
    <s v="Lagos"/>
    <s v="Consumer"/>
    <s v="Online"/>
    <s v="not provided"/>
    <x v="4"/>
    <n v="0.93443484050486936"/>
    <x v="421"/>
    <n v="1313.3"/>
    <n v="2884.34"/>
    <s v="Profit"/>
    <n v="0.157"/>
    <n v="42"/>
    <x v="422"/>
    <n v="55158.6"/>
    <n v="46964.342039999996"/>
    <n v="0.45988042551305253"/>
  </r>
  <r>
    <x v="422"/>
    <x v="165"/>
    <d v="2025-09-25T00:00:00"/>
    <d v="2025-09-25T00:00:00"/>
    <n v="10"/>
    <s v="Q3-2025"/>
    <s v="Asia"/>
    <x v="4"/>
    <s v="Delhi"/>
    <s v="Consumer"/>
    <s v="Retail"/>
    <s v="A. Patel"/>
    <x v="3"/>
    <n v="0.27109285910468739"/>
    <x v="422"/>
    <n v="1488.91"/>
    <n v="1483.74"/>
    <s v="Loss"/>
    <n v="0.16800000000000001"/>
    <n v="24"/>
    <x v="423"/>
    <n v="35733.840000000004"/>
    <n v="-6106.5196800000049"/>
    <n v="-0.20611110333450519"/>
  </r>
  <r>
    <x v="423"/>
    <x v="351"/>
    <d v="2024-03-06T00:00:00"/>
    <d v="2024-03-06T00:00:00"/>
    <n v="16"/>
    <s v="Q1-2024"/>
    <s v="Asia"/>
    <x v="9"/>
    <s v="Beijing"/>
    <s v="Education"/>
    <s v="Marketplace"/>
    <s v="O. Wang"/>
    <x v="1"/>
    <n v="0.53154410325598467"/>
    <x v="423"/>
    <n v="1477.84"/>
    <n v="3197.47"/>
    <s v="Profit"/>
    <n v="0.24299999999999999"/>
    <n v="24"/>
    <x v="424"/>
    <n v="35468.159999999996"/>
    <n v="22623.474960000007"/>
    <n v="0.38944462443823091"/>
  </r>
  <r>
    <x v="424"/>
    <x v="352"/>
    <d v="2024-03-26T00:00:00"/>
    <d v="2024-03-26T00:00:00"/>
    <n v="28"/>
    <s v="Q1-2024"/>
    <s v="Asia"/>
    <x v="4"/>
    <s v="Mumbai"/>
    <s v="Education"/>
    <s v="Marketplace"/>
    <s v="G. Dubois"/>
    <x v="4"/>
    <n v="0.14060938912148291"/>
    <x v="424"/>
    <n v="1035.19"/>
    <n v="2322.6999999999998"/>
    <s v="Profit"/>
    <n v="0.17299999999999999"/>
    <n v="8"/>
    <x v="425"/>
    <n v="8281.52"/>
    <n v="7085.4631999999983"/>
    <n v="0.46108355217047409"/>
  </r>
  <r>
    <x v="425"/>
    <x v="257"/>
    <d v="2025-09-05T00:00:00"/>
    <d v="2025-09-05T00:00:00"/>
    <n v="8"/>
    <s v="Q3-2025"/>
    <s v="Africa"/>
    <x v="1"/>
    <s v="Port Harcourt"/>
    <s v="Small Business"/>
    <s v="Marketplace"/>
    <s v="E. Garcia"/>
    <x v="4"/>
    <n v="0.2784888339493104"/>
    <x v="425"/>
    <n v="1271.0999999999999"/>
    <n v="1932.42"/>
    <s v="Profit"/>
    <n v="0.25"/>
    <n v="21"/>
    <x v="426"/>
    <n v="26693.1"/>
    <n v="3742.5149999999994"/>
    <n v="0.12296498690760807"/>
  </r>
  <r>
    <x v="426"/>
    <x v="353"/>
    <d v="2024-09-12T00:00:00"/>
    <d v="2024-09-12T00:00:00"/>
    <n v="25"/>
    <s v="Q3-2024"/>
    <s v="Asia"/>
    <x v="4"/>
    <s v="Mumbai"/>
    <s v="Consumer"/>
    <s v="Marketplace"/>
    <s v="C. Otieno"/>
    <x v="3"/>
    <n v="0.17968746004302699"/>
    <x v="426"/>
    <n v="1154.03"/>
    <n v="1590.36"/>
    <s v="Profit"/>
    <n v="0.314"/>
    <n v="18"/>
    <x v="427"/>
    <n v="20772.54"/>
    <n v="-1134.7747200000013"/>
    <n v="-5.7785328616576745E-2"/>
  </r>
  <r>
    <x v="427"/>
    <x v="354"/>
    <d v="2024-03-09T00:00:00"/>
    <d v="2024-03-09T00:00:00"/>
    <n v="13"/>
    <s v="Q1-2024"/>
    <s v="Europe"/>
    <x v="7"/>
    <s v="Marseille"/>
    <s v="Small Business"/>
    <s v="Distributor"/>
    <s v="E. Garcia"/>
    <x v="5"/>
    <n v="0.12307557768605455"/>
    <x v="427"/>
    <n v="322.44"/>
    <n v="395.61"/>
    <s v="Profit"/>
    <n v="0"/>
    <n v="34"/>
    <x v="428"/>
    <n v="10962.96"/>
    <n v="2487.7800000000007"/>
    <n v="0.18495487980586947"/>
  </r>
  <r>
    <x v="428"/>
    <x v="355"/>
    <d v="2025-05-13T00:00:00"/>
    <d v="2025-05-13T00:00:00"/>
    <n v="6"/>
    <s v="Q2-2025"/>
    <s v="Asia"/>
    <x v="4"/>
    <s v="Bengaluru"/>
    <s v="Enterprise"/>
    <s v="Direct"/>
    <s v="J. Njeri"/>
    <x v="3"/>
    <n v="0.37641909371902704"/>
    <x v="428"/>
    <n v="935.98"/>
    <n v="2077.69"/>
    <s v="Profit"/>
    <n v="0.17499999999999999"/>
    <n v="24"/>
    <x v="429"/>
    <n v="22463.52"/>
    <n v="18674.741999999995"/>
    <n v="0.45395067978321491"/>
  </r>
  <r>
    <x v="429"/>
    <x v="356"/>
    <d v="2024-11-12T00:00:00"/>
    <d v="2024-11-12T00:00:00"/>
    <n v="11"/>
    <s v="Q4-2024"/>
    <s v="Europe"/>
    <x v="6"/>
    <s v="Frankfurt"/>
    <s v="Consumer"/>
    <s v="Online"/>
    <s v="B. Chen"/>
    <x v="1"/>
    <n v="0.11854705506950049"/>
    <x v="429"/>
    <n v="599.84"/>
    <n v="1330.85"/>
    <s v="Profit"/>
    <n v="0.115"/>
    <n v="11"/>
    <x v="430"/>
    <n v="6598.2400000000007"/>
    <n v="6357.5847499999973"/>
    <n v="0.49071246892252063"/>
  </r>
  <r>
    <x v="430"/>
    <x v="357"/>
    <d v="2025-01-08T00:00:00"/>
    <d v="2025-01-08T00:00:00"/>
    <n v="11"/>
    <s v="Q4-2024"/>
    <s v="Asia"/>
    <x v="9"/>
    <s v="Shenzhen"/>
    <s v="Enterprise"/>
    <s v="Online"/>
    <s v="K. Singh"/>
    <x v="4"/>
    <n v="0.53123313757048063"/>
    <x v="430"/>
    <n v="1201.31"/>
    <n v="2764.65"/>
    <s v="Profit"/>
    <n v="0"/>
    <n v="21"/>
    <x v="431"/>
    <n v="25227.51"/>
    <n v="32830.14"/>
    <n v="0.56547483406579491"/>
  </r>
  <r>
    <x v="431"/>
    <x v="259"/>
    <d v="2023-10-21T00:00:00"/>
    <d v="2023-10-21T00:00:00"/>
    <n v="0"/>
    <s v="Q4-2023"/>
    <s v="Europe"/>
    <x v="8"/>
    <s v="Manchester"/>
    <s v="Enterprise"/>
    <s v="Distributor"/>
    <s v="J. Njeri"/>
    <x v="5"/>
    <n v="2.4043014863252235E-2"/>
    <x v="431"/>
    <n v="384.19"/>
    <n v="278.35000000000002"/>
    <s v="Loss"/>
    <n v="5.6000000000000001E-2"/>
    <n v="10"/>
    <x v="432"/>
    <n v="3841.9"/>
    <n v="-1214.2760000000003"/>
    <n v="-0.46211938998882657"/>
  </r>
  <r>
    <x v="432"/>
    <x v="16"/>
    <d v="2024-12-19T00:00:00"/>
    <d v="2024-12-19T00:00:00"/>
    <n v="9"/>
    <s v="Q4-2024"/>
    <s v="Africa"/>
    <x v="1"/>
    <s v="Lagos"/>
    <s v="Corporate"/>
    <s v="Retail"/>
    <s v="O. Wang"/>
    <x v="5"/>
    <n v="0.11865808134175983"/>
    <x v="432"/>
    <n v="488.68"/>
    <n v="984.36"/>
    <s v="Profit"/>
    <n v="5.8999999999999997E-2"/>
    <n v="14"/>
    <x v="433"/>
    <n v="6841.52"/>
    <n v="6126.4386400000003"/>
    <n v="0.47242891576649876"/>
  </r>
  <r>
    <x v="433"/>
    <x v="255"/>
    <d v="2024-09-18T00:00:00"/>
    <d v="2024-09-18T00:00:00"/>
    <n v="11"/>
    <s v="Q3-2024"/>
    <s v="Asia"/>
    <x v="9"/>
    <s v="Beijing"/>
    <s v="Consumer"/>
    <s v="Distributor"/>
    <s v="O. Wang"/>
    <x v="2"/>
    <n v="1.784271798307073E-2"/>
    <x v="433"/>
    <n v="181.74"/>
    <n v="190.84"/>
    <s v="Profit"/>
    <n v="0.214"/>
    <n v="13"/>
    <x v="434"/>
    <n v="2362.62"/>
    <n v="-412.61687999999981"/>
    <n v="-0.21159806144310159"/>
  </r>
  <r>
    <x v="434"/>
    <x v="358"/>
    <d v="2023-10-20T00:00:00"/>
    <d v="2023-10-20T00:00:00"/>
    <n v="2"/>
    <s v="Q4-2023"/>
    <s v="Africa"/>
    <x v="0"/>
    <s v="Kisumu"/>
    <s v="Consumer"/>
    <s v="Retail"/>
    <s v="J. Njeri"/>
    <x v="3"/>
    <n v="0.24933099713229909"/>
    <x v="434"/>
    <n v="774.12"/>
    <n v="908.3"/>
    <s v="Profit"/>
    <n v="0"/>
    <n v="30"/>
    <x v="435"/>
    <n v="23223.599999999999"/>
    <n v="4025.4000000000015"/>
    <n v="0.14772652207420461"/>
  </r>
  <r>
    <x v="435"/>
    <x v="359"/>
    <d v="2025-01-13T00:00:00"/>
    <d v="2025-01-13T00:00:00"/>
    <n v="20"/>
    <s v="Q4-2024"/>
    <s v="Asia"/>
    <x v="4"/>
    <s v="Bengaluru"/>
    <s v="Corporate"/>
    <s v="Marketplace"/>
    <s v="D. Smith"/>
    <x v="2"/>
    <n v="5.0750686430005493E-2"/>
    <x v="435"/>
    <n v="126.15"/>
    <n v="284.23"/>
    <s v="Profit"/>
    <n v="0.113"/>
    <n v="22"/>
    <x v="436"/>
    <n v="2775.3"/>
    <n v="2771.1642200000006"/>
    <n v="0.49962716968541088"/>
  </r>
  <r>
    <x v="436"/>
    <x v="67"/>
    <d v="2023-04-19T00:00:00"/>
    <d v="2023-04-28T00:00:00"/>
    <n v="7"/>
    <s v="Q2-2023"/>
    <s v="Asia"/>
    <x v="2"/>
    <s v="Nagoya"/>
    <s v="Small Business"/>
    <s v="Direct"/>
    <s v="M. Rossi"/>
    <x v="0"/>
    <n v="6.7165273720697985E-2"/>
    <x v="436"/>
    <n v="607.04"/>
    <n v="1229.3399999999999"/>
    <s v="Profit"/>
    <n v="0.14699999999999999"/>
    <n v="7"/>
    <x v="437"/>
    <n v="4249.28"/>
    <n v="3091.1091399999996"/>
    <n v="0.42110970972310058"/>
  </r>
  <r>
    <x v="437"/>
    <x v="360"/>
    <d v="2024-01-08T00:00:00"/>
    <d v="2024-01-08T00:00:00"/>
    <n v="9"/>
    <s v="Q4-2023"/>
    <s v="Europe"/>
    <x v="7"/>
    <s v="Marseille"/>
    <s v="Consumer"/>
    <s v="Marketplace"/>
    <s v="L. Okafor"/>
    <x v="6"/>
    <n v="0.22215382950593424"/>
    <x v="437"/>
    <n v="861.1"/>
    <n v="1224.72"/>
    <s v="Profit"/>
    <n v="0.17399999999999999"/>
    <n v="24"/>
    <x v="438"/>
    <n v="20666.400000000001"/>
    <n v="3612.4492800000007"/>
    <n v="0.14878997098827909"/>
  </r>
  <r>
    <x v="438"/>
    <x v="361"/>
    <d v="2023-03-12T00:00:00"/>
    <d v="2023-03-12T00:00:00"/>
    <n v="19"/>
    <s v="Q1-2023"/>
    <s v="Africa"/>
    <x v="0"/>
    <s v="Nakuru"/>
    <s v="Corporate"/>
    <s v="Online"/>
    <s v="F. Müller"/>
    <x v="2"/>
    <n v="2.5580363311188851E-2"/>
    <x v="438"/>
    <n v="352.65"/>
    <n v="485.86"/>
    <s v="Profit"/>
    <n v="4.1000000000000002E-2"/>
    <n v="6"/>
    <x v="439"/>
    <n v="2115.8999999999996"/>
    <n v="679.73844000000008"/>
    <n v="0.24314247159943908"/>
  </r>
  <r>
    <x v="439"/>
    <x v="362"/>
    <d v="2023-06-03T00:00:00"/>
    <d v="2023-06-03T00:00:00"/>
    <n v="17"/>
    <s v="Q2-2023"/>
    <s v="Asia"/>
    <x v="9"/>
    <s v="Beijing"/>
    <s v="Non-Profit"/>
    <s v="Distributor"/>
    <s v="M. Rossi"/>
    <x v="1"/>
    <n v="0.18915345258090419"/>
    <x v="439"/>
    <n v="979.59"/>
    <n v="2210.94"/>
    <s v="Profit"/>
    <n v="0.15"/>
    <n v="11"/>
    <x v="440"/>
    <n v="10775.49"/>
    <n v="9896.7990000000009"/>
    <n v="0.47874712858358359"/>
  </r>
  <r>
    <x v="440"/>
    <x v="363"/>
    <d v="2024-03-26T00:00:00"/>
    <d v="2024-03-26T00:00:00"/>
    <n v="3"/>
    <s v="Q1-2024"/>
    <s v="Asia"/>
    <x v="4"/>
    <s v="Bengaluru"/>
    <s v="Education"/>
    <s v="Direct"/>
    <s v="G. Dubois"/>
    <x v="3"/>
    <n v="0.11591807230724761"/>
    <x v="440"/>
    <n v="382.21"/>
    <n v="571.89"/>
    <s v="Profit"/>
    <n v="0.14799999999999999"/>
    <n v="26"/>
    <x v="441"/>
    <n v="9937.4599999999991"/>
    <n v="2731.0472800000007"/>
    <n v="0.2155776698578809"/>
  </r>
  <r>
    <x v="441"/>
    <x v="364"/>
    <d v="2023-09-28T00:00:00"/>
    <d v="2023-09-28T00:00:00"/>
    <n v="8"/>
    <s v="Q3-2023"/>
    <s v="Asia"/>
    <x v="4"/>
    <s v="not provided"/>
    <s v="Corporate"/>
    <s v="not provided"/>
    <s v="B. Chen"/>
    <x v="6"/>
    <n v="0.28834778921274934"/>
    <x v="441"/>
    <n v="1362.06"/>
    <n v="3398.37"/>
    <s v="Profit"/>
    <n v="0.157"/>
    <n v="11"/>
    <x v="442"/>
    <n v="14982.66"/>
    <n v="16530.425009999999"/>
    <n v="0.52455749745714919"/>
  </r>
  <r>
    <x v="442"/>
    <x v="365"/>
    <d v="2024-09-04T00:00:00"/>
    <d v="2024-09-04T00:00:00"/>
    <n v="13"/>
    <s v="Q3-2024"/>
    <s v="Europe"/>
    <x v="6"/>
    <s v="Frankfurt"/>
    <s v="Non-Profit"/>
    <s v="Retail"/>
    <s v="L. Okafor"/>
    <x v="1"/>
    <n v="5.4534971346532339E-2"/>
    <x v="442"/>
    <n v="90.04"/>
    <n v="194.62"/>
    <s v="Profit"/>
    <n v="4.2999999999999997E-2"/>
    <n v="32"/>
    <x v="443"/>
    <n v="2881.28"/>
    <n v="3078.7628799999998"/>
    <n v="0.51656723650954672"/>
  </r>
  <r>
    <x v="443"/>
    <x v="366"/>
    <d v="2024-10-03T00:00:00"/>
    <d v="2024-10-03T00:00:00"/>
    <n v="8"/>
    <s v="Q3-2024"/>
    <s v="Americas"/>
    <x v="3"/>
    <s v="Toronto"/>
    <s v="Consumer"/>
    <s v="Online"/>
    <s v="E. Garcia"/>
    <x v="1"/>
    <n v="0.19823173061443966"/>
    <x v="443"/>
    <n v="558.19000000000005"/>
    <n v="1031.6400000000001"/>
    <s v="Profit"/>
    <n v="0"/>
    <n v="21"/>
    <x v="444"/>
    <n v="11721.990000000002"/>
    <n v="9942.4500000000007"/>
    <n v="0.45892947152107322"/>
  </r>
  <r>
    <x v="444"/>
    <x v="367"/>
    <d v="2023-06-24T00:00:00"/>
    <d v="2023-06-24T00:00:00"/>
    <n v="11"/>
    <s v="Q2-2023"/>
    <s v="Americas"/>
    <x v="3"/>
    <s v="Toronto"/>
    <s v="Corporate"/>
    <s v="Online"/>
    <s v="C. Otieno"/>
    <x v="1"/>
    <n v="1.7616670323136227E-2"/>
    <x v="444"/>
    <n v="247.07"/>
    <n v="495.19"/>
    <s v="Profit"/>
    <n v="2.8000000000000001E-2"/>
    <n v="4"/>
    <x v="445"/>
    <n v="988.28"/>
    <n v="937.01872000000003"/>
    <n v="0.48668744764968214"/>
  </r>
  <r>
    <x v="445"/>
    <x v="240"/>
    <d v="2024-01-13T00:00:00"/>
    <d v="2024-01-13T00:00:00"/>
    <n v="20"/>
    <s v="Q4-2023"/>
    <s v="Asia"/>
    <x v="2"/>
    <s v="Nagoya"/>
    <s v="Education"/>
    <s v="Direct"/>
    <s v="B. Chen"/>
    <x v="4"/>
    <n v="8.9409701385457396E-2"/>
    <x v="445"/>
    <n v="625.37"/>
    <n v="1319.04"/>
    <s v="Profit"/>
    <n v="7.3999999999999996E-2"/>
    <n v="8"/>
    <x v="446"/>
    <n v="5002.96"/>
    <n v="4768.4883199999995"/>
    <n v="0.48800220436513547"/>
  </r>
  <r>
    <x v="446"/>
    <x v="258"/>
    <d v="2025-04-29T00:00:00"/>
    <d v="2025-04-29T00:00:00"/>
    <n v="30"/>
    <s v="Q1-2025"/>
    <s v="Africa"/>
    <x v="11"/>
    <s v="Durban"/>
    <s v="Consumer"/>
    <s v="Marketplace"/>
    <s v="J. Njeri"/>
    <x v="5"/>
    <n v="5.092328498697405E-2"/>
    <x v="446"/>
    <n v="194.6"/>
    <n v="314.87"/>
    <s v="Profit"/>
    <n v="0.29299999999999998"/>
    <n v="25"/>
    <x v="447"/>
    <n v="4865"/>
    <n v="700.32725000000028"/>
    <n v="0.1258375686712763"/>
  </r>
  <r>
    <x v="447"/>
    <x v="368"/>
    <d v="2024-06-24T00:00:00"/>
    <d v="2024-06-24T00:00:00"/>
    <n v="21"/>
    <s v="Q2-2024"/>
    <s v="Americas"/>
    <x v="3"/>
    <s v="Toronto"/>
    <s v="Small Business"/>
    <s v="Direct"/>
    <s v="G. Dubois"/>
    <x v="5"/>
    <n v="0.41676115247225448"/>
    <x v="447"/>
    <n v="1205.5"/>
    <n v="2210.17"/>
    <s v="Profit"/>
    <n v="0.104"/>
    <n v="23"/>
    <x v="448"/>
    <n v="27726.5"/>
    <n v="17820.683360000003"/>
    <n v="0.39125763758314652"/>
  </r>
  <r>
    <x v="448"/>
    <x v="369"/>
    <d v="2024-07-09T00:00:00"/>
    <d v="2024-07-09T00:00:00"/>
    <n v="28"/>
    <s v="Q2-2024"/>
    <s v="Africa"/>
    <x v="1"/>
    <s v="Port Harcourt"/>
    <s v="Corporate"/>
    <s v="Marketplace"/>
    <s v="I. Johnson"/>
    <x v="3"/>
    <n v="0.11244737384704943"/>
    <x v="448"/>
    <n v="895.54"/>
    <n v="1045"/>
    <s v="Profit"/>
    <n v="0.216"/>
    <n v="15"/>
    <x v="449"/>
    <n v="13433.099999999999"/>
    <n v="-1143.8999999999978"/>
    <n v="-9.3081730299775234E-2"/>
  </r>
  <r>
    <x v="449"/>
    <x v="370"/>
    <d v="2023-07-21T00:00:00"/>
    <d v="2023-07-29T00:00:00"/>
    <n v="7"/>
    <s v="Q3-2023"/>
    <s v="Asia"/>
    <x v="4"/>
    <s v="Delhi"/>
    <s v="Small Business"/>
    <s v="Distributor"/>
    <s v="E. Garcia"/>
    <x v="1"/>
    <n v="0.11403446322958259"/>
    <x v="449"/>
    <n v="946.99"/>
    <n v="2132.19"/>
    <s v="Profit"/>
    <n v="0.16500000000000001"/>
    <n v="7"/>
    <x v="450"/>
    <n v="6628.93"/>
    <n v="5833.72055"/>
    <n v="0.46809629513362228"/>
  </r>
  <r>
    <x v="450"/>
    <x v="371"/>
    <d v="2023-02-03T00:00:00"/>
    <d v="2023-02-03T00:00:00"/>
    <n v="15"/>
    <s v="Q1-2023"/>
    <s v="Europe"/>
    <x v="8"/>
    <s v="London"/>
    <s v="Enterprise"/>
    <s v="Distributor"/>
    <s v="G. Dubois"/>
    <x v="6"/>
    <n v="0.17960247137870741"/>
    <x v="450"/>
    <n v="873.06"/>
    <n v="2101.5500000000002"/>
    <s v="Profit"/>
    <n v="6.6000000000000003E-2"/>
    <n v="10"/>
    <x v="451"/>
    <n v="8730.5999999999985"/>
    <n v="10897.877"/>
    <n v="0.55520746719167269"/>
  </r>
  <r>
    <x v="451"/>
    <x v="372"/>
    <d v="2024-05-16T00:00:00"/>
    <d v="2024-05-16T00:00:00"/>
    <n v="15"/>
    <s v="Q2-2024"/>
    <s v="Asia"/>
    <x v="4"/>
    <s v="Bengaluru"/>
    <s v="Small Business"/>
    <s v="Retail"/>
    <s v="L. Okafor"/>
    <x v="0"/>
    <n v="0.2168061086655016"/>
    <x v="451"/>
    <n v="901.19"/>
    <n v="2125.44"/>
    <s v="Profit"/>
    <n v="7.0999999999999994E-2"/>
    <n v="12"/>
    <x v="452"/>
    <n v="10814.28"/>
    <n v="12880.125119999999"/>
    <n v="0.54359352154100415"/>
  </r>
  <r>
    <x v="452"/>
    <x v="56"/>
    <d v="2025-06-24T00:00:00"/>
    <d v="2025-06-24T00:00:00"/>
    <n v="15"/>
    <s v="Q2-2025"/>
    <s v="Asia"/>
    <x v="2"/>
    <s v="Nagoya"/>
    <s v="Corporate"/>
    <s v="Direct"/>
    <s v="B. Chen"/>
    <x v="3"/>
    <n v="0.10966291922216106"/>
    <x v="452"/>
    <n v="400.39"/>
    <n v="712.75"/>
    <s v="Profit"/>
    <n v="0.115"/>
    <n v="19"/>
    <x v="453"/>
    <n v="7607.41"/>
    <n v="4377.4812500000007"/>
    <n v="0.36524997671547504"/>
  </r>
  <r>
    <x v="453"/>
    <x v="373"/>
    <d v="2023-06-21T00:00:00"/>
    <d v="2023-06-21T00:00:00"/>
    <n v="28"/>
    <s v="Q2-2023"/>
    <s v="Americas"/>
    <x v="10"/>
    <s v="Austin"/>
    <s v="Small Business"/>
    <s v="Marketplace"/>
    <s v="G. Dubois"/>
    <x v="5"/>
    <n v="0.21166369212327235"/>
    <x v="453"/>
    <n v="813.97"/>
    <n v="1568.83"/>
    <s v="Profit"/>
    <n v="1.7000000000000001E-2"/>
    <n v="15"/>
    <x v="454"/>
    <n v="12209.550000000001"/>
    <n v="10922.848349999995"/>
    <n v="0.4721883215364911"/>
  </r>
  <r>
    <x v="454"/>
    <x v="6"/>
    <d v="2024-12-29T00:00:00"/>
    <d v="2024-12-29T00:00:00"/>
    <n v="2"/>
    <s v="Q4-2024"/>
    <s v="Americas"/>
    <x v="3"/>
    <s v="Vancouver"/>
    <s v="Enterprise"/>
    <s v="Marketplace"/>
    <s v="C. Otieno"/>
    <x v="6"/>
    <n v="0.13498869379889653"/>
    <x v="454"/>
    <n v="1146.72"/>
    <n v="2074.34"/>
    <s v="Profit"/>
    <n v="0.111"/>
    <n v="8"/>
    <x v="455"/>
    <n v="9173.76"/>
    <n v="5578.9460800000015"/>
    <n v="0.37816425337472737"/>
  </r>
  <r>
    <x v="455"/>
    <x v="374"/>
    <d v="2023-12-12T00:00:00"/>
    <d v="2023-12-12T00:00:00"/>
    <n v="7"/>
    <s v="Q4-2023"/>
    <s v="Americas"/>
    <x v="5"/>
    <s v="Brasília"/>
    <s v="Corporate"/>
    <s v="Direct"/>
    <s v="F. Müller"/>
    <x v="3"/>
    <n v="0.19030353744128642"/>
    <x v="455"/>
    <n v="307.43"/>
    <n v="495.19"/>
    <s v="Profit"/>
    <n v="0"/>
    <n v="42"/>
    <x v="456"/>
    <n v="12912.06"/>
    <n v="7885.92"/>
    <n v="0.37916759223732305"/>
  </r>
  <r>
    <x v="456"/>
    <x v="129"/>
    <d v="2023-05-19T00:00:00"/>
    <d v="2023-05-19T00:00:00"/>
    <n v="17"/>
    <s v="Q2-2023"/>
    <s v="Asia"/>
    <x v="9"/>
    <s v="Shanghai"/>
    <s v="Non-Profit"/>
    <s v="Direct"/>
    <s v="J. Njeri"/>
    <x v="5"/>
    <n v="7.1871205100290256E-2"/>
    <x v="456"/>
    <n v="714.28"/>
    <n v="757.59"/>
    <s v="Profit"/>
    <n v="0.13600000000000001"/>
    <n v="12"/>
    <x v="457"/>
    <n v="8571.36"/>
    <n v="-716.66688000000067"/>
    <n v="-9.1240595787910383E-2"/>
  </r>
  <r>
    <x v="457"/>
    <x v="134"/>
    <d v="2023-12-10T00:00:00"/>
    <d v="2023-12-10T00:00:00"/>
    <n v="10"/>
    <s v="Q4-2023"/>
    <s v="Europe"/>
    <x v="6"/>
    <s v="Munich"/>
    <s v="Small Business"/>
    <s v="Direct"/>
    <s v="F. Müller"/>
    <x v="4"/>
    <n v="6.9936617262886774E-2"/>
    <x v="457"/>
    <n v="174.74"/>
    <n v="415.96"/>
    <s v="Profit"/>
    <n v="0.125"/>
    <n v="21"/>
    <x v="458"/>
    <n v="3669.54"/>
    <n v="3973.7249999999995"/>
    <n v="0.51989889137691803"/>
  </r>
  <r>
    <x v="458"/>
    <x v="375"/>
    <d v="2024-05-18T00:00:00"/>
    <d v="2024-05-18T00:00:00"/>
    <n v="13"/>
    <s v="Q2-2024"/>
    <s v="Europe"/>
    <x v="7"/>
    <s v="Marseille"/>
    <s v="Corporate"/>
    <s v="Marketplace"/>
    <s v="A. Patel"/>
    <x v="0"/>
    <n v="0.22254472824408278"/>
    <x v="458"/>
    <n v="1264.04"/>
    <n v="1870.89"/>
    <s v="Profit"/>
    <n v="0"/>
    <n v="13"/>
    <x v="459"/>
    <n v="16432.52"/>
    <n v="7889.0499999999993"/>
    <n v="0.32436433996653996"/>
  </r>
  <r>
    <x v="459"/>
    <x v="376"/>
    <d v="2023-07-19T00:00:00"/>
    <d v="2023-07-19T00:00:00"/>
    <n v="10"/>
    <s v="Q3-2023"/>
    <s v="Asia"/>
    <x v="2"/>
    <s v="Tokyo"/>
    <s v="Enterprise"/>
    <s v="Distributor"/>
    <s v="N. Brown"/>
    <x v="0"/>
    <n v="1.5213816748183394E-2"/>
    <x v="459"/>
    <n v="141.26"/>
    <n v="206.88"/>
    <s v="Profit"/>
    <n v="0.107"/>
    <n v="9"/>
    <x v="460"/>
    <n v="1271.3399999999999"/>
    <n v="391.35456000000022"/>
    <n v="0.23537369365062469"/>
  </r>
  <r>
    <x v="460"/>
    <x v="362"/>
    <d v="2023-06-15T00:00:00"/>
    <d v="2023-06-15T00:00:00"/>
    <n v="29"/>
    <s v="Q2-2023"/>
    <s v="Africa"/>
    <x v="11"/>
    <s v="Durban"/>
    <s v="Enterprise"/>
    <s v="Retail"/>
    <s v="K. Singh"/>
    <x v="6"/>
    <n v="8.5111983838846994E-3"/>
    <x v="460"/>
    <n v="40.89"/>
    <n v="62.82"/>
    <s v="Profit"/>
    <n v="0.129"/>
    <n v="17"/>
    <x v="461"/>
    <n v="695.13"/>
    <n v="235.04574000000002"/>
    <n v="0.25268960465470752"/>
  </r>
  <r>
    <x v="461"/>
    <x v="34"/>
    <d v="2024-04-03T00:00:00"/>
    <d v="2024-04-03T00:00:00"/>
    <n v="27"/>
    <s v="Q1-2024"/>
    <s v="Europe"/>
    <x v="6"/>
    <s v="Frankfurt"/>
    <s v="Corporate"/>
    <s v="Direct"/>
    <s v="M. Rossi"/>
    <x v="1"/>
    <n v="3.7108380017453424E-2"/>
    <x v="461"/>
    <n v="738.16"/>
    <n v="956.49"/>
    <s v="Profit"/>
    <n v="0.152"/>
    <n v="5"/>
    <x v="462"/>
    <n v="3690.7999999999997"/>
    <n v="364.71759999999995"/>
    <n v="8.9931208780847108E-2"/>
  </r>
  <r>
    <x v="462"/>
    <x v="377"/>
    <d v="2025-04-19T00:00:00"/>
    <d v="2025-04-19T00:00:00"/>
    <n v="9"/>
    <s v="Q2-2025"/>
    <s v="Africa"/>
    <x v="11"/>
    <s v="Durban"/>
    <s v="Enterprise"/>
    <s v="not provided"/>
    <s v="G. Dubois"/>
    <x v="2"/>
    <n v="1.726615645375142E-2"/>
    <x v="462"/>
    <n v="113.74"/>
    <n v="165.7"/>
    <s v="Profit"/>
    <n v="0.124"/>
    <n v="13"/>
    <x v="463"/>
    <n v="1478.62"/>
    <n v="408.37159999999994"/>
    <n v="0.21641410592394794"/>
  </r>
  <r>
    <x v="463"/>
    <x v="378"/>
    <d v="2025-08-15T00:00:00"/>
    <d v="2025-08-15T00:00:00"/>
    <n v="19"/>
    <s v="Q3-2025"/>
    <s v="Asia"/>
    <x v="2"/>
    <s v="Tokyo"/>
    <s v="Small Business"/>
    <s v="Marketplace"/>
    <s v="J. Njeri"/>
    <x v="0"/>
    <n v="1.6543795812491654E-2"/>
    <x v="463"/>
    <n v="275.43"/>
    <n v="608.36"/>
    <s v="Profit"/>
    <n v="0.25700000000000001"/>
    <n v="4"/>
    <x v="464"/>
    <n v="1101.72"/>
    <n v="706.32592"/>
    <n v="0.39065706915231446"/>
  </r>
  <r>
    <x v="464"/>
    <x v="379"/>
    <d v="2024-12-15T00:00:00"/>
    <d v="2024-12-15T00:00:00"/>
    <n v="23"/>
    <s v="Q4-2024"/>
    <s v="Africa"/>
    <x v="0"/>
    <s v="Mombasa"/>
    <s v="Non-Profit"/>
    <s v="Distributor"/>
    <s v="C. Otieno"/>
    <x v="0"/>
    <n v="0.76985366783039288"/>
    <x v="464"/>
    <n v="1335.76"/>
    <n v="2665.91"/>
    <s v="Profit"/>
    <n v="0.21099999999999999"/>
    <n v="40"/>
    <x v="465"/>
    <n v="53430.400000000001"/>
    <n v="30705.719600000004"/>
    <n v="0.36495288522909253"/>
  </r>
  <r>
    <x v="465"/>
    <x v="304"/>
    <d v="2024-06-28T00:00:00"/>
    <d v="2024-06-28T00:00:00"/>
    <n v="5"/>
    <s v="Q2-2024"/>
    <s v="Africa"/>
    <x v="1"/>
    <s v="Port Harcourt"/>
    <s v="Non-Profit"/>
    <s v="Direct"/>
    <s v="M. Rossi"/>
    <x v="6"/>
    <n v="2.4886953028293315E-2"/>
    <x v="465"/>
    <n v="242.31"/>
    <n v="587.95000000000005"/>
    <s v="Profit"/>
    <n v="0.22900000000000001"/>
    <n v="6"/>
    <x v="466"/>
    <n v="1453.8600000000001"/>
    <n v="1265.9967000000001"/>
    <n v="0.46546448568411714"/>
  </r>
  <r>
    <x v="466"/>
    <x v="380"/>
    <d v="2024-01-14T00:00:00"/>
    <d v="2024-01-14T00:00:00"/>
    <n v="27"/>
    <s v="Q4-2023"/>
    <s v="Asia"/>
    <x v="4"/>
    <s v="Mumbai"/>
    <s v="Consumer"/>
    <s v="Distributor"/>
    <s v="D. Smith"/>
    <x v="2"/>
    <n v="0.13049799365790143"/>
    <x v="466"/>
    <n v="1408.3"/>
    <n v="2193.13"/>
    <s v="Profit"/>
    <n v="7.0999999999999994E-2"/>
    <n v="7"/>
    <x v="467"/>
    <n v="9858.1"/>
    <n v="4403.8243899999998"/>
    <n v="0.30878191957656281"/>
  </r>
  <r>
    <x v="467"/>
    <x v="262"/>
    <d v="2025-06-05T00:00:00"/>
    <d v="2025-06-05T00:00:00"/>
    <n v="4"/>
    <s v="Q2-2025"/>
    <s v="Europe"/>
    <x v="6"/>
    <s v="Munich"/>
    <s v="Enterprise"/>
    <s v="Direct"/>
    <s v="M. Rossi"/>
    <x v="0"/>
    <n v="0.23121462829189354"/>
    <x v="467"/>
    <n v="1171.42"/>
    <n v="2187.8000000000002"/>
    <s v="Profit"/>
    <n v="0.23"/>
    <n v="15"/>
    <x v="468"/>
    <n v="17571.300000000003"/>
    <n v="7697.7899999999972"/>
    <n v="0.30463265594447592"/>
  </r>
  <r>
    <x v="468"/>
    <x v="381"/>
    <d v="2025-04-02T00:00:00"/>
    <d v="2025-04-02T00:00:00"/>
    <n v="10"/>
    <s v="Q1-2025"/>
    <s v="Europe"/>
    <x v="6"/>
    <s v="Berlin"/>
    <s v="Enterprise"/>
    <s v="Online"/>
    <s v="E. Garcia"/>
    <x v="1"/>
    <n v="0.14870939165572583"/>
    <x v="468"/>
    <n v="663.61"/>
    <n v="1002.11"/>
    <s v="Profit"/>
    <n v="4.5999999999999999E-2"/>
    <n v="17"/>
    <x v="469"/>
    <n v="11281.37"/>
    <n v="4970.8499799999972"/>
    <n v="0.30585667595670812"/>
  </r>
  <r>
    <x v="469"/>
    <x v="382"/>
    <d v="2023-05-22T00:00:00"/>
    <d v="2023-05-22T00:00:00"/>
    <n v="8"/>
    <s v="Q2-2023"/>
    <s v="Africa"/>
    <x v="0"/>
    <s v="Mombasa"/>
    <s v="Small Business"/>
    <s v="Distributor"/>
    <s v="F. Müller"/>
    <x v="1"/>
    <n v="9.5417737888421991E-2"/>
    <x v="469"/>
    <n v="432.01"/>
    <n v="913.78"/>
    <s v="Profit"/>
    <n v="4.9000000000000002E-2"/>
    <n v="12"/>
    <x v="470"/>
    <n v="5184.12"/>
    <n v="5243.9373600000008"/>
    <n v="0.50286809699711899"/>
  </r>
  <r>
    <x v="470"/>
    <x v="345"/>
    <d v="2023-09-19T00:00:00"/>
    <d v="2023-09-19T00:00:00"/>
    <n v="21"/>
    <s v="Q3-2023"/>
    <s v="Europe"/>
    <x v="7"/>
    <s v="Lyon"/>
    <s v="Small Business"/>
    <s v="Direct"/>
    <s v="B. Chen"/>
    <x v="1"/>
    <n v="0.33443082836112259"/>
    <x v="470"/>
    <n v="784.46"/>
    <n v="1843.51"/>
    <s v="Profit"/>
    <n v="0.13800000000000001"/>
    <n v="23"/>
    <x v="471"/>
    <n v="18042.580000000002"/>
    <n v="18506.849260000003"/>
    <n v="0.50635125184441798"/>
  </r>
  <r>
    <x v="471"/>
    <x v="350"/>
    <d v="2025-07-23T00:00:00"/>
    <d v="2025-07-23T00:00:00"/>
    <n v="20"/>
    <s v="Q3-2025"/>
    <s v="Asia"/>
    <x v="9"/>
    <s v="Beijing"/>
    <s v="Small Business"/>
    <s v="Online"/>
    <s v="M. Rossi"/>
    <x v="0"/>
    <n v="0.14067874685784987"/>
    <x v="471"/>
    <n v="647.36"/>
    <n v="1383.6"/>
    <s v="Profit"/>
    <n v="7.3999999999999996E-2"/>
    <n v="12"/>
    <x v="472"/>
    <n v="7768.32"/>
    <n v="7606.243199999999"/>
    <n v="0.49472906000997802"/>
  </r>
  <r>
    <x v="472"/>
    <x v="383"/>
    <d v="2024-02-28T00:00:00"/>
    <d v="2024-02-28T00:00:00"/>
    <n v="22"/>
    <s v="Q1-2024"/>
    <s v="Africa"/>
    <x v="0"/>
    <s v="Kisumu"/>
    <s v="Non-Profit"/>
    <s v="Online"/>
    <s v="K. Singh"/>
    <x v="5"/>
    <n v="7.6222608828883653E-2"/>
    <x v="472"/>
    <n v="834.93"/>
    <n v="1588.53"/>
    <s v="Profit"/>
    <n v="0.126"/>
    <n v="6"/>
    <x v="473"/>
    <n v="5009.58"/>
    <n v="3320.6713199999995"/>
    <n v="0.39862798761274343"/>
  </r>
  <r>
    <x v="473"/>
    <x v="384"/>
    <d v="2025-09-03T00:00:00"/>
    <d v="2025-09-03T00:00:00"/>
    <n v="21"/>
    <s v="Q3-2025"/>
    <s v="Europe"/>
    <x v="7"/>
    <s v="Paris"/>
    <s v="Education"/>
    <s v="Retail"/>
    <s v="I. Johnson"/>
    <x v="3"/>
    <n v="0.17598707126922047"/>
    <x v="473"/>
    <n v="603.47"/>
    <n v="1344.05"/>
    <s v="Profit"/>
    <n v="0.20499999999999999"/>
    <n v="18"/>
    <x v="474"/>
    <n v="10862.460000000001"/>
    <n v="8370.8954999999969"/>
    <n v="0.43522803392262976"/>
  </r>
  <r>
    <x v="474"/>
    <x v="207"/>
    <d v="2023-05-25T00:00:00"/>
    <d v="2023-05-25T00:00:00"/>
    <n v="2"/>
    <s v="Q2-2023"/>
    <s v="Americas"/>
    <x v="5"/>
    <s v="Rio de Janeiro"/>
    <s v="Enterprise"/>
    <s v="Retail"/>
    <s v="M. Rossi"/>
    <x v="1"/>
    <n v="0.24882913297003725"/>
    <x v="474"/>
    <n v="690.49"/>
    <n v="1290.29"/>
    <s v="Profit"/>
    <n v="4.2000000000000003E-2"/>
    <n v="22"/>
    <x v="475"/>
    <n v="15190.78"/>
    <n v="12003.372039999997"/>
    <n v="0.44139534199647718"/>
  </r>
  <r>
    <x v="475"/>
    <x v="385"/>
    <d v="2024-05-16T00:00:00"/>
    <d v="2024-05-16T00:00:00"/>
    <n v="6"/>
    <s v="Q2-2024"/>
    <s v="Europe"/>
    <x v="8"/>
    <s v="Birmingham"/>
    <s v="Non-Profit"/>
    <s v="Direct"/>
    <s v="G. Dubois"/>
    <x v="4"/>
    <n v="9.2351646841916553E-3"/>
    <x v="475"/>
    <n v="210.76"/>
    <n v="221.58"/>
    <s v="Profit"/>
    <n v="8.8999999999999996E-2"/>
    <n v="5"/>
    <x v="476"/>
    <n v="1053.8"/>
    <n v="-44.50309999999979"/>
    <n v="-4.4093170205912434E-2"/>
  </r>
  <r>
    <x v="476"/>
    <x v="211"/>
    <d v="2023-03-18T00:00:00"/>
    <d v="2023-03-18T00:00:00"/>
    <n v="4"/>
    <s v="Q1-2023"/>
    <s v="Europe"/>
    <x v="6"/>
    <s v="Frankfurt"/>
    <s v="Enterprise"/>
    <s v="Direct"/>
    <s v="A. Patel"/>
    <x v="0"/>
    <n v="3.8543636805488987E-2"/>
    <x v="476"/>
    <n v="472.33"/>
    <n v="360.34"/>
    <s v="Loss"/>
    <n v="0.16500000000000001"/>
    <n v="14"/>
    <x v="477"/>
    <n v="6612.62"/>
    <n v="-2400.2454000000007"/>
    <n v="-0.56980815523861561"/>
  </r>
  <r>
    <x v="477"/>
    <x v="386"/>
    <d v="2023-08-13T00:00:00"/>
    <d v="2023-08-13T00:00:00"/>
    <n v="28"/>
    <s v="Q3-2023"/>
    <s v="Europe"/>
    <x v="8"/>
    <s v="Manchester"/>
    <s v="Non-Profit"/>
    <s v="Online"/>
    <s v="J. Njeri"/>
    <x v="4"/>
    <n v="0.38351914673586579"/>
    <x v="477"/>
    <n v="1039.03"/>
    <n v="2545.81"/>
    <s v="Profit"/>
    <n v="0.216"/>
    <n v="21"/>
    <x v="478"/>
    <n v="21819.63"/>
    <n v="20094.585840000003"/>
    <n v="0.47942172929364774"/>
  </r>
  <r>
    <x v="478"/>
    <x v="387"/>
    <d v="2023-04-19T00:00:00"/>
    <d v="2023-04-19T00:00:00"/>
    <n v="3"/>
    <s v="Q2-2023"/>
    <s v="Europe"/>
    <x v="6"/>
    <s v="Munich"/>
    <s v="Corporate"/>
    <s v="Direct"/>
    <s v="B. Chen"/>
    <x v="6"/>
    <n v="0.2069830646968307"/>
    <x v="478"/>
    <n v="553.61"/>
    <n v="699.47"/>
    <s v="Profit"/>
    <n v="0.02"/>
    <n v="33"/>
    <x v="479"/>
    <n v="18269.13"/>
    <n v="4351.729800000001"/>
    <n v="0.19237685209472014"/>
  </r>
  <r>
    <x v="479"/>
    <x v="279"/>
    <d v="2024-01-15T00:00:00"/>
    <d v="2024-01-15T00:00:00"/>
    <n v="13"/>
    <s v="Q1-2024"/>
    <s v="Asia"/>
    <x v="2"/>
    <s v="Nagoya"/>
    <s v="Small Business"/>
    <s v="Marketplace"/>
    <s v="G. Dubois"/>
    <x v="2"/>
    <n v="0.37047638890968526"/>
    <x v="479"/>
    <n v="1219.06"/>
    <n v="2738.69"/>
    <s v="Profit"/>
    <n v="7.5999999999999998E-2"/>
    <n v="16"/>
    <x v="480"/>
    <n v="19504.96"/>
    <n v="20983.832960000007"/>
    <n v="0.51826274447673737"/>
  </r>
  <r>
    <x v="480"/>
    <x v="209"/>
    <d v="2024-09-07T00:00:00"/>
    <d v="2024-09-07T00:00:00"/>
    <n v="4"/>
    <s v="Q3-2024"/>
    <s v="Asia"/>
    <x v="2"/>
    <s v="Tokyo"/>
    <s v="Small Business"/>
    <s v="Distributor"/>
    <s v="N. Brown"/>
    <x v="1"/>
    <n v="4.3357974144020858E-2"/>
    <x v="480"/>
    <n v="43.23"/>
    <n v="94.78"/>
    <s v="Profit"/>
    <n v="9.0999999999999998E-2"/>
    <n v="55"/>
    <x v="481"/>
    <n v="2377.6499999999996"/>
    <n v="2360.8761000000004"/>
    <n v="0.49823005090127082"/>
  </r>
  <r>
    <x v="481"/>
    <x v="388"/>
    <d v="2025-09-03T00:00:00"/>
    <d v="2025-09-03T00:00:00"/>
    <n v="4"/>
    <s v="Q3-2025"/>
    <s v="Europe"/>
    <x v="7"/>
    <s v="Marseille"/>
    <s v="Small Business"/>
    <s v="Marketplace"/>
    <s v="J. Njeri"/>
    <x v="4"/>
    <n v="0.33087755045718337"/>
    <x v="481"/>
    <n v="1286.56"/>
    <n v="2777.35"/>
    <s v="Profit"/>
    <n v="0.13200000000000001"/>
    <n v="15"/>
    <x v="482"/>
    <n v="19298.399999999998"/>
    <n v="16862.697000000004"/>
    <n v="0.46632150014696744"/>
  </r>
  <r>
    <x v="482"/>
    <x v="86"/>
    <d v="2025-05-19T00:00:00"/>
    <d v="2025-05-19T00:00:00"/>
    <n v="21"/>
    <s v="Q2-2025"/>
    <s v="Europe"/>
    <x v="6"/>
    <s v="Berlin"/>
    <s v="Corporate"/>
    <s v="Distributor"/>
    <s v="B. Chen"/>
    <x v="3"/>
    <n v="4.6912905470514348E-2"/>
    <x v="482"/>
    <n v="350.76"/>
    <n v="492.18"/>
    <s v="Profit"/>
    <n v="5.2999999999999999E-2"/>
    <n v="11"/>
    <x v="483"/>
    <n v="3858.3599999999997"/>
    <n v="1268.6790600000004"/>
    <n v="0.24744868239798437"/>
  </r>
  <r>
    <x v="483"/>
    <x v="389"/>
    <d v="2023-08-15T00:00:00"/>
    <d v="2023-08-15T00:00:00"/>
    <n v="5"/>
    <s v="Q3-2023"/>
    <s v="Americas"/>
    <x v="5"/>
    <s v="São Paulo"/>
    <s v="Education"/>
    <s v="Direct"/>
    <s v="G. Dubois"/>
    <x v="2"/>
    <n v="0.20046702294390478"/>
    <x v="483"/>
    <n v="1307.52"/>
    <n v="1921.65"/>
    <s v="Profit"/>
    <n v="0.123"/>
    <n v="13"/>
    <x v="484"/>
    <n v="16997.759999999998"/>
    <n v="4910.9716500000031"/>
    <n v="0.22415590863289445"/>
  </r>
  <r>
    <x v="484"/>
    <x v="390"/>
    <d v="2024-12-08T00:00:00"/>
    <d v="2024-12-08T00:00:00"/>
    <n v="0"/>
    <s v="Q4-2024"/>
    <s v="Europe"/>
    <x v="7"/>
    <s v="Lyon"/>
    <s v="Enterprise"/>
    <s v="Retail"/>
    <s v="H. Kim"/>
    <x v="0"/>
    <n v="5.5479342258861877E-2"/>
    <x v="484"/>
    <n v="257.44"/>
    <n v="290.33"/>
    <s v="Profit"/>
    <n v="9.1999999999999998E-2"/>
    <n v="23"/>
    <x v="485"/>
    <n v="5921.12"/>
    <n v="142.1317199999994"/>
    <n v="2.3441500792581216E-2"/>
  </r>
  <r>
    <x v="485"/>
    <x v="391"/>
    <d v="2023-11-24T00:00:00"/>
    <d v="2023-11-24T00:00:00"/>
    <n v="30"/>
    <s v="Q4-2023"/>
    <s v="Europe"/>
    <x v="7"/>
    <s v="Paris"/>
    <s v="Enterprise"/>
    <s v="Distributor"/>
    <s v="C. Otieno"/>
    <x v="3"/>
    <n v="4.7212573897076122E-2"/>
    <x v="485"/>
    <n v="287.85000000000002"/>
    <n v="602.91999999999996"/>
    <s v="Profit"/>
    <n v="0.222"/>
    <n v="11"/>
    <x v="486"/>
    <n v="3166.3500000000004"/>
    <n v="1993.4393599999994"/>
    <n v="0.38634122847216373"/>
  </r>
  <r>
    <x v="486"/>
    <x v="392"/>
    <d v="2024-11-28T00:00:00"/>
    <d v="2024-11-28T00:00:00"/>
    <n v="11"/>
    <s v="Q4-2024"/>
    <s v="Americas"/>
    <x v="3"/>
    <s v="not provided"/>
    <s v="Consumer"/>
    <s v="Distributor"/>
    <s v="A. Patel"/>
    <x v="1"/>
    <n v="0.26403954954212122"/>
    <x v="486"/>
    <n v="1008.16"/>
    <n v="2077.5"/>
    <s v="Profit"/>
    <n v="7.3999999999999996E-2"/>
    <n v="15"/>
    <x v="487"/>
    <n v="15122.4"/>
    <n v="13734.075000000003"/>
    <n v="0.47594430712691005"/>
  </r>
  <r>
    <x v="487"/>
    <x v="393"/>
    <d v="2024-05-24T00:00:00"/>
    <d v="2024-05-24T00:00:00"/>
    <n v="12"/>
    <s v="Q2-2024"/>
    <s v="Europe"/>
    <x v="8"/>
    <s v="Manchester"/>
    <s v="Education"/>
    <s v="Marketplace"/>
    <s v="K. Singh"/>
    <x v="1"/>
    <n v="3.6836978620001001E-2"/>
    <x v="487"/>
    <n v="111.02"/>
    <n v="172.88"/>
    <s v="Profit"/>
    <n v="0.19700000000000001"/>
    <n v="29"/>
    <x v="488"/>
    <n v="3219.58"/>
    <n v="806.27655999999934"/>
    <n v="0.20027453735212053"/>
  </r>
  <r>
    <x v="488"/>
    <x v="394"/>
    <d v="2025-06-05T00:00:00"/>
    <d v="2025-06-05T00:00:00"/>
    <n v="21"/>
    <s v="Q2-2025"/>
    <s v="Asia"/>
    <x v="2"/>
    <s v="Osaka"/>
    <s v="Enterprise"/>
    <s v="Direct"/>
    <s v="H. Kim"/>
    <x v="3"/>
    <n v="8.7973063664760556E-2"/>
    <x v="488"/>
    <n v="1466.5"/>
    <n v="2778.74"/>
    <s v="Profit"/>
    <n v="0.13500000000000001"/>
    <n v="4"/>
    <x v="489"/>
    <n v="5866"/>
    <n v="3748.4403999999995"/>
    <n v="0.38987608680792279"/>
  </r>
  <r>
    <x v="489"/>
    <x v="395"/>
    <d v="2024-05-19T00:00:00"/>
    <d v="2024-05-19T00:00:00"/>
    <n v="28"/>
    <s v="Q2-2024"/>
    <s v="Africa"/>
    <x v="1"/>
    <s v="Lagos"/>
    <s v="Corporate"/>
    <s v="Distributor"/>
    <s v="A. Patel"/>
    <x v="6"/>
    <n v="1.4158402818916768E-2"/>
    <x v="489"/>
    <n v="187.22"/>
    <n v="309.47000000000003"/>
    <s v="Profit"/>
    <n v="0"/>
    <n v="5"/>
    <x v="490"/>
    <n v="936.1"/>
    <n v="611.25000000000011"/>
    <n v="0.39503021294471197"/>
  </r>
  <r>
    <x v="490"/>
    <x v="396"/>
    <d v="2024-09-07T00:00:00"/>
    <d v="2024-09-07T00:00:00"/>
    <n v="19"/>
    <s v="Q3-2024"/>
    <s v="Europe"/>
    <x v="7"/>
    <s v="Lyon"/>
    <s v="Corporate"/>
    <s v="Direct"/>
    <s v="J. Njeri"/>
    <x v="0"/>
    <n v="6.0977162390889725E-2"/>
    <x v="490"/>
    <n v="297.58999999999997"/>
    <n v="666.41"/>
    <s v="Profit"/>
    <n v="0"/>
    <n v="10"/>
    <x v="491"/>
    <n v="2975.8999999999996"/>
    <n v="3688.2"/>
    <n v="0.55344307558409989"/>
  </r>
  <r>
    <x v="491"/>
    <x v="319"/>
    <d v="2025-08-19T00:00:00"/>
    <d v="2025-08-19T00:00:00"/>
    <n v="27"/>
    <s v="Q3-2025"/>
    <s v="Asia"/>
    <x v="2"/>
    <s v="Nagoya"/>
    <s v="Consumer"/>
    <s v="Marketplace"/>
    <s v="B. Chen"/>
    <x v="6"/>
    <n v="6.8693910452642823E-2"/>
    <x v="491"/>
    <n v="896.09"/>
    <n v="744.27"/>
    <s v="Loss"/>
    <n v="8.3000000000000004E-2"/>
    <n v="11"/>
    <x v="492"/>
    <n v="9856.99"/>
    <n v="-2349.5385100000003"/>
    <n v="-0.31296086469950679"/>
  </r>
  <r>
    <x v="492"/>
    <x v="397"/>
    <d v="2024-02-29T00:00:00"/>
    <d v="2024-03-08T00:00:00"/>
    <n v="7"/>
    <s v="Q1-2024"/>
    <s v="Americas"/>
    <x v="5"/>
    <s v="São Paulo"/>
    <s v="Non-Profit"/>
    <s v="Direct"/>
    <s v="I. Johnson"/>
    <x v="3"/>
    <n v="1.0078758805580036E-3"/>
    <x v="492"/>
    <n v="5.34"/>
    <n v="12.69"/>
    <s v="Profit"/>
    <n v="0.13200000000000001"/>
    <n v="10"/>
    <x v="493"/>
    <n v="53.4"/>
    <n v="56.749199999999995"/>
    <n v="0.51520301554618642"/>
  </r>
  <r>
    <x v="493"/>
    <x v="398"/>
    <d v="2024-06-17T00:00:00"/>
    <d v="2024-06-17T00:00:00"/>
    <n v="21"/>
    <s v="Q2-2024"/>
    <s v="Asia"/>
    <x v="4"/>
    <s v="Delhi"/>
    <s v="Small Business"/>
    <s v="Online"/>
    <s v="H. Kim"/>
    <x v="6"/>
    <n v="0.10851736247035344"/>
    <x v="493"/>
    <n v="465.02"/>
    <n v="651.55999999999995"/>
    <s v="Profit"/>
    <n v="4.2000000000000003E-2"/>
    <n v="19"/>
    <x v="494"/>
    <n v="8835.3799999999992"/>
    <n v="3024.3151199999993"/>
    <n v="0.25500783025187918"/>
  </r>
  <r>
    <x v="494"/>
    <x v="399"/>
    <d v="2024-08-17T00:00:00"/>
    <d v="2024-08-17T00:00:00"/>
    <n v="13"/>
    <s v="Q3-2024"/>
    <s v="Americas"/>
    <x v="10"/>
    <s v="Austin"/>
    <s v="Consumer"/>
    <s v="Retail"/>
    <s v="D. Smith"/>
    <x v="5"/>
    <n v="4.2849465547215464E-2"/>
    <x v="494"/>
    <n v="352.79"/>
    <n v="754.22"/>
    <s v="Profit"/>
    <n v="0.113"/>
    <n v="7"/>
    <x v="495"/>
    <n v="2469.5300000000002"/>
    <n v="2213.4219799999996"/>
    <n v="0.47265528014233443"/>
  </r>
  <r>
    <x v="495"/>
    <x v="264"/>
    <d v="2023-07-04T00:00:00"/>
    <d v="2023-07-04T00:00:00"/>
    <n v="14"/>
    <s v="Q2-2023"/>
    <s v="Americas"/>
    <x v="5"/>
    <s v="Brasília"/>
    <s v="Non-Profit"/>
    <s v="Direct"/>
    <s v="C. Otieno"/>
    <x v="2"/>
    <n v="0.28083916413662557"/>
    <x v="495"/>
    <n v="1292.8599999999999"/>
    <n v="2981.01"/>
    <s v="Profit"/>
    <n v="0.14199999999999999"/>
    <n v="12"/>
    <x v="496"/>
    <n v="15514.32"/>
    <n v="15178.158960000001"/>
    <n v="0.49452372288927687"/>
  </r>
  <r>
    <x v="496"/>
    <x v="191"/>
    <d v="2024-09-13T00:00:00"/>
    <d v="2024-09-13T00:00:00"/>
    <n v="4"/>
    <s v="Q3-2024"/>
    <s v="Europe"/>
    <x v="8"/>
    <s v="London"/>
    <s v="Consumer"/>
    <s v="Marketplace"/>
    <s v="F. Müller"/>
    <x v="2"/>
    <n v="0.23103641386280163"/>
    <x v="496"/>
    <n v="1133.08"/>
    <n v="976.17"/>
    <s v="Loss"/>
    <n v="4.2000000000000003E-2"/>
    <n v="27"/>
    <x v="497"/>
    <n v="30593.159999999996"/>
    <n v="-5343.5467799999969"/>
    <n v="-0.21162885678452373"/>
  </r>
  <r>
    <x v="497"/>
    <x v="391"/>
    <d v="2023-10-28T00:00:00"/>
    <d v="2023-10-28T00:00:00"/>
    <n v="3"/>
    <s v="Q4-2023"/>
    <s v="Americas"/>
    <x v="5"/>
    <s v="Brasília"/>
    <s v="Corporate"/>
    <s v="Distributor"/>
    <s v="L. Okafor"/>
    <x v="6"/>
    <n v="7.9099566635372806E-2"/>
    <x v="497"/>
    <n v="509.31"/>
    <n v="1145.9000000000001"/>
    <s v="Profit"/>
    <n v="5.7000000000000002E-2"/>
    <n v="8"/>
    <x v="498"/>
    <n v="4074.48"/>
    <n v="4570.1896000000015"/>
    <n v="0.52867140231709964"/>
  </r>
  <r>
    <x v="498"/>
    <x v="17"/>
    <d v="2025-10-05T00:00:00"/>
    <d v="2025-10-05T00:00:00"/>
    <n v="27"/>
    <s v="Q3-2025"/>
    <s v="Americas"/>
    <x v="5"/>
    <s v="Rio de Janeiro"/>
    <s v="Education"/>
    <s v="Online"/>
    <s v="C. Otieno"/>
    <x v="5"/>
    <n v="0.15165869452229819"/>
    <x v="498"/>
    <n v="660.78"/>
    <n v="1630.39"/>
    <s v="Profit"/>
    <n v="0.218"/>
    <n v="13"/>
    <x v="499"/>
    <n v="8590.14"/>
    <n v="7984.4047400000018"/>
    <n v="0.48172694123724097"/>
  </r>
  <r>
    <x v="499"/>
    <x v="129"/>
    <d v="2023-05-16T00:00:00"/>
    <d v="2023-05-16T00:00:00"/>
    <n v="14"/>
    <s v="Q2-2023"/>
    <s v="Asia"/>
    <x v="4"/>
    <s v="Bengaluru"/>
    <s v="Non-Profit"/>
    <s v="Retail"/>
    <s v="L. Okafor"/>
    <x v="5"/>
    <n v="0.18604687143951781"/>
    <x v="499"/>
    <n v="475.37"/>
    <n v="963.73"/>
    <s v="Profit"/>
    <n v="4.1000000000000002E-2"/>
    <n v="22"/>
    <x v="500"/>
    <n v="10458.14"/>
    <n v="9874.6355399999993"/>
    <n v="0.48565113604750881"/>
  </r>
  <r>
    <x v="500"/>
    <x v="400"/>
    <d v="2024-04-24T00:00:00"/>
    <d v="2024-05-03T00:00:00"/>
    <n v="7"/>
    <s v="Q2-2024"/>
    <s v="Europe"/>
    <x v="8"/>
    <s v="London"/>
    <s v="Non-Profit"/>
    <s v="Distributor"/>
    <s v="N. Brown"/>
    <x v="3"/>
    <n v="6.7967936346519112E-2"/>
    <x v="500"/>
    <n v="1232.77"/>
    <n v="891.73"/>
    <s v="Loss"/>
    <n v="0.16700000000000001"/>
    <n v="10"/>
    <x v="501"/>
    <n v="12327.7"/>
    <n v="-4899.589100000002"/>
    <n v="-0.65960096260813805"/>
  </r>
  <r>
    <x v="501"/>
    <x v="29"/>
    <d v="2023-03-18T00:00:00"/>
    <d v="2023-03-18T00:00:00"/>
    <n v="23"/>
    <s v="Q1-2023"/>
    <s v="Asia"/>
    <x v="9"/>
    <s v="Beijing"/>
    <s v="Education"/>
    <s v="Distributor"/>
    <s v="K. Singh"/>
    <x v="1"/>
    <n v="9.9454079799022876E-2"/>
    <x v="501"/>
    <n v="770.11"/>
    <n v="1667.82"/>
    <s v="Profit"/>
    <n v="6.9000000000000006E-2"/>
    <n v="7"/>
    <x v="502"/>
    <n v="5390.77"/>
    <n v="5478.4129400000002"/>
    <n v="0.50403171703355287"/>
  </r>
  <r>
    <x v="502"/>
    <x v="401"/>
    <d v="2025-03-25T00:00:00"/>
    <d v="2025-03-25T00:00:00"/>
    <n v="1"/>
    <s v="Q1-2025"/>
    <s v="Asia"/>
    <x v="9"/>
    <s v="Beijing"/>
    <s v="Non-Profit"/>
    <s v="Online"/>
    <s v="G. Dubois"/>
    <x v="2"/>
    <n v="7.9031104236011576E-2"/>
    <x v="502"/>
    <n v="1133.03"/>
    <n v="1921.51"/>
    <s v="Profit"/>
    <n v="0.10100000000000001"/>
    <n v="5"/>
    <x v="503"/>
    <n v="5665.15"/>
    <n v="2972.0374499999998"/>
    <n v="0.3440978289755654"/>
  </r>
  <r>
    <x v="503"/>
    <x v="402"/>
    <d v="2025-03-27T00:00:00"/>
    <d v="2025-03-27T00:00:00"/>
    <n v="17"/>
    <s v="Q1-2025"/>
    <s v="Americas"/>
    <x v="5"/>
    <s v="Rio de Janeiro"/>
    <s v="Enterprise"/>
    <s v="Direct"/>
    <s v="F. Müller"/>
    <x v="2"/>
    <n v="9.3238475172319923E-2"/>
    <x v="503"/>
    <n v="996.73"/>
    <n v="1217.43"/>
    <s v="Profit"/>
    <n v="7.0000000000000007E-2"/>
    <n v="9"/>
    <x v="504"/>
    <n v="8970.57"/>
    <n v="1219.3191000000006"/>
    <n v="0.11965970267527255"/>
  </r>
  <r>
    <x v="504"/>
    <x v="403"/>
    <d v="2024-04-09T00:00:00"/>
    <d v="2024-04-09T00:00:00"/>
    <n v="4"/>
    <s v="Q2-2024"/>
    <s v="Africa"/>
    <x v="1"/>
    <s v="Lagos"/>
    <s v="Non-Profit"/>
    <s v="Direct"/>
    <s v="K. Singh"/>
    <x v="0"/>
    <n v="0.29587038612121125"/>
    <x v="504"/>
    <n v="395.07"/>
    <n v="970.27"/>
    <s v="Profit"/>
    <n v="0.123"/>
    <n v="38"/>
    <x v="505"/>
    <n v="15012.66"/>
    <n v="17322.55802"/>
    <n v="0.53571799049833657"/>
  </r>
  <r>
    <x v="505"/>
    <x v="60"/>
    <d v="2025-05-17T00:00:00"/>
    <d v="2025-05-17T00:00:00"/>
    <n v="20"/>
    <s v="Q2-2025"/>
    <s v="Americas"/>
    <x v="10"/>
    <s v="Austin"/>
    <s v="Corporate"/>
    <s v="Direct"/>
    <s v="N. Brown"/>
    <x v="3"/>
    <n v="0.31842732803391577"/>
    <x v="505"/>
    <n v="932.26"/>
    <n v="1624.67"/>
    <s v="Profit"/>
    <n v="0.23499999999999999"/>
    <n v="28"/>
    <x v="506"/>
    <n v="26103.279999999999"/>
    <n v="8697.1514000000025"/>
    <n v="0.24991504559337163"/>
  </r>
  <r>
    <x v="506"/>
    <x v="404"/>
    <d v="2024-10-28T00:00:00"/>
    <d v="2024-10-28T00:00:00"/>
    <n v="4"/>
    <s v="Q4-2024"/>
    <s v="Asia"/>
    <x v="9"/>
    <s v="Shanghai"/>
    <s v="Small Business"/>
    <s v="Distributor"/>
    <s v="I. Johnson"/>
    <x v="2"/>
    <n v="0.14021541887872441"/>
    <x v="506"/>
    <n v="1331.77"/>
    <n v="2606.11"/>
    <s v="Profit"/>
    <n v="0.02"/>
    <n v="6"/>
    <x v="507"/>
    <n v="7990.62"/>
    <n v="7333.3067999999994"/>
    <n v="0.47855271665745619"/>
  </r>
  <r>
    <x v="507"/>
    <x v="290"/>
    <d v="2023-04-20T00:00:00"/>
    <d v="2023-04-20T00:00:00"/>
    <n v="7"/>
    <s v="Q2-2023"/>
    <s v="Europe"/>
    <x v="7"/>
    <s v="Lyon"/>
    <s v="Small Business"/>
    <s v="Online"/>
    <s v="A. Patel"/>
    <x v="4"/>
    <n v="3.587912668654427E-2"/>
    <x v="507"/>
    <n v="227.02"/>
    <n v="434.72"/>
    <s v="Profit"/>
    <n v="9.8000000000000004E-2"/>
    <n v="10"/>
    <x v="508"/>
    <n v="2270.2000000000003"/>
    <n v="1650.9744000000005"/>
    <n v="0.42104079838938052"/>
  </r>
  <r>
    <x v="508"/>
    <x v="405"/>
    <d v="2024-11-21T00:00:00"/>
    <d v="2024-11-21T00:00:00"/>
    <n v="9"/>
    <s v="Q4-2024"/>
    <s v="Asia"/>
    <x v="4"/>
    <s v="Mumbai"/>
    <s v="Corporate"/>
    <s v="Direct"/>
    <s v="H. Kim"/>
    <x v="4"/>
    <n v="7.5922277752286563E-2"/>
    <x v="508"/>
    <n v="903.41"/>
    <n v="1860.41"/>
    <s v="Profit"/>
    <n v="0.108"/>
    <n v="5"/>
    <x v="509"/>
    <n v="4517.05"/>
    <n v="3780.3786000000009"/>
    <n v="0.455608451996803"/>
  </r>
  <r>
    <x v="509"/>
    <x v="406"/>
    <d v="2023-05-14T00:00:00"/>
    <d v="2023-05-14T00:00:00"/>
    <n v="4"/>
    <s v="Q2-2023"/>
    <s v="Asia"/>
    <x v="4"/>
    <s v="Delhi"/>
    <s v="Non-Profit"/>
    <s v="Distributor"/>
    <s v="C. Otieno"/>
    <x v="5"/>
    <n v="8.4476286878690354E-2"/>
    <x v="509"/>
    <n v="622.6"/>
    <n v="833.69"/>
    <s v="Profit"/>
    <n v="0.20899999999999999"/>
    <n v="14"/>
    <x v="510"/>
    <n v="8716.4"/>
    <n v="515.88306000000011"/>
    <n v="5.5878167582959715E-2"/>
  </r>
  <r>
    <x v="510"/>
    <x v="263"/>
    <d v="2024-03-23T00:00:00"/>
    <d v="2024-03-23T00:00:00"/>
    <n v="21"/>
    <s v="Q1-2024"/>
    <s v="Americas"/>
    <x v="10"/>
    <s v="Chicago"/>
    <s v="Small Business"/>
    <s v="Online"/>
    <s v="F. Müller"/>
    <x v="0"/>
    <n v="3.2259130117256979E-2"/>
    <x v="510"/>
    <n v="225.01"/>
    <n v="333.48"/>
    <s v="Profit"/>
    <n v="0.11899999999999999"/>
    <n v="12"/>
    <x v="511"/>
    <n v="2700.12"/>
    <n v="825.43056000000024"/>
    <n v="0.23412813004729685"/>
  </r>
  <r>
    <x v="511"/>
    <x v="407"/>
    <d v="2024-10-11T00:00:00"/>
    <d v="2024-10-11T00:00:00"/>
    <n v="1"/>
    <s v="Q4-2024"/>
    <s v="Europe"/>
    <x v="8"/>
    <s v="Manchester"/>
    <s v="Non-Profit"/>
    <s v="Distributor"/>
    <s v="L. Okafor"/>
    <x v="0"/>
    <n v="0.4602170870073149"/>
    <x v="511"/>
    <n v="1389.46"/>
    <n v="1784.7"/>
    <s v="Profit"/>
    <n v="0.14599999999999999"/>
    <n v="33"/>
    <x v="512"/>
    <n v="45852.18"/>
    <n v="4444.2353999999978"/>
    <n v="8.8360877503011831E-2"/>
  </r>
  <r>
    <x v="512"/>
    <x v="408"/>
    <d v="2023-06-08T00:00:00"/>
    <d v="2023-06-08T00:00:00"/>
    <n v="7"/>
    <s v="Q2-2023"/>
    <s v="Europe"/>
    <x v="6"/>
    <s v="Frankfurt"/>
    <s v="Consumer"/>
    <s v="Online"/>
    <s v="A. Patel"/>
    <x v="3"/>
    <n v="4.7487939116612213E-2"/>
    <x v="512"/>
    <n v="804.17"/>
    <n v="1072.29"/>
    <s v="Profit"/>
    <n v="3.2000000000000001E-2"/>
    <n v="5"/>
    <x v="513"/>
    <n v="4020.85"/>
    <n v="1169.0336000000002"/>
    <n v="0.2252523736755869"/>
  </r>
  <r>
    <x v="513"/>
    <x v="409"/>
    <d v="2025-01-05T00:00:00"/>
    <d v="2025-01-05T00:00:00"/>
    <n v="1"/>
    <s v="Q1-2025"/>
    <s v="Asia"/>
    <x v="4"/>
    <s v="Delhi"/>
    <s v="Education"/>
    <s v="Retail"/>
    <s v="I. Johnson"/>
    <x v="0"/>
    <n v="0.30477646829355359"/>
    <x v="513"/>
    <n v="1428.33"/>
    <n v="3028.05"/>
    <s v="Profit"/>
    <n v="0"/>
    <n v="11"/>
    <x v="514"/>
    <n v="15711.63"/>
    <n v="17596.920000000006"/>
    <n v="0.52830039134096207"/>
  </r>
  <r>
    <x v="514"/>
    <x v="117"/>
    <d v="2025-08-28T00:00:00"/>
    <d v="2025-08-28T00:00:00"/>
    <n v="23"/>
    <s v="Q3-2025"/>
    <s v="Asia"/>
    <x v="4"/>
    <s v="Mumbai"/>
    <s v="Non-Profit"/>
    <s v="Distributor"/>
    <s v="N. Brown"/>
    <x v="4"/>
    <n v="9.9366760970964085E-2"/>
    <x v="514"/>
    <n v="638.54"/>
    <n v="987.24"/>
    <s v="Profit"/>
    <n v="0"/>
    <n v="11"/>
    <x v="515"/>
    <n v="7023.94"/>
    <n v="3835.7"/>
    <n v="0.35320692030306716"/>
  </r>
  <r>
    <x v="515"/>
    <x v="323"/>
    <d v="2023-10-30T00:00:00"/>
    <d v="2023-10-30T00:00:00"/>
    <n v="30"/>
    <s v="Q3-2023"/>
    <s v="Asia"/>
    <x v="2"/>
    <s v="Tokyo"/>
    <s v="Enterprise"/>
    <s v="Online"/>
    <s v="D. Smith"/>
    <x v="1"/>
    <n v="0.2031482812176636"/>
    <x v="515"/>
    <n v="649.13"/>
    <n v="975.43"/>
    <s v="Profit"/>
    <n v="0.157"/>
    <n v="27"/>
    <x v="516"/>
    <n v="17526.509999999998"/>
    <n v="4675.2522299999982"/>
    <n v="0.21058023149543473"/>
  </r>
  <r>
    <x v="516"/>
    <x v="253"/>
    <d v="2025-05-30T00:00:00"/>
    <d v="2025-05-30T00:00:00"/>
    <n v="13"/>
    <s v="Q2-2025"/>
    <s v="Africa"/>
    <x v="1"/>
    <s v="Lagos"/>
    <s v="Consumer"/>
    <s v="Distributor"/>
    <s v="F. Müller"/>
    <x v="6"/>
    <n v="9.2450378220141679E-3"/>
    <x v="516"/>
    <n v="66.400000000000006"/>
    <n v="141.43"/>
    <s v="Profit"/>
    <n v="0.107"/>
    <n v="8"/>
    <x v="517"/>
    <n v="531.20000000000005"/>
    <n v="479.17592000000002"/>
    <n v="0.47425508715607551"/>
  </r>
  <r>
    <x v="517"/>
    <x v="372"/>
    <d v="2024-05-26T00:00:00"/>
    <d v="2024-05-26T00:00:00"/>
    <n v="25"/>
    <s v="Q2-2024"/>
    <s v="Europe"/>
    <x v="6"/>
    <s v="Berlin"/>
    <s v="Non-Profit"/>
    <s v="Retail"/>
    <s v="B. Chen"/>
    <x v="2"/>
    <n v="8.9742178949351839E-2"/>
    <x v="517"/>
    <n v="930.71"/>
    <n v="1625.42"/>
    <s v="Profit"/>
    <n v="0.13800000000000001"/>
    <n v="7"/>
    <x v="518"/>
    <n v="6514.97"/>
    <n v="3292.8142799999996"/>
    <n v="0.33573477821231196"/>
  </r>
  <r>
    <x v="518"/>
    <x v="410"/>
    <d v="2023-05-18T00:00:00"/>
    <d v="2023-05-18T00:00:00"/>
    <n v="17"/>
    <s v="Q2-2023"/>
    <s v="Africa"/>
    <x v="1"/>
    <s v="Port Harcourt"/>
    <s v="Corporate"/>
    <s v="Direct"/>
    <s v="F. Müller"/>
    <x v="0"/>
    <n v="7.8300018336616255E-3"/>
    <x v="518"/>
    <n v="327.97"/>
    <n v="299.94"/>
    <s v="Loss"/>
    <n v="4.9000000000000002E-2"/>
    <n v="3"/>
    <x v="519"/>
    <n v="983.91000000000008"/>
    <n v="-128.18118000000015"/>
    <n v="-0.14979182306843442"/>
  </r>
  <r>
    <x v="519"/>
    <x v="411"/>
    <d v="2024-08-08T00:00:00"/>
    <d v="2024-08-08T00:00:00"/>
    <n v="30"/>
    <s v="Q3-2024"/>
    <s v="Europe"/>
    <x v="7"/>
    <s v="Marseille"/>
    <s v="Corporate"/>
    <s v="Direct"/>
    <s v="J. Njeri"/>
    <x v="0"/>
    <n v="6.7705990110451586E-2"/>
    <x v="519"/>
    <n v="1062.3800000000001"/>
    <n v="1503.96"/>
    <s v="Profit"/>
    <n v="0.18"/>
    <n v="6"/>
    <x v="520"/>
    <n v="6374.2800000000007"/>
    <n v="1025.2031999999999"/>
    <n v="0.13855064905073369"/>
  </r>
  <r>
    <x v="520"/>
    <x v="406"/>
    <d v="2023-05-27T00:00:00"/>
    <d v="2023-05-27T00:00:00"/>
    <n v="17"/>
    <s v="Q2-2023"/>
    <s v="Asia"/>
    <x v="4"/>
    <s v="Mumbai"/>
    <s v="Consumer"/>
    <s v="Retail"/>
    <s v="M. Rossi"/>
    <x v="4"/>
    <n v="0.58737197564317001"/>
    <x v="520"/>
    <n v="1286.1600000000001"/>
    <n v="3101.11"/>
    <s v="Profit"/>
    <n v="0.1"/>
    <n v="23"/>
    <x v="521"/>
    <n v="29581.68"/>
    <n v="34611.296999999999"/>
    <n v="0.53917575749758417"/>
  </r>
  <r>
    <x v="521"/>
    <x v="411"/>
    <d v="2024-07-12T00:00:00"/>
    <d v="2024-07-12T00:00:00"/>
    <n v="3"/>
    <s v="Q3-2024"/>
    <s v="Asia"/>
    <x v="9"/>
    <s v="Shanghai"/>
    <s v="Small Business"/>
    <s v="Retail"/>
    <s v="D. Smith"/>
    <x v="6"/>
    <n v="0.20612112737569366"/>
    <x v="521"/>
    <n v="748.39"/>
    <n v="979.42"/>
    <s v="Profit"/>
    <n v="0"/>
    <n v="23"/>
    <x v="522"/>
    <n v="17212.97"/>
    <n v="5313.6899999999987"/>
    <n v="0.23588450307324738"/>
  </r>
  <r>
    <x v="522"/>
    <x v="412"/>
    <d v="2024-05-10T00:00:00"/>
    <d v="2024-05-10T00:00:00"/>
    <n v="16"/>
    <s v="Q2-2024"/>
    <s v="Africa"/>
    <x v="0"/>
    <s v="Kisumu"/>
    <s v="Non-Profit"/>
    <s v="Online"/>
    <s v="N. Brown"/>
    <x v="5"/>
    <n v="0.14751121772778486"/>
    <x v="522"/>
    <n v="513.30999999999995"/>
    <n v="1186.26"/>
    <s v="Profit"/>
    <n v="9.4E-2"/>
    <n v="15"/>
    <x v="523"/>
    <n v="7699.65"/>
    <n v="8421.6234000000022"/>
    <n v="0.52239194702820446"/>
  </r>
  <r>
    <x v="523"/>
    <x v="94"/>
    <d v="2024-01-15T00:00:00"/>
    <d v="2024-01-15T00:00:00"/>
    <n v="2"/>
    <s v="Q1-2024"/>
    <s v="Americas"/>
    <x v="10"/>
    <s v="San Francisco"/>
    <s v="Non-Profit"/>
    <s v="Direct"/>
    <s v="E. Garcia"/>
    <x v="0"/>
    <n v="5.8883213899563712E-2"/>
    <x v="523"/>
    <n v="1061.3699999999999"/>
    <n v="1938.33"/>
    <s v="Profit"/>
    <n v="0.17"/>
    <n v="4"/>
    <x v="524"/>
    <n v="4245.4799999999996"/>
    <n v="2189.7755999999999"/>
    <n v="0.34027795259600879"/>
  </r>
  <r>
    <x v="524"/>
    <x v="413"/>
    <d v="2024-04-27T00:00:00"/>
    <d v="2024-04-27T00:00:00"/>
    <n v="11"/>
    <s v="Q2-2024"/>
    <s v="Africa"/>
    <x v="0"/>
    <s v="Nakuru"/>
    <s v="Enterprise"/>
    <s v="Online"/>
    <s v="D. Smith"/>
    <x v="1"/>
    <n v="7.618997894195409E-2"/>
    <x v="524"/>
    <n v="401.3"/>
    <n v="826.47"/>
    <s v="Profit"/>
    <n v="0.22500000000000001"/>
    <n v="13"/>
    <x v="525"/>
    <n v="5216.9000000000005"/>
    <n v="3109.7852499999999"/>
    <n v="0.37347217489696755"/>
  </r>
  <r>
    <x v="525"/>
    <x v="414"/>
    <d v="2025-02-16T00:00:00"/>
    <d v="2025-02-16T00:00:00"/>
    <n v="9"/>
    <s v="Q1-2025"/>
    <s v="Africa"/>
    <x v="1"/>
    <s v="Lagos"/>
    <s v="Small Business"/>
    <s v="Distributor"/>
    <s v="C. Otieno"/>
    <x v="1"/>
    <n v="1.9641214687102778E-2"/>
    <x v="525"/>
    <n v="90.68"/>
    <n v="118.17"/>
    <s v="Profit"/>
    <n v="0.13500000000000001"/>
    <n v="21"/>
    <x v="526"/>
    <n v="1904.2800000000002"/>
    <n v="242.27804999999989"/>
    <n v="0.11286815653552899"/>
  </r>
  <r>
    <x v="526"/>
    <x v="415"/>
    <d v="2023-01-26T00:00:00"/>
    <d v="2023-01-26T00:00:00"/>
    <n v="14"/>
    <s v="Q1-2023"/>
    <s v="Asia"/>
    <x v="9"/>
    <s v="Shenzhen"/>
    <s v="Non-Profit"/>
    <s v="Retail"/>
    <s v="M. Rossi"/>
    <x v="1"/>
    <n v="0.10437479214093177"/>
    <x v="526"/>
    <n v="1083.0899999999999"/>
    <n v="1425.87"/>
    <s v="Profit"/>
    <n v="0"/>
    <n v="8"/>
    <x v="527"/>
    <n v="8664.7199999999993"/>
    <n v="2742.24"/>
    <n v="0.24040059752992909"/>
  </r>
  <r>
    <x v="527"/>
    <x v="416"/>
    <d v="2024-06-23T00:00:00"/>
    <d v="2024-06-23T00:00:00"/>
    <n v="18"/>
    <s v="Q2-2024"/>
    <s v="Africa"/>
    <x v="0"/>
    <s v="Nairobi"/>
    <s v="Consumer"/>
    <s v="Distributor"/>
    <s v="D. Smith"/>
    <x v="4"/>
    <n v="0.53552619131257562"/>
    <x v="527"/>
    <n v="1208.74"/>
    <n v="1594.78"/>
    <s v="Profit"/>
    <n v="5.8999999999999997E-2"/>
    <n v="39"/>
    <x v="528"/>
    <n v="47140.86"/>
    <n v="11385.971219999999"/>
    <n v="0.1945427589817838"/>
  </r>
  <r>
    <x v="528"/>
    <x v="417"/>
    <d v="2023-09-20T00:00:00"/>
    <d v="2023-09-20T00:00:00"/>
    <n v="27"/>
    <s v="Q3-2023"/>
    <s v="Africa"/>
    <x v="11"/>
    <s v="Durban"/>
    <s v="Small Business"/>
    <s v="Marketplace"/>
    <s v="M. Rossi"/>
    <x v="1"/>
    <n v="0.30580631172733974"/>
    <x v="528"/>
    <n v="1399.64"/>
    <n v="3342.11"/>
    <s v="Profit"/>
    <n v="0"/>
    <n v="10"/>
    <x v="529"/>
    <n v="13996.400000000001"/>
    <n v="19424.699999999997"/>
    <n v="0.58121067229983447"/>
  </r>
  <r>
    <x v="529"/>
    <x v="247"/>
    <d v="2024-02-08T00:00:00"/>
    <d v="2024-02-08T00:00:00"/>
    <n v="14"/>
    <s v="Q1-2024"/>
    <s v="Asia"/>
    <x v="2"/>
    <s v="Osaka"/>
    <s v="Consumer"/>
    <s v="Marketplace"/>
    <s v="I. Johnson"/>
    <x v="2"/>
    <n v="8.4748828012243288E-2"/>
    <x v="529"/>
    <n v="937.16"/>
    <n v="1069.77"/>
    <s v="Profit"/>
    <n v="3.7999999999999999E-2"/>
    <n v="9"/>
    <x v="530"/>
    <n v="8434.44"/>
    <n v="827.62866000000031"/>
    <n v="8.9356783066645962E-2"/>
  </r>
  <r>
    <x v="530"/>
    <x v="418"/>
    <d v="2025-03-26T00:00:00"/>
    <d v="2025-03-26T00:00:00"/>
    <n v="15"/>
    <s v="Q1-2025"/>
    <s v="Europe"/>
    <x v="6"/>
    <s v="Berlin"/>
    <s v="Small Business"/>
    <s v="Online"/>
    <s v="I. Johnson"/>
    <x v="3"/>
    <n v="5.6565882256592107E-3"/>
    <x v="530"/>
    <n v="116.97"/>
    <n v="140.82"/>
    <s v="Profit"/>
    <n v="0.122"/>
    <n v="5"/>
    <x v="531"/>
    <n v="584.85"/>
    <n v="33.349799999999846"/>
    <n v="5.3946636669891926E-2"/>
  </r>
  <r>
    <x v="531"/>
    <x v="222"/>
    <d v="2025-05-12T00:00:00"/>
    <d v="2025-05-12T00:00:00"/>
    <n v="20"/>
    <s v="Q2-2025"/>
    <s v="Europe"/>
    <x v="7"/>
    <s v="Lyon"/>
    <s v="Enterprise"/>
    <s v="Marketplace"/>
    <s v="K. Singh"/>
    <x v="5"/>
    <n v="4.8914311160318967E-3"/>
    <x v="531"/>
    <n v="59.51"/>
    <n v="67.040000000000006"/>
    <s v="Profit"/>
    <n v="0.114"/>
    <n v="9"/>
    <x v="532"/>
    <n v="535.59"/>
    <n v="-1.0130400000000463"/>
    <n v="-1.8950311663264469E-3"/>
  </r>
  <r>
    <x v="532"/>
    <x v="419"/>
    <d v="2023-09-03T00:00:00"/>
    <d v="2023-09-03T00:00:00"/>
    <n v="17"/>
    <s v="Q3-2023"/>
    <s v="Africa"/>
    <x v="11"/>
    <s v="Durban"/>
    <s v="Enterprise"/>
    <s v="Retail"/>
    <s v="A. Patel"/>
    <x v="3"/>
    <n v="0.10910665324881845"/>
    <x v="532"/>
    <n v="676.37"/>
    <n v="1276.67"/>
    <s v="Profit"/>
    <n v="6.6000000000000003E-2"/>
    <n v="10"/>
    <x v="533"/>
    <n v="6763.7"/>
    <n v="5160.3977999999997"/>
    <n v="0.4327705027712872"/>
  </r>
  <r>
    <x v="533"/>
    <x v="35"/>
    <d v="2025-07-14T00:00:00"/>
    <d v="2025-07-14T00:00:00"/>
    <n v="20"/>
    <s v="Q2-2025"/>
    <s v="Africa"/>
    <x v="11"/>
    <s v="Johannesburg"/>
    <s v="Enterprise"/>
    <s v="Marketplace"/>
    <s v="J. Njeri"/>
    <x v="4"/>
    <n v="0.38826839998240376"/>
    <x v="533"/>
    <n v="1151.06"/>
    <n v="2821.36"/>
    <s v="Profit"/>
    <n v="0.248"/>
    <n v="20"/>
    <x v="534"/>
    <n v="23021.199999999997"/>
    <n v="19412.054400000008"/>
    <n v="0.45747267501594235"/>
  </r>
  <r>
    <x v="534"/>
    <x v="420"/>
    <d v="2025-02-06T00:00:00"/>
    <d v="2025-02-06T00:00:00"/>
    <n v="27"/>
    <s v="Q1-2025"/>
    <s v="Americas"/>
    <x v="5"/>
    <s v="Brasília"/>
    <s v="Non-Profit"/>
    <s v="Retail"/>
    <s v="B. Chen"/>
    <x v="4"/>
    <n v="0.13867271249990296"/>
    <x v="534"/>
    <n v="725.62"/>
    <n v="1559.19"/>
    <s v="Profit"/>
    <n v="0.19"/>
    <n v="12"/>
    <x v="535"/>
    <n v="8707.44"/>
    <n v="6447.8868000000002"/>
    <n v="0.42545349797405885"/>
  </r>
  <r>
    <x v="535"/>
    <x v="306"/>
    <d v="2023-07-11T00:00:00"/>
    <d v="2023-07-11T00:00:00"/>
    <n v="10"/>
    <s v="Q3-2023"/>
    <s v="Europe"/>
    <x v="7"/>
    <s v="Paris"/>
    <s v="Corporate"/>
    <s v="Direct"/>
    <s v="F. Müller"/>
    <x v="2"/>
    <n v="7.1585302262876918E-2"/>
    <x v="535"/>
    <n v="479.5"/>
    <n v="656.66"/>
    <s v="Profit"/>
    <n v="0.14899999999999999"/>
    <n v="14"/>
    <x v="536"/>
    <n v="6713"/>
    <n v="1110.4472399999995"/>
    <n v="0.14193835606412289"/>
  </r>
  <r>
    <x v="536"/>
    <x v="421"/>
    <d v="2024-08-26T00:00:00"/>
    <d v="2024-08-26T00:00:00"/>
    <n v="10"/>
    <s v="Q3-2024"/>
    <s v="Americas"/>
    <x v="10"/>
    <s v="Chicago"/>
    <s v="Corporate"/>
    <s v="Distributor"/>
    <s v="L. Okafor"/>
    <x v="4"/>
    <n v="0.46627766227008038"/>
    <x v="387"/>
    <n v="1291.7"/>
    <n v="2657.84"/>
    <s v="Profit"/>
    <n v="8.6999999999999994E-2"/>
    <n v="21"/>
    <x v="537"/>
    <n v="27125.7"/>
    <n v="23833.066320000002"/>
    <n v="0.46769315745083367"/>
  </r>
  <r>
    <x v="537"/>
    <x v="422"/>
    <d v="2023-07-13T00:00:00"/>
    <d v="2023-07-13T00:00:00"/>
    <n v="6"/>
    <s v="Q3-2023"/>
    <s v="Africa"/>
    <x v="11"/>
    <s v="Cape Town"/>
    <s v="Small Business"/>
    <s v="Marketplace"/>
    <s v="B. Chen"/>
    <x v="6"/>
    <n v="0.18694354490844642"/>
    <x v="536"/>
    <n v="612.59"/>
    <n v="1424.74"/>
    <s v="Profit"/>
    <n v="4.3999999999999997E-2"/>
    <n v="15"/>
    <x v="538"/>
    <n v="9188.85"/>
    <n v="11241.921599999996"/>
    <n v="0.55024459281802152"/>
  </r>
  <r>
    <x v="538"/>
    <x v="423"/>
    <d v="2024-01-01T00:00:00"/>
    <d v="2024-01-01T00:00:00"/>
    <n v="4"/>
    <s v="Q4-2023"/>
    <s v="Africa"/>
    <x v="11"/>
    <s v="Cape Town"/>
    <s v="Education"/>
    <s v="Distributor"/>
    <s v="A. Patel"/>
    <x v="1"/>
    <n v="0.60628831222278523"/>
    <x v="537"/>
    <n v="1141.8"/>
    <n v="2318.7399999999998"/>
    <s v="Profit"/>
    <n v="0.107"/>
    <n v="32"/>
    <x v="539"/>
    <n v="36537.599999999999"/>
    <n v="29722.714239999994"/>
    <n v="0.44857490612468304"/>
  </r>
  <r>
    <x v="539"/>
    <x v="424"/>
    <d v="2023-02-15T00:00:00"/>
    <d v="2023-02-15T00:00:00"/>
    <n v="20"/>
    <s v="Q1-2023"/>
    <s v="Europe"/>
    <x v="6"/>
    <s v="Berlin"/>
    <s v="Small Business"/>
    <s v="Online"/>
    <s v="O. Wang"/>
    <x v="2"/>
    <n v="3.0567153079637869E-2"/>
    <x v="538"/>
    <n v="492.62"/>
    <n v="366.7"/>
    <s v="Loss"/>
    <n v="8.8999999999999996E-2"/>
    <n v="10"/>
    <x v="540"/>
    <n v="4926.2"/>
    <n v="-1585.5629999999996"/>
    <n v="-0.47462894052840809"/>
  </r>
  <r>
    <x v="540"/>
    <x v="425"/>
    <d v="2023-07-09T00:00:00"/>
    <d v="2023-07-09T00:00:00"/>
    <n v="1"/>
    <s v="Q3-2023"/>
    <s v="Africa"/>
    <x v="0"/>
    <s v="Nairobi"/>
    <s v="Consumer"/>
    <s v="Online"/>
    <s v="D. Smith"/>
    <x v="4"/>
    <n v="0.17917601280102216"/>
    <x v="539"/>
    <n v="1258.72"/>
    <n v="2797.41"/>
    <s v="Profit"/>
    <n v="0"/>
    <n v="7"/>
    <x v="541"/>
    <n v="8811.0400000000009"/>
    <n v="10770.829999999998"/>
    <n v="0.55004093071805704"/>
  </r>
  <r>
    <x v="541"/>
    <x v="116"/>
    <d v="2024-06-09T00:00:00"/>
    <d v="2024-06-09T00:00:00"/>
    <n v="2"/>
    <s v="Q2-2024"/>
    <s v="Asia"/>
    <x v="9"/>
    <s v="Shanghai"/>
    <s v="Corporate"/>
    <s v="Retail"/>
    <s v="O. Wang"/>
    <x v="5"/>
    <n v="0.28047246996745545"/>
    <x v="540"/>
    <n v="1370.28"/>
    <n v="2209.66"/>
    <s v="Profit"/>
    <n v="0.13300000000000001"/>
    <n v="16"/>
    <x v="542"/>
    <n v="21924.48"/>
    <n v="8727.9235199999966"/>
    <n v="0.28473863442079589"/>
  </r>
  <r>
    <x v="542"/>
    <x v="426"/>
    <d v="2023-02-12T00:00:00"/>
    <d v="2023-02-12T00:00:00"/>
    <n v="1"/>
    <s v="Q1-2023"/>
    <s v="Africa"/>
    <x v="1"/>
    <s v="Port Harcourt"/>
    <s v="Non-Profit"/>
    <s v="Direct"/>
    <s v="D. Smith"/>
    <x v="6"/>
    <n v="4.3346021738122881E-2"/>
    <x v="541"/>
    <n v="944.61"/>
    <n v="839.04"/>
    <s v="Loss"/>
    <n v="5.8999999999999997E-2"/>
    <n v="6"/>
    <x v="543"/>
    <n v="5667.66"/>
    <n v="-930.44016000000011"/>
    <n v="-0.19641059343363726"/>
  </r>
  <r>
    <x v="543"/>
    <x v="306"/>
    <d v="2023-07-08T00:00:00"/>
    <d v="2023-07-08T00:00:00"/>
    <n v="7"/>
    <s v="Q3-2023"/>
    <s v="Europe"/>
    <x v="6"/>
    <s v="Frankfurt"/>
    <s v="Small Business"/>
    <s v="Distributor"/>
    <s v="N. Brown"/>
    <x v="4"/>
    <n v="0.12914509790078804"/>
    <x v="542"/>
    <n v="460.21"/>
    <n v="1139.1500000000001"/>
    <s v="Profit"/>
    <n v="0.115"/>
    <n v="14"/>
    <x v="544"/>
    <n v="6442.94"/>
    <n v="7671.1285000000016"/>
    <n v="0.54350937151821255"/>
  </r>
  <r>
    <x v="544"/>
    <x v="427"/>
    <d v="2025-08-26T00:00:00"/>
    <d v="2025-08-26T00:00:00"/>
    <n v="6"/>
    <s v="Q3-2025"/>
    <s v="Americas"/>
    <x v="10"/>
    <s v="New York"/>
    <s v="Corporate"/>
    <s v="Retail"/>
    <s v="M. Rossi"/>
    <x v="2"/>
    <n v="9.8753678109899976E-2"/>
    <x v="543"/>
    <n v="1304.95"/>
    <n v="1712.03"/>
    <s v="Profit"/>
    <n v="0.21199999999999999"/>
    <n v="8"/>
    <x v="545"/>
    <n v="10439.6"/>
    <n v="353.03711999999905"/>
    <n v="3.2710922833287949E-2"/>
  </r>
  <r>
    <x v="545"/>
    <x v="428"/>
    <d v="2024-03-16T00:00:00"/>
    <d v="2024-03-16T00:00:00"/>
    <n v="12"/>
    <s v="Q1-2024"/>
    <s v="Africa"/>
    <x v="11"/>
    <s v="Johannesburg"/>
    <s v="Enterprise"/>
    <s v="Distributor"/>
    <s v="M. Rossi"/>
    <x v="5"/>
    <n v="4.4163306402185326E-2"/>
    <x v="544"/>
    <n v="441.08"/>
    <n v="1054.29"/>
    <s v="Profit"/>
    <n v="0.23699999999999999"/>
    <n v="6"/>
    <x v="546"/>
    <n v="2646.48"/>
    <n v="2180.0596199999995"/>
    <n v="0.45168169985932899"/>
  </r>
  <r>
    <x v="546"/>
    <x v="429"/>
    <d v="2023-10-02T00:00:00"/>
    <d v="2023-10-02T00:00:00"/>
    <n v="24"/>
    <s v="Q3-2023"/>
    <s v="Americas"/>
    <x v="3"/>
    <s v="Toronto"/>
    <s v="Education"/>
    <s v="Direct"/>
    <s v="A. Patel"/>
    <x v="6"/>
    <n v="0.14210951753625664"/>
    <x v="545"/>
    <n v="1299.03"/>
    <n v="2451.2199999999998"/>
    <s v="Profit"/>
    <n v="0.20799999999999999"/>
    <n v="8"/>
    <x v="547"/>
    <n v="10392.24"/>
    <n v="5138.6899199999989"/>
    <n v="0.3308681416032041"/>
  </r>
  <r>
    <x v="547"/>
    <x v="2"/>
    <d v="2023-03-06T00:00:00"/>
    <d v="2023-03-06T00:00:00"/>
    <n v="6"/>
    <s v="Q1-2023"/>
    <s v="Europe"/>
    <x v="6"/>
    <s v="Frankfurt"/>
    <s v="Small Business"/>
    <s v="Marketplace"/>
    <s v="D. Smith"/>
    <x v="1"/>
    <n v="0.2911746103429404"/>
    <x v="546"/>
    <n v="880.02"/>
    <n v="1251.21"/>
    <s v="Profit"/>
    <n v="0.123"/>
    <n v="29"/>
    <x v="548"/>
    <n v="25520.579999999998"/>
    <n v="6301.4439300000049"/>
    <n v="0.19802146915172672"/>
  </r>
  <r>
    <x v="548"/>
    <x v="293"/>
    <d v="2024-08-03T00:00:00"/>
    <d v="2024-08-03T00:00:00"/>
    <n v="21"/>
    <s v="Q3-2024"/>
    <s v="Americas"/>
    <x v="5"/>
    <s v="Rio de Janeiro"/>
    <s v="Corporate"/>
    <s v="Marketplace"/>
    <s v="M. Rossi"/>
    <x v="5"/>
    <n v="0.10007937053669726"/>
    <x v="547"/>
    <n v="702.98"/>
    <n v="1104.8"/>
    <s v="Profit"/>
    <n v="0.17499999999999999"/>
    <n v="12"/>
    <x v="549"/>
    <n v="8435.76"/>
    <n v="2501.7599999999984"/>
    <n v="0.22873192460448061"/>
  </r>
  <r>
    <x v="549"/>
    <x v="430"/>
    <d v="2024-12-26T00:00:00"/>
    <d v="2024-12-26T00:00:00"/>
    <n v="19"/>
    <s v="Q4-2024"/>
    <s v="Europe"/>
    <x v="8"/>
    <s v="London"/>
    <s v="Enterprise"/>
    <s v="Online"/>
    <s v="D. Smith"/>
    <x v="2"/>
    <n v="0.27151499133343993"/>
    <x v="548"/>
    <n v="1035.24"/>
    <n v="2383.41"/>
    <s v="Profit"/>
    <n v="0.17"/>
    <n v="15"/>
    <x v="550"/>
    <n v="15528.6"/>
    <n v="14144.854499999992"/>
    <n v="0.47668378145860962"/>
  </r>
  <r>
    <x v="550"/>
    <x v="431"/>
    <d v="2025-08-23T00:00:00"/>
    <d v="2025-08-23T00:00:00"/>
    <n v="17"/>
    <s v="Q3-2025"/>
    <s v="Americas"/>
    <x v="5"/>
    <s v="Brasília"/>
    <s v="Consumer"/>
    <s v="Distributor"/>
    <s v="A. Patel"/>
    <x v="5"/>
    <n v="1.689843674169321E-2"/>
    <x v="549"/>
    <n v="86.64"/>
    <n v="213.06"/>
    <s v="Profit"/>
    <n v="0.21199999999999999"/>
    <n v="11"/>
    <x v="551"/>
    <n v="953.04"/>
    <n v="893.76407999999992"/>
    <n v="0.48395175735154322"/>
  </r>
  <r>
    <x v="551"/>
    <x v="432"/>
    <d v="2023-03-20T00:00:00"/>
    <d v="2023-03-20T00:00:00"/>
    <n v="17"/>
    <s v="Q1-2023"/>
    <s v="Asia"/>
    <x v="2"/>
    <s v="Nagoya"/>
    <s v="Small Business"/>
    <s v="Online"/>
    <s v="D. Smith"/>
    <x v="2"/>
    <n v="0.17229747045994914"/>
    <x v="550"/>
    <n v="1171.17"/>
    <n v="2030.64"/>
    <s v="Profit"/>
    <n v="0.157"/>
    <n v="11"/>
    <x v="552"/>
    <n v="12882.87"/>
    <n v="5947.254719999999"/>
    <n v="0.31583724528830415"/>
  </r>
  <r>
    <x v="552"/>
    <x v="433"/>
    <d v="2025-03-17T00:00:00"/>
    <d v="2025-03-17T00:00:00"/>
    <n v="29"/>
    <s v="Q1-2025"/>
    <s v="Europe"/>
    <x v="6"/>
    <s v="Munich"/>
    <s v="Consumer"/>
    <s v="Retail"/>
    <s v="L. Okafor"/>
    <x v="6"/>
    <n v="0.18449715297524952"/>
    <x v="551"/>
    <n v="730.42"/>
    <n v="956.7"/>
    <s v="Profit"/>
    <n v="4.2000000000000003E-2"/>
    <n v="22"/>
    <x v="553"/>
    <n v="16069.24"/>
    <n v="4094.1692000000021"/>
    <n v="0.20304945256975698"/>
  </r>
  <r>
    <x v="553"/>
    <x v="146"/>
    <d v="2025-03-01T00:00:00"/>
    <d v="2025-03-01T00:00:00"/>
    <n v="14"/>
    <s v="Q1-2025"/>
    <s v="Africa"/>
    <x v="0"/>
    <s v="Mombasa"/>
    <s v="Education"/>
    <s v="Direct"/>
    <s v="L. Okafor"/>
    <x v="6"/>
    <n v="0.14512769684408605"/>
    <x v="552"/>
    <n v="1162.8599999999999"/>
    <n v="1447.68"/>
    <s v="Profit"/>
    <n v="8.6999999999999994E-2"/>
    <n v="12"/>
    <x v="554"/>
    <n v="13954.32"/>
    <n v="1906.4620800000012"/>
    <n v="0.12019975247021369"/>
  </r>
  <r>
    <x v="554"/>
    <x v="434"/>
    <d v="2024-09-26T00:00:00"/>
    <d v="2024-09-26T00:00:00"/>
    <n v="26"/>
    <s v="Q3-2024"/>
    <s v="Asia"/>
    <x v="2"/>
    <s v="Tokyo"/>
    <s v="Education"/>
    <s v="Online"/>
    <s v="I. Johnson"/>
    <x v="3"/>
    <n v="0.30700339606171262"/>
    <x v="553"/>
    <n v="1189.03"/>
    <n v="2949.62"/>
    <s v="Profit"/>
    <n v="0.125"/>
    <n v="13"/>
    <x v="555"/>
    <n v="15457.39"/>
    <n v="18094.537499999999"/>
    <n v="0.53929949330034765"/>
  </r>
  <r>
    <x v="555"/>
    <x v="239"/>
    <d v="2023-05-20T00:00:00"/>
    <d v="2023-05-20T00:00:00"/>
    <n v="13"/>
    <s v="Q2-2023"/>
    <s v="Asia"/>
    <x v="4"/>
    <s v="Mumbai"/>
    <s v="Enterprise"/>
    <s v="Retail"/>
    <s v="D. Smith"/>
    <x v="6"/>
    <n v="0.42502439145856902"/>
    <x v="554"/>
    <n v="1443.28"/>
    <n v="2580.5700000000002"/>
    <s v="Profit"/>
    <n v="0"/>
    <n v="18"/>
    <x v="556"/>
    <n v="25979.040000000001"/>
    <n v="20471.22"/>
    <n v="0.4407127107577008"/>
  </r>
  <r>
    <x v="556"/>
    <x v="78"/>
    <d v="2025-05-12T00:00:00"/>
    <d v="2025-05-21T00:00:00"/>
    <n v="7"/>
    <s v="Q2-2025"/>
    <s v="Americas"/>
    <x v="3"/>
    <s v="Vancouver"/>
    <s v="Non-Profit"/>
    <s v="Distributor"/>
    <s v="F. Müller"/>
    <x v="1"/>
    <n v="0.46249458114033404"/>
    <x v="555"/>
    <n v="883.5"/>
    <n v="1978.91"/>
    <s v="Profit"/>
    <n v="5.3999999999999999E-2"/>
    <n v="27"/>
    <x v="557"/>
    <n v="23854.5"/>
    <n v="26690.819219999998"/>
    <n v="0.52805718970390547"/>
  </r>
  <r>
    <x v="557"/>
    <x v="0"/>
    <d v="2024-03-29T00:00:00"/>
    <d v="2024-03-29T00:00:00"/>
    <n v="18"/>
    <s v="Q1-2024"/>
    <s v="Americas"/>
    <x v="10"/>
    <s v="New York"/>
    <s v="Corporate"/>
    <s v="Retail"/>
    <s v="M. Rossi"/>
    <x v="5"/>
    <n v="9.6256976472067879E-2"/>
    <x v="556"/>
    <n v="710.98"/>
    <n v="1481.45"/>
    <s v="Profit"/>
    <n v="0.21099999999999999"/>
    <n v="9"/>
    <x v="558"/>
    <n v="6398.82"/>
    <n v="4120.9564500000015"/>
    <n v="0.39173422264120461"/>
  </r>
  <r>
    <x v="558"/>
    <x v="22"/>
    <d v="2024-05-22T00:00:00"/>
    <d v="2024-05-22T00:00:00"/>
    <n v="4"/>
    <s v="Q2-2024"/>
    <s v="Africa"/>
    <x v="0"/>
    <s v="Nairobi"/>
    <s v="Corporate"/>
    <s v="Direct"/>
    <s v="H. Kim"/>
    <x v="6"/>
    <n v="0.11994666390256388"/>
    <x v="557"/>
    <n v="857.42"/>
    <n v="1658.92"/>
    <s v="Profit"/>
    <n v="0.122"/>
    <n v="9"/>
    <x v="559"/>
    <n v="7716.78"/>
    <n v="5392.0058400000007"/>
    <n v="0.41132763215544305"/>
  </r>
  <r>
    <x v="559"/>
    <x v="435"/>
    <d v="2024-01-12T00:00:00"/>
    <d v="2024-01-12T00:00:00"/>
    <n v="4"/>
    <s v="Q1-2024"/>
    <s v="Asia"/>
    <x v="4"/>
    <s v="Bengaluru"/>
    <s v="Corporate"/>
    <s v="Direct"/>
    <s v="E. Garcia"/>
    <x v="1"/>
    <n v="0.1212523293287357"/>
    <x v="558"/>
    <n v="802.32"/>
    <n v="602.34"/>
    <s v="Loss"/>
    <n v="0.12"/>
    <n v="25"/>
    <x v="560"/>
    <n v="20058"/>
    <n v="-6806.52"/>
    <n v="-0.51364224977134632"/>
  </r>
  <r>
    <x v="560"/>
    <x v="40"/>
    <d v="2024-11-05T00:00:00"/>
    <d v="2024-11-05T00:00:00"/>
    <n v="11"/>
    <s v="Q4-2024"/>
    <s v="Americas"/>
    <x v="10"/>
    <s v="New York"/>
    <s v="Corporate"/>
    <s v="Distributor"/>
    <s v="N. Brown"/>
    <x v="0"/>
    <n v="6.191855183556521E-2"/>
    <x v="559"/>
    <n v="446.66"/>
    <n v="527.64"/>
    <s v="Profit"/>
    <n v="0.14499999999999999"/>
    <n v="15"/>
    <x v="561"/>
    <n v="6699.9000000000005"/>
    <n v="67.082999999998719"/>
    <n v="9.9132804087137105E-3"/>
  </r>
  <r>
    <x v="561"/>
    <x v="25"/>
    <d v="2024-12-19T00:00:00"/>
    <d v="2024-12-19T00:00:00"/>
    <n v="19"/>
    <s v="Q4-2024"/>
    <s v="Africa"/>
    <x v="0"/>
    <s v="Kisumu"/>
    <s v="Corporate"/>
    <s v="Online"/>
    <s v="L. Okafor"/>
    <x v="3"/>
    <n v="0.30260574042206545"/>
    <x v="560"/>
    <n v="1195.98"/>
    <n v="1841.9"/>
    <s v="Profit"/>
    <n v="5.5E-2"/>
    <n v="19"/>
    <x v="562"/>
    <n v="22723.62"/>
    <n v="10347.694500000001"/>
    <n v="0.31289032977506842"/>
  </r>
  <r>
    <x v="562"/>
    <x v="290"/>
    <d v="2023-05-02T00:00:00"/>
    <d v="2023-05-02T00:00:00"/>
    <n v="19"/>
    <s v="Q2-2023"/>
    <s v="Americas"/>
    <x v="3"/>
    <s v="Montreal"/>
    <s v="Consumer"/>
    <s v="Distributor"/>
    <s v="E. Garcia"/>
    <x v="5"/>
    <n v="7.7961530988916325E-2"/>
    <x v="561"/>
    <n v="671.05"/>
    <n v="1645.48"/>
    <s v="Profit"/>
    <n v="0.13700000000000001"/>
    <n v="6"/>
    <x v="563"/>
    <n v="4026.2999999999997"/>
    <n v="4493.9954400000006"/>
    <n v="0.52744596377517172"/>
  </r>
  <r>
    <x v="563"/>
    <x v="185"/>
    <d v="2025-02-08T00:00:00"/>
    <d v="2025-02-08T00:00:00"/>
    <n v="4"/>
    <s v="Q1-2025"/>
    <s v="Europe"/>
    <x v="8"/>
    <s v="Manchester"/>
    <s v="Enterprise"/>
    <s v="Marketplace"/>
    <s v="L. Okafor"/>
    <x v="2"/>
    <n v="9.3024788378620021E-2"/>
    <x v="562"/>
    <n v="586.21"/>
    <n v="727.22"/>
    <s v="Profit"/>
    <n v="6.8000000000000005E-2"/>
    <n v="15"/>
    <x v="564"/>
    <n v="8793.1500000000015"/>
    <n v="1373.3855999999996"/>
    <n v="0.13508884973559721"/>
  </r>
  <r>
    <x v="564"/>
    <x v="436"/>
    <d v="2024-02-04T00:00:00"/>
    <d v="2024-02-04T00:00:00"/>
    <n v="11"/>
    <s v="Q1-2024"/>
    <s v="Europe"/>
    <x v="8"/>
    <s v="Manchester"/>
    <s v="Consumer"/>
    <s v="Retail"/>
    <s v="B. Chen"/>
    <x v="4"/>
    <n v="3.8699714770559418E-2"/>
    <x v="563"/>
    <n v="525.34"/>
    <n v="1233.79"/>
    <s v="Profit"/>
    <n v="0.14299999999999999"/>
    <n v="4"/>
    <x v="565"/>
    <n v="2101.36"/>
    <n v="2128.0721199999994"/>
    <n v="0.50315788494082736"/>
  </r>
  <r>
    <x v="565"/>
    <x v="437"/>
    <d v="2024-02-09T00:00:00"/>
    <d v="2024-02-09T00:00:00"/>
    <n v="1"/>
    <s v="Q1-2024"/>
    <s v="Africa"/>
    <x v="0"/>
    <s v="Mombasa"/>
    <s v="Corporate"/>
    <s v="Direct"/>
    <s v="F. Müller"/>
    <x v="0"/>
    <n v="0.16049454420898637"/>
    <x v="564"/>
    <n v="1233.52"/>
    <n v="1543.76"/>
    <s v="Profit"/>
    <n v="0.126"/>
    <n v="13"/>
    <x v="566"/>
    <n v="16035.76"/>
    <n v="1504.4411200000013"/>
    <n v="8.5771030201277493E-2"/>
  </r>
  <r>
    <x v="566"/>
    <x v="438"/>
    <d v="2025-07-11T00:00:00"/>
    <d v="2025-07-11T00:00:00"/>
    <n v="15"/>
    <s v="Q2-2025"/>
    <s v="Africa"/>
    <x v="1"/>
    <s v="Port Harcourt"/>
    <s v="Small Business"/>
    <s v="Online"/>
    <s v="A. Patel"/>
    <x v="4"/>
    <n v="0.40419298712679397"/>
    <x v="565"/>
    <n v="1170.1500000000001"/>
    <n v="2115.19"/>
    <s v="Profit"/>
    <n v="9.1999999999999998E-2"/>
    <n v="23"/>
    <x v="567"/>
    <n v="26913.45"/>
    <n v="17260.177960000005"/>
    <n v="0.39073489674946776"/>
  </r>
  <r>
    <x v="567"/>
    <x v="273"/>
    <d v="2024-11-07T00:00:00"/>
    <d v="2024-11-07T00:00:00"/>
    <n v="3"/>
    <s v="Q4-2024"/>
    <s v="Europe"/>
    <x v="7"/>
    <s v="Lyon"/>
    <s v="Corporate"/>
    <s v="Online"/>
    <s v="O. Wang"/>
    <x v="5"/>
    <n v="0.22947968468560093"/>
    <x v="566"/>
    <n v="740.68"/>
    <n v="1837.19"/>
    <s v="Profit"/>
    <n v="0.19700000000000001"/>
    <n v="17"/>
    <x v="568"/>
    <n v="12591.56"/>
    <n v="12487.920689999997"/>
    <n v="0.4979337827748298"/>
  </r>
  <r>
    <x v="568"/>
    <x v="439"/>
    <d v="2024-02-20T00:00:00"/>
    <d v="2024-02-20T00:00:00"/>
    <n v="0"/>
    <s v="Q1-2024"/>
    <s v="Americas"/>
    <x v="10"/>
    <s v="New York"/>
    <s v="Enterprise"/>
    <s v="Online"/>
    <s v="C. Otieno"/>
    <x v="2"/>
    <n v="0.3139138468045552"/>
    <x v="567"/>
    <n v="1407.05"/>
    <n v="2858.93"/>
    <s v="Profit"/>
    <n v="0"/>
    <n v="12"/>
    <x v="569"/>
    <n v="16884.599999999999"/>
    <n v="17422.559999999998"/>
    <n v="0.50784034586366222"/>
  </r>
  <r>
    <x v="569"/>
    <x v="440"/>
    <d v="2025-04-14T00:00:00"/>
    <d v="2025-04-14T00:00:00"/>
    <n v="1"/>
    <s v="Q2-2025"/>
    <s v="Asia"/>
    <x v="2"/>
    <s v="Osaka"/>
    <s v="Enterprise"/>
    <s v="Online"/>
    <s v="G. Dubois"/>
    <x v="0"/>
    <n v="3.0910380909667235E-2"/>
    <x v="568"/>
    <n v="138.9"/>
    <n v="289.92"/>
    <s v="Profit"/>
    <n v="2.9000000000000001E-2"/>
    <n v="12"/>
    <x v="570"/>
    <n v="1666.8000000000002"/>
    <n v="1711.3478399999999"/>
    <n v="0.50659353025828491"/>
  </r>
  <r>
    <x v="570"/>
    <x v="408"/>
    <d v="2023-06-01T00:00:00"/>
    <d v="2023-06-01T00:00:00"/>
    <n v="0"/>
    <s v="Q2-2023"/>
    <s v="Asia"/>
    <x v="4"/>
    <s v="Bengaluru"/>
    <s v="Corporate"/>
    <s v="Retail"/>
    <s v="E. Garcia"/>
    <x v="6"/>
    <n v="4.1881348851778362E-2"/>
    <x v="569"/>
    <n v="669.37"/>
    <n v="997.2"/>
    <s v="Profit"/>
    <n v="8.2000000000000003E-2"/>
    <n v="5"/>
    <x v="571"/>
    <n v="3346.85"/>
    <n v="1230.2980000000002"/>
    <n v="0.26879139586484863"/>
  </r>
  <r>
    <x v="571"/>
    <x v="401"/>
    <d v="2025-04-04T00:00:00"/>
    <d v="2025-04-04T00:00:00"/>
    <n v="11"/>
    <s v="Q1-2025"/>
    <s v="Asia"/>
    <x v="4"/>
    <s v="Mumbai"/>
    <s v="Education"/>
    <s v="Marketplace"/>
    <s v="J. Njeri"/>
    <x v="3"/>
    <n v="7.6952807443358721E-3"/>
    <x v="570"/>
    <n v="23.83"/>
    <n v="47.29"/>
    <s v="Profit"/>
    <n v="6.4000000000000001E-2"/>
    <n v="19"/>
    <x v="572"/>
    <n v="452.77"/>
    <n v="388.23536000000001"/>
    <n v="0.46163244429262618"/>
  </r>
  <r>
    <x v="572"/>
    <x v="279"/>
    <d v="2024-01-02T00:00:00"/>
    <d v="2024-01-02T00:00:00"/>
    <n v="0"/>
    <s v="Q1-2024"/>
    <s v="Americas"/>
    <x v="3"/>
    <s v="Vancouver"/>
    <s v="Education"/>
    <s v="Direct"/>
    <s v="A. Patel"/>
    <x v="4"/>
    <n v="0.17512914663168588"/>
    <x v="571"/>
    <n v="444.41"/>
    <n v="754.24"/>
    <s v="Profit"/>
    <n v="0.20699999999999999"/>
    <n v="32"/>
    <x v="573"/>
    <n v="14221.12"/>
    <n v="4918.4742400000014"/>
    <n v="0.25697902360546598"/>
  </r>
  <r>
    <x v="573"/>
    <x v="202"/>
    <d v="2024-01-01T00:00:00"/>
    <d v="2024-01-01T00:00:00"/>
    <n v="13"/>
    <s v="Q4-2023"/>
    <s v="Americas"/>
    <x v="3"/>
    <s v="Toronto"/>
    <s v="Enterprise"/>
    <s v="Retail"/>
    <s v="K. Singh"/>
    <x v="5"/>
    <n v="0.13237400742292749"/>
    <x v="572"/>
    <n v="856.1"/>
    <n v="901.48"/>
    <s v="Profit"/>
    <n v="5.6000000000000001E-2"/>
    <n v="17"/>
    <x v="574"/>
    <n v="14553.7"/>
    <n v="-86.748960000000807"/>
    <n v="-5.9963540182134192E-3"/>
  </r>
  <r>
    <x v="574"/>
    <x v="441"/>
    <d v="2023-04-26T00:00:00"/>
    <d v="2023-04-26T00:00:00"/>
    <n v="0"/>
    <s v="Q2-2023"/>
    <s v="Europe"/>
    <x v="7"/>
    <s v="Marseille"/>
    <s v="Consumer"/>
    <s v="Direct"/>
    <s v="M. Rossi"/>
    <x v="0"/>
    <n v="4.5474756702774807E-3"/>
    <x v="573"/>
    <n v="81.489999999999995"/>
    <n v="113.08"/>
    <s v="Profit"/>
    <n v="0.121"/>
    <n v="5"/>
    <x v="575"/>
    <n v="407.45"/>
    <n v="89.536600000000021"/>
    <n v="0.18015898215364362"/>
  </r>
  <r>
    <x v="575"/>
    <x v="442"/>
    <d v="2025-08-16T00:00:00"/>
    <d v="2025-08-16T00:00:00"/>
    <n v="13"/>
    <s v="Q3-2025"/>
    <s v="Americas"/>
    <x v="3"/>
    <s v="Montreal"/>
    <s v="Enterprise"/>
    <s v="Distributor"/>
    <s v="O. Wang"/>
    <x v="2"/>
    <n v="0.11063556677120197"/>
    <x v="574"/>
    <n v="698.66"/>
    <n v="868.62"/>
    <s v="Profit"/>
    <n v="7.1999999999999995E-2"/>
    <n v="15"/>
    <x v="576"/>
    <n v="10479.9"/>
    <n v="1611.2903999999999"/>
    <n v="0.13326151906432637"/>
  </r>
  <r>
    <x v="576"/>
    <x v="443"/>
    <d v="2023-08-19T00:00:00"/>
    <d v="2023-08-19T00:00:00"/>
    <n v="17"/>
    <s v="Q3-2023"/>
    <s v="Americas"/>
    <x v="3"/>
    <s v="Vancouver"/>
    <s v="Corporate"/>
    <s v="Online"/>
    <s v="F. Müller"/>
    <x v="2"/>
    <n v="0.12702715327969652"/>
    <x v="575"/>
    <n v="175.38"/>
    <n v="347.9"/>
    <s v="Profit"/>
    <n v="7.1999999999999995E-2"/>
    <n v="43"/>
    <x v="577"/>
    <n v="7541.34"/>
    <n v="6341.2615999999998"/>
    <n v="0.45677761148169804"/>
  </r>
  <r>
    <x v="577"/>
    <x v="251"/>
    <d v="2023-07-12T00:00:00"/>
    <d v="2023-07-12T00:00:00"/>
    <n v="27"/>
    <s v="Q2-2023"/>
    <s v="Europe"/>
    <x v="8"/>
    <s v="Manchester"/>
    <s v="Consumer"/>
    <s v="Direct"/>
    <s v="I. Johnson"/>
    <x v="6"/>
    <n v="6.1602419639208594E-2"/>
    <x v="576"/>
    <n v="751.28"/>
    <n v="1111.8800000000001"/>
    <s v="Profit"/>
    <n v="0.13500000000000001"/>
    <n v="7"/>
    <x v="578"/>
    <n v="5258.96"/>
    <n v="1473.4734000000008"/>
    <n v="0.21886193482433863"/>
  </r>
  <r>
    <x v="578"/>
    <x v="444"/>
    <d v="2024-11-24T00:00:00"/>
    <d v="2024-11-24T00:00:00"/>
    <n v="13"/>
    <s v="Q4-2024"/>
    <s v="Europe"/>
    <x v="8"/>
    <s v="London"/>
    <s v="Corporate"/>
    <s v="Retail"/>
    <s v="E. Garcia"/>
    <x v="2"/>
    <n v="3.9168625406955634E-2"/>
    <x v="577"/>
    <n v="164.53"/>
    <n v="327.72"/>
    <s v="Profit"/>
    <n v="6.7000000000000004E-2"/>
    <n v="14"/>
    <x v="579"/>
    <n v="2303.42"/>
    <n v="1977.25864"/>
    <n v="0.46190307805960412"/>
  </r>
  <r>
    <x v="579"/>
    <x v="445"/>
    <d v="2025-08-03T00:00:00"/>
    <d v="2025-08-03T00:00:00"/>
    <n v="23"/>
    <s v="Q3-2025"/>
    <s v="Africa"/>
    <x v="0"/>
    <s v="Nakuru"/>
    <s v="Small Business"/>
    <s v="Retail"/>
    <s v="C. Otieno"/>
    <x v="3"/>
    <n v="6.5636705522980759E-2"/>
    <x v="578"/>
    <n v="389.93"/>
    <n v="486.13"/>
    <s v="Profit"/>
    <n v="0.13200000000000001"/>
    <n v="17"/>
    <x v="580"/>
    <n v="6628.81"/>
    <n v="544.52427999999873"/>
    <n v="7.5909508569562828E-2"/>
  </r>
  <r>
    <x v="580"/>
    <x v="446"/>
    <d v="2023-07-01T00:00:00"/>
    <d v="2023-07-01T00:00:00"/>
    <n v="28"/>
    <s v="Q2-2023"/>
    <s v="Americas"/>
    <x v="5"/>
    <s v="Brasília"/>
    <s v="Small Business"/>
    <s v="Marketplace"/>
    <s v="A. Patel"/>
    <x v="0"/>
    <n v="5.6161484563125953E-2"/>
    <x v="579"/>
    <n v="860.4"/>
    <n v="2066.6"/>
    <s v="Profit"/>
    <n v="0.01"/>
    <n v="3"/>
    <x v="581"/>
    <n v="2581.1999999999998"/>
    <n v="3556.601999999999"/>
    <n v="0.57945857491004105"/>
  </r>
  <r>
    <x v="581"/>
    <x v="171"/>
    <d v="2023-02-06T00:00:00"/>
    <d v="2023-02-06T00:00:00"/>
    <n v="8"/>
    <s v="Q1-2023"/>
    <s v="Americas"/>
    <x v="5"/>
    <s v="Brasília"/>
    <s v="Corporate"/>
    <s v="Marketplace"/>
    <s v="D. Smith"/>
    <x v="5"/>
    <n v="1.6483054539605191E-2"/>
    <x v="580"/>
    <n v="41.84"/>
    <n v="86.2"/>
    <s v="Profit"/>
    <n v="0.22600000000000001"/>
    <n v="27"/>
    <x v="582"/>
    <n v="1129.68"/>
    <n v="671.72760000000017"/>
    <n v="0.37289039970742882"/>
  </r>
  <r>
    <x v="582"/>
    <x v="331"/>
    <d v="2024-09-04T00:00:00"/>
    <d v="2024-09-13T00:00:00"/>
    <n v="7"/>
    <s v="Q3-2024"/>
    <s v="Asia"/>
    <x v="2"/>
    <s v="Osaka"/>
    <s v="Corporate"/>
    <s v="Direct"/>
    <s v="A. Patel"/>
    <x v="4"/>
    <n v="0.37115833457836156"/>
    <x v="581"/>
    <n v="1368.17"/>
    <n v="2307.75"/>
    <s v="Profit"/>
    <n v="0.16300000000000001"/>
    <n v="21"/>
    <x v="583"/>
    <n v="28731.57"/>
    <n v="11831.751749999996"/>
    <n v="0.29168596750831921"/>
  </r>
  <r>
    <x v="583"/>
    <x v="447"/>
    <d v="2024-08-09T00:00:00"/>
    <d v="2024-08-09T00:00:00"/>
    <n v="6"/>
    <s v="Q3-2024"/>
    <s v="Africa"/>
    <x v="0"/>
    <s v="Mombasa"/>
    <s v="Consumer"/>
    <s v="Marketplace"/>
    <s v="H. Kim"/>
    <x v="4"/>
    <n v="3.4986450163050943E-2"/>
    <x v="582"/>
    <n v="643.21"/>
    <n v="1112.81"/>
    <s v="Profit"/>
    <n v="0.14099999999999999"/>
    <n v="4"/>
    <x v="584"/>
    <n v="2572.84"/>
    <n v="1250.7751599999997"/>
    <n v="0.32711847496702562"/>
  </r>
  <r>
    <x v="584"/>
    <x v="448"/>
    <d v="2025-04-17T00:00:00"/>
    <d v="2025-04-17T00:00:00"/>
    <n v="0"/>
    <s v="Q2-2025"/>
    <s v="Americas"/>
    <x v="5"/>
    <s v="São Paulo"/>
    <s v="Corporate"/>
    <s v="Distributor"/>
    <s v="L. Okafor"/>
    <x v="3"/>
    <n v="0.20749046329535131"/>
    <x v="583"/>
    <n v="719.41"/>
    <n v="1125.99"/>
    <s v="Profit"/>
    <n v="4.1000000000000002E-2"/>
    <n v="21"/>
    <x v="585"/>
    <n v="15107.609999999999"/>
    <n v="7568.7026100000021"/>
    <n v="0.33377131194876403"/>
  </r>
  <r>
    <x v="585"/>
    <x v="449"/>
    <d v="2023-05-16T00:00:00"/>
    <d v="2023-05-16T00:00:00"/>
    <n v="13"/>
    <s v="Q2-2023"/>
    <s v="Americas"/>
    <x v="10"/>
    <s v="New York"/>
    <s v="Corporate"/>
    <s v="Marketplace"/>
    <s v="L. Okafor"/>
    <x v="3"/>
    <n v="3.3934050275784226E-3"/>
    <x v="584"/>
    <n v="64.5"/>
    <n v="123.62"/>
    <s v="Profit"/>
    <n v="0"/>
    <n v="3"/>
    <x v="586"/>
    <n v="193.5"/>
    <n v="177.36"/>
    <n v="0.47823976702798904"/>
  </r>
  <r>
    <x v="586"/>
    <x v="450"/>
    <d v="2024-04-06T00:00:00"/>
    <d v="2024-04-06T00:00:00"/>
    <n v="24"/>
    <s v="Q1-2024"/>
    <s v="Africa"/>
    <x v="1"/>
    <s v="Abuja"/>
    <s v="Consumer"/>
    <s v="Distributor"/>
    <s v="L. Okafor"/>
    <x v="0"/>
    <n v="0.22995251879215239"/>
    <x v="585"/>
    <n v="1232.78"/>
    <n v="1731.75"/>
    <s v="Profit"/>
    <n v="9.2999999999999999E-2"/>
    <n v="16"/>
    <x v="587"/>
    <n v="19724.48"/>
    <n v="5406.6759999999995"/>
    <n v="0.21513837246484005"/>
  </r>
  <r>
    <x v="587"/>
    <x v="249"/>
    <d v="2024-06-21T00:00:00"/>
    <d v="2024-06-21T00:00:00"/>
    <n v="5"/>
    <s v="Q2-2024"/>
    <s v="Asia"/>
    <x v="2"/>
    <s v="Tokyo"/>
    <s v="Small Business"/>
    <s v="Distributor"/>
    <s v="F. Müller"/>
    <x v="3"/>
    <n v="0.6282966749757577"/>
    <x v="586"/>
    <n v="1367.13"/>
    <n v="3062.01"/>
    <s v="Profit"/>
    <n v="0.10299999999999999"/>
    <n v="25"/>
    <x v="588"/>
    <n v="34178.25"/>
    <n v="34487.324250000005"/>
    <n v="0.50225057645971705"/>
  </r>
  <r>
    <x v="588"/>
    <x v="146"/>
    <d v="2025-02-27T00:00:00"/>
    <d v="2025-02-27T00:00:00"/>
    <n v="12"/>
    <s v="Q1-2025"/>
    <s v="Europe"/>
    <x v="7"/>
    <s v="Lyon"/>
    <s v="Non-Profit"/>
    <s v="Direct"/>
    <s v="K. Singh"/>
    <x v="6"/>
    <n v="0.11017305790877301"/>
    <x v="587"/>
    <n v="1027.26"/>
    <n v="2200.41"/>
    <s v="Profit"/>
    <n v="8.7999999999999995E-2"/>
    <n v="6"/>
    <x v="589"/>
    <n v="6163.5599999999995"/>
    <n v="5877.0835200000001"/>
    <n v="0.48810377204822358"/>
  </r>
  <r>
    <x v="589"/>
    <x v="451"/>
    <d v="2023-04-16T00:00:00"/>
    <d v="2023-04-16T00:00:00"/>
    <n v="13"/>
    <s v="Q2-2023"/>
    <s v="Europe"/>
    <x v="7"/>
    <s v="Marseille"/>
    <s v="Non-Profit"/>
    <s v="Marketplace"/>
    <s v="M. Rossi"/>
    <x v="6"/>
    <n v="8.2555378985526034E-2"/>
    <x v="588"/>
    <n v="790.54"/>
    <n v="601.49"/>
    <s v="Loss"/>
    <n v="0"/>
    <n v="15"/>
    <x v="590"/>
    <n v="11858.099999999999"/>
    <n v="-2835.7499999999982"/>
    <n v="-0.31430281467688553"/>
  </r>
  <r>
    <x v="590"/>
    <x v="388"/>
    <d v="2025-09-22T00:00:00"/>
    <d v="2025-09-22T00:00:00"/>
    <n v="23"/>
    <s v="Q3-2025"/>
    <s v="Europe"/>
    <x v="7"/>
    <s v="Marseille"/>
    <s v="Corporate"/>
    <s v="Direct"/>
    <s v="E. Garcia"/>
    <x v="0"/>
    <n v="0.10744840401828545"/>
    <x v="589"/>
    <n v="663.9"/>
    <n v="947.77"/>
    <s v="Profit"/>
    <n v="0.17399999999999999"/>
    <n v="15"/>
    <x v="591"/>
    <n v="9958.5"/>
    <n v="1784.3703000000005"/>
    <n v="0.1519535049280073"/>
  </r>
  <r>
    <x v="591"/>
    <x v="452"/>
    <d v="2023-02-26T00:00:00"/>
    <d v="2023-03-06T00:00:00"/>
    <n v="7"/>
    <s v="Q1-2023"/>
    <s v="Americas"/>
    <x v="10"/>
    <s v="San Francisco"/>
    <s v="Non-Profit"/>
    <s v="Online"/>
    <s v="L. Okafor"/>
    <x v="2"/>
    <n v="0.4736838936415963"/>
    <x v="590"/>
    <n v="1015.91"/>
    <n v="2331.48"/>
    <s v="Profit"/>
    <n v="0.14599999999999999"/>
    <n v="26"/>
    <x v="592"/>
    <n v="26413.66"/>
    <n v="25354.521920000003"/>
    <n v="0.48977037592669626"/>
  </r>
  <r>
    <x v="592"/>
    <x v="453"/>
    <d v="2024-08-15T00:00:00"/>
    <d v="2024-08-15T00:00:00"/>
    <n v="15"/>
    <s v="Q3-2024"/>
    <s v="Asia"/>
    <x v="2"/>
    <s v="Tokyo"/>
    <s v="Corporate"/>
    <s v="Marketplace"/>
    <s v="F. Müller"/>
    <x v="5"/>
    <n v="5.2390250064154639E-2"/>
    <x v="591"/>
    <n v="1252.52"/>
    <n v="1417.24"/>
    <s v="Profit"/>
    <n v="0.192"/>
    <n v="5"/>
    <x v="593"/>
    <n v="6262.6"/>
    <n v="-536.95039999999972"/>
    <n v="-9.3779821943696953E-2"/>
  </r>
  <r>
    <x v="593"/>
    <x v="325"/>
    <d v="2025-07-12T00:00:00"/>
    <d v="2025-07-12T00:00:00"/>
    <n v="27"/>
    <s v="Q2-2025"/>
    <s v="Europe"/>
    <x v="7"/>
    <s v="Marseille"/>
    <s v="Consumer"/>
    <s v="Direct"/>
    <s v="C. Otieno"/>
    <x v="6"/>
    <n v="7.6549895725669087E-2"/>
    <x v="592"/>
    <n v="318.83"/>
    <n v="699.5"/>
    <s v="Profit"/>
    <n v="0.08"/>
    <n v="13"/>
    <x v="594"/>
    <n v="4144.79"/>
    <n v="4221.2300000000005"/>
    <n v="0.50456848059172699"/>
  </r>
  <r>
    <x v="594"/>
    <x v="24"/>
    <d v="2024-07-21T00:00:00"/>
    <d v="2024-07-21T00:00:00"/>
    <n v="21"/>
    <s v="Q2-2024"/>
    <s v="Africa"/>
    <x v="0"/>
    <s v="Kisumu"/>
    <s v="Small Business"/>
    <s v="Retail"/>
    <s v="K. Singh"/>
    <x v="4"/>
    <n v="0.13643352634659736"/>
    <x v="593"/>
    <n v="753.43"/>
    <n v="1787.2"/>
    <s v="Profit"/>
    <n v="7.2999999999999995E-2"/>
    <n v="9"/>
    <x v="595"/>
    <n v="6780.87"/>
    <n v="8129.7396000000017"/>
    <n v="0.54523187301476939"/>
  </r>
  <r>
    <x v="595"/>
    <x v="454"/>
    <d v="2025-02-15T00:00:00"/>
    <d v="2025-02-24T00:00:00"/>
    <n v="7"/>
    <s v="Q1-2025"/>
    <s v="Americas"/>
    <x v="3"/>
    <s v="Toronto"/>
    <s v="Small Business"/>
    <s v="Retail"/>
    <s v="D. Smith"/>
    <x v="0"/>
    <n v="7.4376736215864409E-2"/>
    <x v="594"/>
    <n v="1133.47"/>
    <n v="1698.75"/>
    <s v="Profit"/>
    <n v="4.2999999999999997E-2"/>
    <n v="5"/>
    <x v="596"/>
    <n v="5667.35"/>
    <n v="2461.1687499999989"/>
    <n v="0.30278194904821976"/>
  </r>
  <r>
    <x v="596"/>
    <x v="455"/>
    <d v="2023-01-30T00:00:00"/>
    <d v="2023-01-30T00:00:00"/>
    <n v="23"/>
    <s v="Q1-2023"/>
    <s v="Africa"/>
    <x v="11"/>
    <s v="Cape Town"/>
    <s v="Consumer"/>
    <s v="Online"/>
    <s v="A. Patel"/>
    <x v="1"/>
    <n v="2.8513624227444741E-2"/>
    <x v="595"/>
    <n v="299.02"/>
    <n v="724.7"/>
    <s v="Profit"/>
    <n v="0.14000000000000001"/>
    <n v="5"/>
    <x v="597"/>
    <n v="1495.1"/>
    <n v="1621.1100000000001"/>
    <n v="0.52021847051386139"/>
  </r>
  <r>
    <x v="597"/>
    <x v="402"/>
    <d v="2025-04-04T00:00:00"/>
    <d v="2025-04-04T00:00:00"/>
    <n v="25"/>
    <s v="Q1-2025"/>
    <s v="Asia"/>
    <x v="2"/>
    <s v="Osaka"/>
    <s v="Corporate"/>
    <s v="Direct"/>
    <s v="H. Kim"/>
    <x v="1"/>
    <n v="4.034750781907976E-2"/>
    <x v="596"/>
    <n v="783.72"/>
    <n v="1355.94"/>
    <s v="Profit"/>
    <n v="0.187"/>
    <n v="4"/>
    <x v="598"/>
    <n v="3134.88"/>
    <n v="1274.63688"/>
    <n v="0.28906497348525856"/>
  </r>
  <r>
    <x v="598"/>
    <x v="456"/>
    <d v="2024-08-15T00:00:00"/>
    <d v="2024-08-24T00:00:00"/>
    <n v="7"/>
    <s v="Q3-2024"/>
    <s v="Americas"/>
    <x v="5"/>
    <s v="Rio de Janeiro"/>
    <s v="Consumer"/>
    <s v="Direct"/>
    <s v="M. Rossi"/>
    <x v="5"/>
    <n v="5.4554180785977804E-2"/>
    <x v="597"/>
    <n v="165.3"/>
    <n v="275.07"/>
    <s v="Profit"/>
    <n v="0.13300000000000001"/>
    <n v="25"/>
    <x v="599"/>
    <n v="4132.5"/>
    <n v="1829.6422499999999"/>
    <n v="0.30687665159280625"/>
  </r>
  <r>
    <x v="599"/>
    <x v="307"/>
    <d v="2024-03-22T00:00:00"/>
    <d v="2024-03-22T00:00:00"/>
    <n v="13"/>
    <s v="Q1-2024"/>
    <s v="Europe"/>
    <x v="8"/>
    <s v="Manchester"/>
    <s v="Consumer"/>
    <s v="Online"/>
    <s v="E. Garcia"/>
    <x v="4"/>
    <n v="0.31053730320999368"/>
    <x v="598"/>
    <n v="985.45"/>
    <n v="1802.44"/>
    <s v="Profit"/>
    <n v="8.9999999999999993E-3"/>
    <n v="19"/>
    <x v="600"/>
    <n v="18723.55"/>
    <n v="15214.592760000003"/>
    <n v="0.44830363486867486"/>
  </r>
  <r>
    <x v="600"/>
    <x v="396"/>
    <d v="2024-09-02T00:00:00"/>
    <d v="2024-09-02T00:00:00"/>
    <n v="14"/>
    <s v="Q3-2024"/>
    <s v="Americas"/>
    <x v="3"/>
    <s v="Toronto"/>
    <s v="Consumer"/>
    <s v="Distributor"/>
    <s v="C. Otieno"/>
    <x v="1"/>
    <n v="6.831742888206048E-2"/>
    <x v="599"/>
    <n v="1337.01"/>
    <n v="1269.78"/>
    <s v="Loss"/>
    <n v="0.16"/>
    <n v="7"/>
    <x v="601"/>
    <n v="9359.07"/>
    <n v="-1892.7636000000011"/>
    <n v="-0.25350735672996244"/>
  </r>
  <r>
    <x v="601"/>
    <x v="457"/>
    <d v="2025-08-28T00:00:00"/>
    <d v="2025-08-28T00:00:00"/>
    <n v="17"/>
    <s v="Q3-2025"/>
    <s v="Europe"/>
    <x v="7"/>
    <s v="Paris"/>
    <s v="Education"/>
    <s v="Online"/>
    <s v="F. Müller"/>
    <x v="2"/>
    <n v="9.7228035564244242E-3"/>
    <x v="600"/>
    <n v="416.16"/>
    <n v="571.9"/>
    <s v="Profit"/>
    <n v="7.0999999999999994E-2"/>
    <n v="2"/>
    <x v="602"/>
    <n v="832.32"/>
    <n v="230.27020000000005"/>
    <n v="0.21670649701079497"/>
  </r>
  <r>
    <x v="602"/>
    <x v="217"/>
    <d v="2025-05-18T00:00:00"/>
    <d v="2025-05-18T00:00:00"/>
    <n v="2"/>
    <s v="Q2-2025"/>
    <s v="Asia"/>
    <x v="2"/>
    <s v="Tokyo"/>
    <s v="Enterprise"/>
    <s v="Retail"/>
    <s v="J. Njeri"/>
    <x v="1"/>
    <n v="0.36426836861550466"/>
    <x v="601"/>
    <n v="1144.3800000000001"/>
    <n v="2755.04"/>
    <s v="Profit"/>
    <n v="0.15"/>
    <n v="17"/>
    <x v="603"/>
    <n v="19454.460000000003"/>
    <n v="20355.867999999999"/>
    <n v="0.51132128326096682"/>
  </r>
  <r>
    <x v="603"/>
    <x v="458"/>
    <d v="2023-04-25T00:00:00"/>
    <d v="2023-04-25T00:00:00"/>
    <n v="15"/>
    <s v="Q2-2023"/>
    <s v="Europe"/>
    <x v="8"/>
    <s v="London"/>
    <s v="Small Business"/>
    <s v="Retail"/>
    <s v="D. Smith"/>
    <x v="1"/>
    <n v="4.9936030222849218E-2"/>
    <x v="602"/>
    <n v="405.66"/>
    <n v="962.51"/>
    <s v="Profit"/>
    <n v="0.19"/>
    <n v="7"/>
    <x v="604"/>
    <n v="2839.6200000000003"/>
    <n v="2617.8116999999997"/>
    <n v="0.47967832561239376"/>
  </r>
  <r>
    <x v="604"/>
    <x v="459"/>
    <d v="2023-10-02T00:00:00"/>
    <d v="2023-10-02T00:00:00"/>
    <n v="15"/>
    <s v="Q3-2023"/>
    <s v="Americas"/>
    <x v="5"/>
    <s v="Rio de Janeiro"/>
    <s v="Small Business"/>
    <s v="Retail"/>
    <s v="B. Chen"/>
    <x v="4"/>
    <n v="6.4706130212118296E-2"/>
    <x v="603"/>
    <n v="689.33"/>
    <n v="668.27"/>
    <s v="Loss"/>
    <n v="0.186"/>
    <n v="13"/>
    <x v="605"/>
    <n v="8961.2900000000009"/>
    <n v="-1889.6568600000001"/>
    <n v="-0.26721647214861033"/>
  </r>
  <r>
    <x v="605"/>
    <x v="460"/>
    <d v="2023-05-14T00:00:00"/>
    <d v="2023-05-14T00:00:00"/>
    <n v="22"/>
    <s v="Q2-2023"/>
    <s v="Asia"/>
    <x v="2"/>
    <s v="Nagoya"/>
    <s v="Enterprise"/>
    <s v="Retail"/>
    <s v="A. Patel"/>
    <x v="6"/>
    <n v="0.12678854171287179"/>
    <x v="604"/>
    <n v="1209.22"/>
    <n v="1404.33"/>
    <s v="Profit"/>
    <n v="0.10299999999999999"/>
    <n v="11"/>
    <x v="606"/>
    <n v="13301.42"/>
    <n v="555.10411000000022"/>
    <n v="4.0060848275751328E-2"/>
  </r>
  <r>
    <x v="606"/>
    <x v="111"/>
    <d v="2025-06-21T00:00:00"/>
    <d v="2025-06-21T00:00:00"/>
    <n v="2"/>
    <s v="Q2-2025"/>
    <s v="Africa"/>
    <x v="11"/>
    <s v="Johannesburg"/>
    <s v="Small Business"/>
    <s v="not provided"/>
    <s v="H. Kim"/>
    <x v="3"/>
    <n v="0.26695441391356206"/>
    <x v="605"/>
    <n v="1466.27"/>
    <n v="3589.89"/>
    <s v="Profit"/>
    <n v="9.7000000000000003E-2"/>
    <n v="9"/>
    <x v="607"/>
    <n v="13196.43"/>
    <n v="15978.606029999999"/>
    <n v="0.54768076425234147"/>
  </r>
  <r>
    <x v="607"/>
    <x v="461"/>
    <d v="2024-12-24T00:00:00"/>
    <d v="2024-12-24T00:00:00"/>
    <n v="27"/>
    <s v="Q4-2024"/>
    <s v="Africa"/>
    <x v="0"/>
    <s v="Mombasa"/>
    <s v="Corporate"/>
    <s v="Distributor"/>
    <s v="B. Chen"/>
    <x v="1"/>
    <n v="2.5037137964797809E-2"/>
    <x v="606"/>
    <n v="143.33000000000001"/>
    <n v="233.51"/>
    <s v="Profit"/>
    <n v="0.16300000000000001"/>
    <n v="14"/>
    <x v="608"/>
    <n v="2006.6200000000001"/>
    <n v="729.65017999999986"/>
    <n v="0.26665867476580835"/>
  </r>
  <r>
    <x v="608"/>
    <x v="10"/>
    <d v="2024-01-27T00:00:00"/>
    <d v="2024-02-04T00:00:00"/>
    <n v="7"/>
    <s v="Q1-2024"/>
    <s v="Africa"/>
    <x v="11"/>
    <s v="Cape Town"/>
    <s v="Enterprise"/>
    <s v="Direct"/>
    <s v="O. Wang"/>
    <x v="0"/>
    <n v="1.9008960817001212E-2"/>
    <x v="607"/>
    <n v="109.75"/>
    <n v="124.25"/>
    <s v="Profit"/>
    <n v="0.12"/>
    <n v="19"/>
    <x v="609"/>
    <n v="2085.25"/>
    <n v="-7.7899999999999636"/>
    <n v="-3.7497713554051405E-3"/>
  </r>
  <r>
    <x v="609"/>
    <x v="387"/>
    <d v="2023-04-23T00:00:00"/>
    <d v="2023-04-23T00:00:00"/>
    <n v="7"/>
    <s v="Q2-2023"/>
    <s v="Americas"/>
    <x v="10"/>
    <s v="Austin"/>
    <s v="Corporate"/>
    <s v="Distributor"/>
    <s v="O. Wang"/>
    <x v="1"/>
    <n v="9.3880547188160149E-2"/>
    <x v="608"/>
    <n v="1099.1500000000001"/>
    <n v="1431.37"/>
    <s v="Profit"/>
    <n v="0.104"/>
    <n v="8"/>
    <x v="610"/>
    <n v="8793.2000000000007"/>
    <n v="1466.8601599999984"/>
    <n v="0.14296798821109433"/>
  </r>
  <r>
    <x v="610"/>
    <x v="145"/>
    <d v="2024-02-01T00:00:00"/>
    <d v="2024-02-01T00:00:00"/>
    <n v="0"/>
    <s v="Q1-2024"/>
    <s v="Americas"/>
    <x v="10"/>
    <s v="Austin"/>
    <s v="Consumer"/>
    <s v="Distributor"/>
    <s v="H. Kim"/>
    <x v="1"/>
    <n v="0.16473695527441115"/>
    <x v="609"/>
    <n v="714.43"/>
    <n v="1595.52"/>
    <s v="Profit"/>
    <n v="0.19400000000000001"/>
    <n v="14"/>
    <x v="611"/>
    <n v="10002.019999999999"/>
    <n v="8001.8276800000003"/>
    <n v="0.44445097638151093"/>
  </r>
  <r>
    <x v="611"/>
    <x v="462"/>
    <d v="2024-11-06T00:00:00"/>
    <d v="2024-11-06T00:00:00"/>
    <n v="18"/>
    <s v="Q4-2024"/>
    <s v="Americas"/>
    <x v="10"/>
    <s v="Chicago"/>
    <s v="Education"/>
    <s v="not provided"/>
    <s v="C. Otieno"/>
    <x v="5"/>
    <n v="8.4694580197297462E-2"/>
    <x v="610"/>
    <n v="942.02"/>
    <n v="1028.46"/>
    <s v="Profit"/>
    <n v="0"/>
    <n v="9"/>
    <x v="612"/>
    <n v="8478.18"/>
    <n v="777.95999999999913"/>
    <n v="8.4047994088248354E-2"/>
  </r>
  <r>
    <x v="612"/>
    <x v="463"/>
    <d v="2024-06-30T00:00:00"/>
    <d v="2024-06-30T00:00:00"/>
    <n v="5"/>
    <s v="Q2-2024"/>
    <s v="Africa"/>
    <x v="0"/>
    <s v="Kisumu"/>
    <s v="Education"/>
    <s v="Direct"/>
    <s v="M. Rossi"/>
    <x v="2"/>
    <n v="0.75160123887544505"/>
    <x v="611"/>
    <n v="1323.55"/>
    <n v="3230.35"/>
    <s v="Profit"/>
    <n v="2.1999999999999999E-2"/>
    <n v="26"/>
    <x v="613"/>
    <n v="34412.299999999996"/>
    <n v="47729.039799999991"/>
    <n v="0.58105991351263542"/>
  </r>
  <r>
    <x v="613"/>
    <x v="203"/>
    <d v="2023-08-19T00:00:00"/>
    <d v="2023-08-19T00:00:00"/>
    <n v="20"/>
    <s v="Q3-2023"/>
    <s v="Europe"/>
    <x v="7"/>
    <s v="Paris"/>
    <s v="Enterprise"/>
    <s v="Marketplace"/>
    <s v="G. Dubois"/>
    <x v="2"/>
    <n v="0.16928314297701436"/>
    <x v="612"/>
    <n v="1418.51"/>
    <n v="2789.61"/>
    <s v="Profit"/>
    <n v="0.17100000000000001"/>
    <n v="8"/>
    <x v="614"/>
    <n v="11348.08"/>
    <n v="7152.6135200000008"/>
    <n v="0.38661326464695689"/>
  </r>
  <r>
    <x v="614"/>
    <x v="418"/>
    <d v="2025-03-27T00:00:00"/>
    <d v="2025-03-27T00:00:00"/>
    <n v="16"/>
    <s v="Q1-2025"/>
    <s v="Asia"/>
    <x v="2"/>
    <s v="Tokyo"/>
    <s v="Enterprise"/>
    <s v="Distributor"/>
    <s v="B. Chen"/>
    <x v="1"/>
    <n v="9.574788254354806E-2"/>
    <x v="613"/>
    <n v="1317.58"/>
    <n v="1897.74"/>
    <s v="Profit"/>
    <n v="8.1000000000000003E-2"/>
    <n v="6"/>
    <x v="615"/>
    <n v="7905.48"/>
    <n v="2558.6583600000013"/>
    <n v="0.24451687009230266"/>
  </r>
  <r>
    <x v="615"/>
    <x v="327"/>
    <d v="2023-10-11T00:00:00"/>
    <d v="2023-10-11T00:00:00"/>
    <n v="2"/>
    <s v="Q4-2023"/>
    <s v="Africa"/>
    <x v="1"/>
    <s v="Port Harcourt"/>
    <s v="Education"/>
    <s v="Marketplace"/>
    <s v="K. Singh"/>
    <x v="2"/>
    <n v="9.8695889024356706E-2"/>
    <x v="614"/>
    <n v="391.16"/>
    <n v="902.47"/>
    <s v="Profit"/>
    <n v="4.0000000000000001E-3"/>
    <n v="12"/>
    <x v="616"/>
    <n v="4693.92"/>
    <n v="6092.4014399999996"/>
    <n v="0.56482661618139207"/>
  </r>
  <r>
    <x v="616"/>
    <x v="55"/>
    <d v="2025-01-16T00:00:00"/>
    <d v="2025-01-16T00:00:00"/>
    <n v="30"/>
    <s v="Q4-2024"/>
    <s v="Europe"/>
    <x v="8"/>
    <s v="Manchester"/>
    <s v="Corporate"/>
    <s v="Retail"/>
    <s v="D. Smith"/>
    <x v="5"/>
    <n v="7.7441576352589008E-3"/>
    <x v="615"/>
    <n v="722.87"/>
    <n v="33.659999999999997"/>
    <s v="Loss"/>
    <n v="0.10199999999999999"/>
    <n v="28"/>
    <x v="617"/>
    <n v="20240.36"/>
    <n v="-19394.01296"/>
    <n v="-22.914965189693348"/>
  </r>
  <r>
    <x v="617"/>
    <x v="445"/>
    <d v="2025-07-16T00:00:00"/>
    <d v="2025-07-16T00:00:00"/>
    <n v="5"/>
    <s v="Q3-2025"/>
    <s v="Europe"/>
    <x v="8"/>
    <s v="London"/>
    <s v="Enterprise"/>
    <s v="Online"/>
    <s v="K. Singh"/>
    <x v="1"/>
    <n v="0.23034480980908273"/>
    <x v="616"/>
    <n v="930.03"/>
    <n v="1086.68"/>
    <s v="Profit"/>
    <n v="0.109"/>
    <n v="26"/>
    <x v="618"/>
    <n v="24180.78"/>
    <n v="993.24888000000283"/>
    <n v="3.9455300728168656E-2"/>
  </r>
  <r>
    <x v="618"/>
    <x v="464"/>
    <d v="2024-10-24T00:00:00"/>
    <d v="2024-10-24T00:00:00"/>
    <n v="11"/>
    <s v="Q4-2024"/>
    <s v="Europe"/>
    <x v="7"/>
    <s v="Paris"/>
    <s v="Education"/>
    <s v="Distributor"/>
    <s v="F. Müller"/>
    <x v="0"/>
    <n v="0.37899267063003933"/>
    <x v="617"/>
    <n v="816.7"/>
    <n v="1010.75"/>
    <s v="Profit"/>
    <n v="4.7E-2"/>
    <n v="43"/>
    <x v="619"/>
    <n v="35118.1"/>
    <n v="6301.4242499999964"/>
    <n v="0.15213656757537472"/>
  </r>
  <r>
    <x v="619"/>
    <x v="429"/>
    <d v="2023-09-14T00:00:00"/>
    <d v="2023-09-14T00:00:00"/>
    <n v="6"/>
    <s v="Q3-2023"/>
    <s v="Africa"/>
    <x v="0"/>
    <s v="Nakuru"/>
    <s v="Education"/>
    <s v="Direct"/>
    <s v="I. Johnson"/>
    <x v="6"/>
    <n v="9.4315303439941305E-3"/>
    <x v="618"/>
    <n v="251.03"/>
    <n v="411.48"/>
    <s v="Profit"/>
    <n v="0.16500000000000001"/>
    <n v="3"/>
    <x v="620"/>
    <n v="753.09"/>
    <n v="277.66739999999993"/>
    <n v="0.26938191275658069"/>
  </r>
  <r>
    <x v="620"/>
    <x v="448"/>
    <d v="2025-05-03T00:00:00"/>
    <d v="2025-05-03T00:00:00"/>
    <n v="16"/>
    <s v="Q2-2025"/>
    <s v="Americas"/>
    <x v="5"/>
    <s v="Rio de Janeiro"/>
    <s v="Consumer"/>
    <s v="Marketplace"/>
    <s v="J. Njeri"/>
    <x v="2"/>
    <n v="2.1550412377440577E-2"/>
    <x v="619"/>
    <n v="168.68"/>
    <n v="413.34"/>
    <s v="Profit"/>
    <n v="0.186"/>
    <n v="7"/>
    <x v="621"/>
    <n v="1180.76"/>
    <n v="1174.4513199999999"/>
    <n v="0.49866069767361682"/>
  </r>
  <r>
    <x v="621"/>
    <x v="465"/>
    <d v="2024-08-23T00:00:00"/>
    <d v="2024-08-23T00:00:00"/>
    <n v="26"/>
    <s v="Q3-2024"/>
    <s v="Asia"/>
    <x v="4"/>
    <s v="Hyderabad"/>
    <s v="Corporate"/>
    <s v="Retail"/>
    <s v="J. Njeri"/>
    <x v="2"/>
    <n v="0.27660738987613109"/>
    <x v="620"/>
    <n v="1339.24"/>
    <n v="1558.89"/>
    <s v="Profit"/>
    <n v="0.192"/>
    <n v="24"/>
    <x v="622"/>
    <n v="32141.760000000002"/>
    <n v="-1911.76512"/>
    <n v="-6.3240669659021781E-2"/>
  </r>
  <r>
    <x v="622"/>
    <x v="466"/>
    <d v="2025-07-31T00:00:00"/>
    <d v="2025-07-31T00:00:00"/>
    <n v="12"/>
    <s v="Q3-2025"/>
    <s v="Africa"/>
    <x v="0"/>
    <s v="Nairobi"/>
    <s v="Small Business"/>
    <s v="Marketplace"/>
    <s v="O. Wang"/>
    <x v="6"/>
    <n v="9.7850085520511443E-2"/>
    <x v="621"/>
    <n v="619.64"/>
    <n v="861.16"/>
    <s v="Profit"/>
    <n v="0.113"/>
    <n v="14"/>
    <x v="623"/>
    <n v="8674.9599999999991"/>
    <n v="2018.9248800000005"/>
    <n v="0.18879246435276761"/>
  </r>
  <r>
    <x v="623"/>
    <x v="242"/>
    <d v="2023-08-02T00:00:00"/>
    <d v="2023-08-10T00:00:00"/>
    <n v="7"/>
    <s v="Q3-2023"/>
    <s v="Asia"/>
    <x v="9"/>
    <s v="Shanghai"/>
    <s v="Non-Profit"/>
    <s v="Direct"/>
    <s v="J. Njeri"/>
    <x v="2"/>
    <n v="0.45833200320849288"/>
    <x v="622"/>
    <n v="1021.97"/>
    <n v="2296.25"/>
    <s v="Profit"/>
    <n v="0.161"/>
    <n v="26"/>
    <x v="624"/>
    <n v="26571.22"/>
    <n v="23519.177499999998"/>
    <n v="0.46953465482081669"/>
  </r>
  <r>
    <x v="624"/>
    <x v="112"/>
    <d v="2023-12-12T00:00:00"/>
    <d v="2023-12-12T00:00:00"/>
    <n v="23"/>
    <s v="Q4-2023"/>
    <s v="Asia"/>
    <x v="4"/>
    <s v="Delhi"/>
    <s v="Small Business"/>
    <s v="Direct"/>
    <s v="C. Otieno"/>
    <x v="2"/>
    <n v="0.29924831266145552"/>
    <x v="623"/>
    <n v="1349.04"/>
    <n v="2636.6"/>
    <s v="Profit"/>
    <n v="0.114"/>
    <n v="14"/>
    <x v="625"/>
    <n v="18886.559999999998"/>
    <n v="13817.826400000005"/>
    <n v="0.42250682312143928"/>
  </r>
  <r>
    <x v="625"/>
    <x v="81"/>
    <d v="2024-01-16T00:00:00"/>
    <d v="2024-01-16T00:00:00"/>
    <n v="25"/>
    <s v="Q4-2023"/>
    <s v="Asia"/>
    <x v="4"/>
    <s v="Hyderabad"/>
    <s v="Small Business"/>
    <s v="Retail"/>
    <s v="A. Patel"/>
    <x v="0"/>
    <n v="0.12795269594562769"/>
    <x v="624"/>
    <n v="1346.81"/>
    <n v="978.09"/>
    <s v="Loss"/>
    <n v="0.159"/>
    <n v="17"/>
    <x v="626"/>
    <n v="22895.77"/>
    <n v="-8912.0172700000021"/>
    <n v="-0.6373122753293996"/>
  </r>
  <r>
    <x v="626"/>
    <x v="242"/>
    <d v="2023-08-30T00:00:00"/>
    <d v="2023-08-30T00:00:00"/>
    <n v="27"/>
    <s v="Q3-2023"/>
    <s v="Asia"/>
    <x v="9"/>
    <s v="Shanghai"/>
    <s v="Consumer"/>
    <s v="Distributor"/>
    <s v="N. Brown"/>
    <x v="5"/>
    <n v="4.6633278684733472E-2"/>
    <x v="625"/>
    <n v="226.04"/>
    <n v="545.72"/>
    <s v="Profit"/>
    <n v="0.151"/>
    <n v="11"/>
    <x v="627"/>
    <n v="2486.44"/>
    <n v="2610.03908"/>
    <n v="0.51212592831834014"/>
  </r>
  <r>
    <x v="627"/>
    <x v="44"/>
    <d v="2023-07-18T00:00:00"/>
    <d v="2023-07-18T00:00:00"/>
    <n v="25"/>
    <s v="Q2-2023"/>
    <s v="Americas"/>
    <x v="3"/>
    <s v="Vancouver"/>
    <s v="Enterprise"/>
    <s v="Online"/>
    <s v="N. Brown"/>
    <x v="3"/>
    <n v="0.30211260051142846"/>
    <x v="626"/>
    <n v="807.02"/>
    <n v="1435.54"/>
    <s v="Profit"/>
    <n v="0"/>
    <n v="23"/>
    <x v="628"/>
    <n v="18561.46"/>
    <n v="14455.96"/>
    <n v="0.43782827368098415"/>
  </r>
  <r>
    <x v="628"/>
    <x v="141"/>
    <d v="2024-01-02T00:00:00"/>
    <d v="2024-01-02T00:00:00"/>
    <n v="26"/>
    <s v="Q4-2023"/>
    <s v="Europe"/>
    <x v="6"/>
    <s v="Frankfurt"/>
    <s v="Enterprise"/>
    <s v="Distributor"/>
    <s v="E. Garcia"/>
    <x v="0"/>
    <n v="0.3703594528641822"/>
    <x v="627"/>
    <n v="1071.99"/>
    <n v="2397.3000000000002"/>
    <s v="Profit"/>
    <n v="6.2E-2"/>
    <n v="18"/>
    <x v="629"/>
    <n v="19295.82"/>
    <n v="21180.193200000002"/>
    <n v="0.52327765324476183"/>
  </r>
  <r>
    <x v="629"/>
    <x v="112"/>
    <d v="2023-12-19T00:00:00"/>
    <d v="2023-12-19T00:00:00"/>
    <n v="30"/>
    <s v="Q4-2023"/>
    <s v="Asia"/>
    <x v="2"/>
    <s v="Nagoya"/>
    <s v="Consumer"/>
    <s v="Retail"/>
    <s v="not provided"/>
    <x v="3"/>
    <n v="0.11684113776737845"/>
    <x v="628"/>
    <n v="807.11"/>
    <n v="1853.86"/>
    <s v="Profit"/>
    <n v="0.13900000000000001"/>
    <n v="8"/>
    <x v="630"/>
    <n v="6456.88"/>
    <n v="6312.5076799999997"/>
    <n v="0.49434693645388639"/>
  </r>
  <r>
    <x v="630"/>
    <x v="467"/>
    <d v="2025-03-10T00:00:00"/>
    <d v="2025-03-10T00:00:00"/>
    <n v="10"/>
    <s v="Q1-2025"/>
    <s v="Asia"/>
    <x v="2"/>
    <s v="Osaka"/>
    <s v="Education"/>
    <s v="Distributor"/>
    <s v="N. Brown"/>
    <x v="4"/>
    <n v="2.4355565711585915E-3"/>
    <x v="629"/>
    <n v="51.86"/>
    <n v="45.98"/>
    <s v="Loss"/>
    <n v="0.17299999999999999"/>
    <n v="7"/>
    <x v="631"/>
    <n v="363.02"/>
    <n v="-96.841780000000028"/>
    <n v="-0.3638230806412337"/>
  </r>
</pivotCacheRecords>
</file>

<file path=xl/pivotCache/pivotCacheRecords2.xml><?xml version="1.0" encoding="utf-8"?>
<pivotCacheRecords xmlns="http://schemas.openxmlformats.org/spreadsheetml/2006/main" xmlns:r="http://schemas.openxmlformats.org/officeDocument/2006/relationships" count="633">
  <r>
    <s v="ORD-2024-275203"/>
    <x v="0"/>
    <d v="2024-04-06T00:00:00"/>
    <d v="2024-04-06T00:00:00"/>
    <n v="26"/>
    <s v="Q1-2024"/>
    <x v="0"/>
    <x v="0"/>
    <x v="0"/>
    <s v="Corporate"/>
    <s v="Retail"/>
    <x v="0"/>
    <s v="Components"/>
    <n v="4.4527381264546376E-2"/>
    <s v="CMP-8270"/>
    <n v="279.24"/>
    <n v="608.9"/>
    <s v="Profit"/>
    <n v="0.112"/>
    <n v="9"/>
    <x v="0"/>
    <n v="2513.16"/>
    <x v="0"/>
    <n v="0.48356140670149533"/>
  </r>
  <r>
    <s v="ORD-2024-358795"/>
    <x v="1"/>
    <d v="2024-10-22T00:00:00"/>
    <d v="2024-10-30T00:00:00"/>
    <n v="7"/>
    <s v="Q4-2024"/>
    <x v="0"/>
    <x v="1"/>
    <x v="1"/>
    <s v="Education"/>
    <s v="Online"/>
    <x v="1"/>
    <s v="Printers"/>
    <n v="0.16433970206829759"/>
    <s v="PRN-9322"/>
    <n v="1084.3900000000001"/>
    <n v="759.33"/>
    <s v="Loss"/>
    <n v="0.23699999999999999"/>
    <n v="31"/>
    <x v="1"/>
    <n v="33616.090000000004"/>
    <x v="1"/>
    <n v="-0.87167486187856302"/>
  </r>
  <r>
    <s v="ORD-2023-373538"/>
    <x v="2"/>
    <d v="2023-03-25T00:00:00"/>
    <d v="2023-03-25T00:00:00"/>
    <n v="25"/>
    <s v="Q1-2023"/>
    <x v="0"/>
    <x v="0"/>
    <x v="2"/>
    <s v="Corporate"/>
    <s v="Retail"/>
    <x v="2"/>
    <s v="Networking"/>
    <n v="2.9254917517711316E-3"/>
    <s v="NET-9666"/>
    <n v="1460.76"/>
    <n v="30.66"/>
    <s v="Loss"/>
    <n v="0.13100000000000001"/>
    <n v="12"/>
    <x v="2"/>
    <n v="17529.12"/>
    <x v="2"/>
    <n v="-53.826047890032626"/>
  </r>
  <r>
    <s v="ORD-2025-168148"/>
    <x v="3"/>
    <d v="2025-04-02T00:00:00"/>
    <d v="2025-04-02T00:00:00"/>
    <n v="4"/>
    <s v="Q1-2025"/>
    <x v="0"/>
    <x v="1"/>
    <x v="3"/>
    <s v="Non-Profit"/>
    <s v="Marketplace"/>
    <x v="3"/>
    <s v="Phones"/>
    <n v="4.7811737630361686E-2"/>
    <s v="PHN-4556"/>
    <n v="259.93"/>
    <n v="255.94"/>
    <s v="Loss"/>
    <n v="7.1999999999999995E-2"/>
    <n v="22"/>
    <x v="3"/>
    <n v="5718.46"/>
    <x v="3"/>
    <n v="-9.4385335463861311E-2"/>
  </r>
  <r>
    <s v="ORD-2023-824839"/>
    <x v="4"/>
    <d v="2023-12-31T00:00:00"/>
    <d v="2023-12-31T00:00:00"/>
    <n v="25"/>
    <s v="Q4-2023"/>
    <x v="1"/>
    <x v="2"/>
    <x v="4"/>
    <s v="Consumer"/>
    <s v="Retail"/>
    <x v="4"/>
    <s v="Printers"/>
    <n v="0.10026657877927599"/>
    <s v="PRN-8041"/>
    <n v="663.03"/>
    <n v="813.51"/>
    <s v="Profit"/>
    <n v="0.10199999999999999"/>
    <n v="15"/>
    <x v="4"/>
    <n v="9945.4499999999989"/>
    <x v="4"/>
    <n v="9.2401129379715952E-2"/>
  </r>
  <r>
    <s v="ORD-2023-723587"/>
    <x v="5"/>
    <d v="2023-01-05T00:00:00"/>
    <d v="2023-01-05T00:00:00"/>
    <n v="3"/>
    <s v="Q1-2023"/>
    <x v="2"/>
    <x v="3"/>
    <x v="5"/>
    <s v="Corporate"/>
    <s v="Distributor"/>
    <x v="5"/>
    <s v="Laptops"/>
    <n v="3.7897506355560599E-2"/>
    <s v="LAP-8555"/>
    <n v="315.87"/>
    <n v="591.67999999999995"/>
    <s v="Profit"/>
    <n v="0"/>
    <n v="7"/>
    <x v="5"/>
    <n v="2211.09"/>
    <x v="5"/>
    <n v="0.46614724175229844"/>
  </r>
  <r>
    <s v="ORD-2024-336584"/>
    <x v="6"/>
    <d v="2025-01-14T00:00:00"/>
    <d v="2025-01-14T00:00:00"/>
    <n v="18"/>
    <s v="Q4-2024"/>
    <x v="1"/>
    <x v="4"/>
    <x v="6"/>
    <s v="Small Business"/>
    <s v="Marketplace"/>
    <x v="6"/>
    <s v="Monitors"/>
    <n v="2.6411294613136838E-2"/>
    <s v="MON-8629"/>
    <n v="586.07000000000005"/>
    <n v="845.97"/>
    <s v="Profit"/>
    <n v="0.14699999999999999"/>
    <n v="4"/>
    <x v="6"/>
    <n v="2344.2800000000002"/>
    <x v="6"/>
    <n v="0.18783270370862928"/>
  </r>
  <r>
    <s v="ORD-2023-112666"/>
    <x v="7"/>
    <d v="2023-01-13T00:00:00"/>
    <d v="2023-01-22T00:00:00"/>
    <n v="7"/>
    <s v="Q1-2023"/>
    <x v="0"/>
    <x v="1"/>
    <x v="7"/>
    <s v="Education"/>
    <s v="Online"/>
    <x v="7"/>
    <s v="Printers"/>
    <n v="6.2684365556163737E-3"/>
    <s v="PRN-6276"/>
    <n v="28.38"/>
    <n v="47.22"/>
    <s v="Profit"/>
    <n v="0.19400000000000001"/>
    <n v="18"/>
    <x v="7"/>
    <n v="510.84"/>
    <x v="7"/>
    <n v="0.25432193743871417"/>
  </r>
  <r>
    <s v="ORD-2024-589570"/>
    <x v="8"/>
    <d v="2024-05-29T00:00:00"/>
    <d v="2024-05-29T00:00:00"/>
    <n v="25"/>
    <s v="Q2-2024"/>
    <x v="0"/>
    <x v="1"/>
    <x v="7"/>
    <s v="Non-Profit"/>
    <s v="Marketplace"/>
    <x v="7"/>
    <s v="Monitors"/>
    <n v="0.1346357128803192"/>
    <s v="MON-6892"/>
    <n v="1295.3399999999999"/>
    <n v="2530.81"/>
    <s v="Profit"/>
    <n v="3.1E-2"/>
    <n v="6"/>
    <x v="8"/>
    <n v="7772.0399999999991"/>
    <x v="8"/>
    <n v="0.4717974933880798"/>
  </r>
  <r>
    <s v="ORD-2025-997421"/>
    <x v="9"/>
    <d v="2025-06-09T00:00:00"/>
    <d v="2025-06-09T00:00:00"/>
    <n v="19"/>
    <s v="Q2-2025"/>
    <x v="2"/>
    <x v="5"/>
    <x v="8"/>
    <s v="Non-Profit"/>
    <s v="Online"/>
    <x v="8"/>
    <s v="Components"/>
    <n v="0.55750171555640349"/>
    <s v="CMP-3731"/>
    <n v="1331.38"/>
    <n v="2309.56"/>
    <s v="Profit"/>
    <n v="0.14899999999999999"/>
    <n v="31"/>
    <x v="9"/>
    <n v="41272.780000000006"/>
    <x v="9"/>
    <n v="0.32260307735553528"/>
  </r>
  <r>
    <s v="ORD-2024-210687"/>
    <x v="10"/>
    <d v="2024-02-09T00:00:00"/>
    <d v="2024-02-09T00:00:00"/>
    <n v="12"/>
    <s v="Q1-2024"/>
    <x v="3"/>
    <x v="6"/>
    <x v="9"/>
    <s v="Corporate"/>
    <s v="Online"/>
    <x v="3"/>
    <s v="Accessories"/>
    <n v="0.14645776740936578"/>
    <s v="ACC-7938"/>
    <n v="644.16999999999996"/>
    <n v="700.12"/>
    <s v="Profit"/>
    <n v="6.0000000000000001E-3"/>
    <n v="23"/>
    <x v="10"/>
    <n v="14815.91"/>
    <x v="10"/>
    <n v="7.436103796405813E-2"/>
  </r>
  <r>
    <s v="ORD-2025-515515"/>
    <x v="11"/>
    <d v="2025-01-23T00:00:00"/>
    <d v="2025-01-23T00:00:00"/>
    <n v="20"/>
    <s v="Q1-2025"/>
    <x v="1"/>
    <x v="2"/>
    <x v="4"/>
    <s v="Corporate"/>
    <s v="Distributor"/>
    <x v="9"/>
    <s v="Phones"/>
    <n v="9.4891539957809981E-2"/>
    <s v="PHN-7019"/>
    <n v="908.6"/>
    <n v="691.37"/>
    <s v="Loss"/>
    <n v="0.25"/>
    <n v="20"/>
    <x v="11"/>
    <n v="18172"/>
    <x v="11"/>
    <n v="-0.75226964818645115"/>
  </r>
  <r>
    <s v="ORD-2025-487261"/>
    <x v="12"/>
    <d v="2025-03-31T00:00:00"/>
    <d v="2025-03-31T00:00:00"/>
    <n v="25"/>
    <s v="Q1-2025"/>
    <x v="2"/>
    <x v="5"/>
    <x v="10"/>
    <s v="Non-Profit"/>
    <s v="Online"/>
    <x v="1"/>
    <s v="Components"/>
    <n v="4.546229427046191E-2"/>
    <s v="CMP-3693"/>
    <n v="331.57"/>
    <n v="548.4"/>
    <s v="Profit"/>
    <n v="9.4E-2"/>
    <n v="10"/>
    <x v="12"/>
    <n v="3315.7"/>
    <x v="12"/>
    <n v="0.33265626836568918"/>
  </r>
  <r>
    <s v="ORD-2024-890180"/>
    <x v="13"/>
    <d v="2024-02-13T00:00:00"/>
    <d v="2024-02-13T00:00:00"/>
    <n v="24"/>
    <s v="Q1-2024"/>
    <x v="3"/>
    <x v="7"/>
    <x v="11"/>
    <s v="Corporate"/>
    <s v="Retail"/>
    <x v="10"/>
    <s v="Printers"/>
    <n v="0.19750621941173058"/>
    <s v="PRN-8392"/>
    <n v="643.53"/>
    <n v="1439.01"/>
    <s v="Profit"/>
    <n v="0"/>
    <n v="15"/>
    <x v="13"/>
    <n v="9652.9499999999989"/>
    <x v="13"/>
    <n v="0.55279671440782208"/>
  </r>
  <r>
    <s v="ORD-2025-840976"/>
    <x v="14"/>
    <d v="2025-09-30T00:00:00"/>
    <d v="2025-09-30T00:00:00"/>
    <n v="29"/>
    <s v="Q3-2025"/>
    <x v="2"/>
    <x v="5"/>
    <x v="10"/>
    <s v="Education"/>
    <s v="Retail"/>
    <x v="11"/>
    <s v="Accessories"/>
    <n v="6.9347122254253504E-2"/>
    <s v="ACC-1663"/>
    <n v="780.59"/>
    <n v="631.57000000000005"/>
    <s v="Loss"/>
    <n v="0"/>
    <n v="12"/>
    <x v="14"/>
    <n v="9367.08"/>
    <x v="14"/>
    <n v="-0.23595167598207639"/>
  </r>
  <r>
    <s v="ORD-2023-937291"/>
    <x v="15"/>
    <d v="2023-04-22T00:00:00"/>
    <d v="2023-04-30T00:00:00"/>
    <n v="7"/>
    <s v="Q2-2023"/>
    <x v="0"/>
    <x v="0"/>
    <x v="2"/>
    <s v="Small Business"/>
    <s v="Direct"/>
    <x v="6"/>
    <s v="Laptops"/>
    <n v="6.4879378700487142E-2"/>
    <s v="LAP-1698"/>
    <n v="756.51"/>
    <n v="850.8"/>
    <s v="Profit"/>
    <n v="7.3999999999999996E-2"/>
    <n v="9"/>
    <x v="15"/>
    <n v="6808.59"/>
    <x v="15"/>
    <n v="3.9767932810791252E-2"/>
  </r>
  <r>
    <s v="ORD-2024-206081"/>
    <x v="16"/>
    <d v="2025-01-08T00:00:00"/>
    <d v="2025-01-08T00:00:00"/>
    <n v="29"/>
    <s v="Q4-2024"/>
    <x v="3"/>
    <x v="7"/>
    <x v="11"/>
    <s v="Small Business"/>
    <s v="Retail"/>
    <x v="11"/>
    <s v="Printers"/>
    <n v="0.2374305162056041"/>
    <s v="PRN-6791"/>
    <n v="891.08"/>
    <n v="1040.0999999999999"/>
    <s v="Profit"/>
    <n v="0.109"/>
    <n v="28"/>
    <x v="16"/>
    <n v="24950.240000000002"/>
    <x v="16"/>
    <n v="3.8467660074556598E-2"/>
  </r>
  <r>
    <s v="ORD-2025-233883"/>
    <x v="17"/>
    <d v="2025-09-16T00:00:00"/>
    <d v="2025-09-16T00:00:00"/>
    <n v="8"/>
    <s v="Q3-2025"/>
    <x v="1"/>
    <x v="2"/>
    <x v="4"/>
    <s v="Corporate"/>
    <s v="Distributor"/>
    <x v="0"/>
    <s v="Phones"/>
    <n v="0.32361341680031036"/>
    <s v="PHN-1197"/>
    <n v="1225.57"/>
    <n v="2705.57"/>
    <s v="Profit"/>
    <n v="0.183"/>
    <n v="16"/>
    <x v="17"/>
    <n v="19609.12"/>
    <x v="17"/>
    <n v="0.44555650775453404"/>
  </r>
  <r>
    <s v="ORD-2025-843974"/>
    <x v="18"/>
    <d v="2025-08-05T00:00:00"/>
    <d v="2025-08-05T00:00:00"/>
    <n v="16"/>
    <s v="Q3-2025"/>
    <x v="2"/>
    <x v="5"/>
    <x v="10"/>
    <s v="Enterprise"/>
    <s v="Marketplace"/>
    <x v="3"/>
    <s v="Accessories"/>
    <n v="0.34858378504221799"/>
    <s v="ACC-8098"/>
    <n v="1068.17"/>
    <n v="2375.37"/>
    <s v="Profit"/>
    <n v="0.109"/>
    <n v="18"/>
    <x v="18"/>
    <n v="19227.060000000001"/>
    <x v="18"/>
    <n v="0.49530220744108822"/>
  </r>
  <r>
    <s v="ORD-2025-745263"/>
    <x v="9"/>
    <d v="2025-05-19T00:00:00"/>
    <d v="2025-05-28T00:00:00"/>
    <n v="7"/>
    <s v="Q2-2025"/>
    <x v="3"/>
    <x v="8"/>
    <x v="12"/>
    <s v="Enterprise"/>
    <s v="Online"/>
    <x v="12"/>
    <s v="Laptops"/>
    <n v="0.35926669603104561"/>
    <s v="LAP-3385"/>
    <n v="1015.16"/>
    <n v="2148.14"/>
    <s v="Profit"/>
    <n v="3.7999999999999999E-2"/>
    <n v="19"/>
    <x v="19"/>
    <n v="19288.04"/>
    <x v="19"/>
    <n v="0.50875647059322227"/>
  </r>
  <r>
    <s v="ORD-2024-798002"/>
    <x v="19"/>
    <d v="2024-07-24T00:00:00"/>
    <d v="2024-08-01T00:00:00"/>
    <n v="7"/>
    <s v="Q3-2024"/>
    <x v="0"/>
    <x v="0"/>
    <x v="13"/>
    <s v="Non-Profit"/>
    <s v="Direct"/>
    <x v="1"/>
    <s v="Laptops"/>
    <n v="0.21761045344518207"/>
    <s v="LAP-9815"/>
    <n v="1494.4"/>
    <n v="3661.07"/>
    <s v="Profit"/>
    <n v="7.1999999999999995E-2"/>
    <n v="7"/>
    <x v="20"/>
    <n v="10460.800000000001"/>
    <x v="20"/>
    <n v="0.56014366630897339"/>
  </r>
  <r>
    <s v="ORD-2023-867836"/>
    <x v="20"/>
    <d v="2023-05-28T00:00:00"/>
    <d v="2023-05-28T00:00:00"/>
    <n v="17"/>
    <s v="Q2-2023"/>
    <x v="1"/>
    <x v="9"/>
    <x v="14"/>
    <s v="Enterprise"/>
    <s v="Marketplace"/>
    <x v="6"/>
    <s v="Networking"/>
    <n v="0.18211973667036263"/>
    <s v="NET-3255"/>
    <n v="1331.19"/>
    <n v="2903.09"/>
    <s v="Profit"/>
    <n v="0.14299999999999999"/>
    <n v="8"/>
    <x v="21"/>
    <n v="10649.52"/>
    <x v="21"/>
    <n v="0.46494463290920784"/>
  </r>
  <r>
    <s v="ORD-2025-580047"/>
    <x v="21"/>
    <d v="2025-06-29T00:00:00"/>
    <d v="2025-06-29T00:00:00"/>
    <n v="15"/>
    <s v="Q2-2025"/>
    <x v="0"/>
    <x v="1"/>
    <x v="1"/>
    <s v="Consumer"/>
    <s v="Marketplace"/>
    <x v="12"/>
    <s v="Accessories"/>
    <n v="0.10007453928540418"/>
    <s v="ACC-3961"/>
    <n v="730.99"/>
    <n v="1242.8399999999999"/>
    <s v="Profit"/>
    <n v="0.12"/>
    <n v="10"/>
    <x v="22"/>
    <n v="7309.9"/>
    <x v="22"/>
    <n v="0.33163524303574515"/>
  </r>
  <r>
    <s v="ORD-2024-500109"/>
    <x v="22"/>
    <d v="2024-05-23T00:00:00"/>
    <d v="2024-05-23T00:00:00"/>
    <n v="5"/>
    <s v="Q2-2024"/>
    <x v="2"/>
    <x v="10"/>
    <x v="15"/>
    <s v="Enterprise"/>
    <s v="Retail"/>
    <x v="10"/>
    <s v="Laptops"/>
    <n v="0.1850627717203899"/>
    <s v="LAP-4987"/>
    <n v="1274.5899999999999"/>
    <n v="2553.69"/>
    <s v="Profit"/>
    <n v="0.01"/>
    <n v="8"/>
    <x v="23"/>
    <n v="10196.719999999999"/>
    <x v="23"/>
    <n v="0.49584145042481803"/>
  </r>
  <r>
    <s v="ORD-2023-271836"/>
    <x v="23"/>
    <d v="2023-02-12T00:00:00"/>
    <d v="2023-02-12T00:00:00"/>
    <n v="5"/>
    <s v="Q1-2023"/>
    <x v="2"/>
    <x v="5"/>
    <x v="8"/>
    <s v="Education"/>
    <s v="Online"/>
    <x v="13"/>
    <s v="Components"/>
    <n v="0.22778645801921457"/>
    <s v="CMP-2693"/>
    <n v="948.55"/>
    <n v="2089.16"/>
    <s v="Profit"/>
    <n v="7.0000000000000001E-3"/>
    <n v="12"/>
    <x v="24"/>
    <n v="11382.599999999999"/>
    <x v="24"/>
    <n v="0.54276519912492427"/>
  </r>
  <r>
    <s v="ORD-2024-215294"/>
    <x v="24"/>
    <d v="2024-07-14T00:00:00"/>
    <d v="2024-07-14T00:00:00"/>
    <n v="14"/>
    <s v="Q2-2024"/>
    <x v="2"/>
    <x v="5"/>
    <x v="10"/>
    <s v="Education"/>
    <s v="Retail"/>
    <x v="0"/>
    <s v="Accessories"/>
    <n v="7.8656893719540877E-2"/>
    <s v="ACC-8683"/>
    <n v="1491.85"/>
    <n v="2583.02"/>
    <s v="Profit"/>
    <n v="0.16800000000000001"/>
    <n v="4"/>
    <x v="25"/>
    <n v="5967.4"/>
    <x v="25"/>
    <n v="0.30581685689321325"/>
  </r>
  <r>
    <s v="ORD-2024-788105"/>
    <x v="25"/>
    <d v="2024-12-30T00:00:00"/>
    <d v="2024-12-30T00:00:00"/>
    <n v="30"/>
    <s v="Q4-2024"/>
    <x v="3"/>
    <x v="7"/>
    <x v="11"/>
    <s v="Consumer"/>
    <s v="Marketplace"/>
    <x v="9"/>
    <s v="Printers"/>
    <n v="1.6073975656439126E-2"/>
    <s v="PRN-4170"/>
    <n v="117.64"/>
    <n v="175.67"/>
    <s v="Profit"/>
    <n v="0"/>
    <n v="10"/>
    <x v="26"/>
    <n v="1176.4000000000001"/>
    <x v="26"/>
    <n v="0.33033528775545046"/>
  </r>
  <r>
    <s v="ORD-2024-855073"/>
    <x v="26"/>
    <d v="2024-07-19T00:00:00"/>
    <d v="2024-07-19T00:00:00"/>
    <n v="0"/>
    <s v="Q3-2024"/>
    <x v="0"/>
    <x v="0"/>
    <x v="0"/>
    <s v="Small Business"/>
    <s v="Retail"/>
    <x v="8"/>
    <s v="Phones"/>
    <n v="3.6423860334948863E-2"/>
    <s v="PHN-6854"/>
    <n v="857.24"/>
    <n v="758.23"/>
    <s v="Loss"/>
    <n v="0.125"/>
    <n v="6"/>
    <x v="27"/>
    <n v="5143.4400000000005"/>
    <x v="27"/>
    <n v="-0.29209192084572921"/>
  </r>
  <r>
    <s v="ORD-2023-897079"/>
    <x v="27"/>
    <d v="2023-05-14T00:00:00"/>
    <d v="2023-05-14T00:00:00"/>
    <n v="30"/>
    <s v="Q2-2023"/>
    <x v="0"/>
    <x v="0"/>
    <x v="16"/>
    <s v="Consumer"/>
    <s v="Marketplace"/>
    <x v="12"/>
    <s v="Phones"/>
    <n v="3.5806160151862922E-2"/>
    <s v="PHN-1784"/>
    <n v="209.25"/>
    <n v="434.8"/>
    <s v="Profit"/>
    <n v="0"/>
    <n v="9"/>
    <x v="28"/>
    <n v="1883.25"/>
    <x v="28"/>
    <n v="0.51874425022999082"/>
  </r>
  <r>
    <s v="ORD-2025-548982"/>
    <x v="28"/>
    <d v="2025-04-11T00:00:00"/>
    <d v="2025-04-11T00:00:00"/>
    <n v="4"/>
    <s v="Q2-2025"/>
    <x v="3"/>
    <x v="7"/>
    <x v="17"/>
    <s v="Education"/>
    <s v="Retail"/>
    <x v="6"/>
    <s v="Networking"/>
    <n v="0.18377177463195096"/>
    <s v="NET-9716"/>
    <n v="754.77"/>
    <n v="1666.18"/>
    <s v="Profit"/>
    <n v="0.13900000000000001"/>
    <n v="14"/>
    <x v="29"/>
    <n v="10566.779999999999"/>
    <x v="29"/>
    <n v="0.47387424584424653"/>
  </r>
  <r>
    <s v="ORD-2024-170313"/>
    <x v="6"/>
    <d v="2025-01-15T00:00:00"/>
    <d v="2025-01-15T00:00:00"/>
    <n v="19"/>
    <s v="Q4-2024"/>
    <x v="1"/>
    <x v="4"/>
    <x v="18"/>
    <s v="Non-Profit"/>
    <s v="Distributor"/>
    <x v="3"/>
    <s v="Components"/>
    <n v="8.9724547627161158E-2"/>
    <s v="CMP-6919"/>
    <n v="495.59"/>
    <n v="631.78"/>
    <s v="Profit"/>
    <n v="8.6999999999999994E-2"/>
    <n v="17"/>
    <x v="30"/>
    <n v="8425.0299999999988"/>
    <x v="30"/>
    <n v="0.14081658813601899"/>
  </r>
  <r>
    <s v="ORD-2023-562894"/>
    <x v="29"/>
    <d v="2023-03-25T00:00:00"/>
    <d v="2023-03-25T00:00:00"/>
    <n v="30"/>
    <s v="Q1-2023"/>
    <x v="2"/>
    <x v="3"/>
    <x v="19"/>
    <s v="Enterprise"/>
    <s v="Online"/>
    <x v="14"/>
    <s v="Phones"/>
    <n v="0.23927837393219925"/>
    <s v="PHN-4854"/>
    <n v="1242.6600000000001"/>
    <n v="1794.07"/>
    <s v="Profit"/>
    <n v="8.8999999999999996E-2"/>
    <n v="16"/>
    <x v="31"/>
    <n v="19882.560000000001"/>
    <x v="31"/>
    <n v="0.23968325042440553"/>
  </r>
  <r>
    <s v="ORD-2025-474710"/>
    <x v="30"/>
    <d v="2025-08-06T00:00:00"/>
    <d v="2025-08-06T00:00:00"/>
    <n v="13"/>
    <s v="Q3-2025"/>
    <x v="0"/>
    <x v="11"/>
    <x v="20"/>
    <s v="Education"/>
    <s v="Marketplace"/>
    <x v="14"/>
    <s v="Networking"/>
    <n v="8.8274512517225012E-2"/>
    <s v="NET-7966"/>
    <n v="1463.9"/>
    <n v="2633.02"/>
    <s v="Profit"/>
    <n v="8.4000000000000005E-2"/>
    <n v="4"/>
    <x v="32"/>
    <n v="5855.6"/>
    <x v="32"/>
    <n v="0.39303761277791527"/>
  </r>
  <r>
    <s v="ORD-2024-629525"/>
    <x v="31"/>
    <d v="2024-05-08T00:00:00"/>
    <d v="2024-05-08T00:00:00"/>
    <n v="20"/>
    <s v="Q2-2024"/>
    <x v="3"/>
    <x v="8"/>
    <x v="21"/>
    <s v="Non-Profit"/>
    <s v="not provided"/>
    <x v="14"/>
    <s v="Laptops"/>
    <n v="0.12095055912485946"/>
    <s v="LAP-9932"/>
    <n v="645.33000000000004"/>
    <n v="1321.85"/>
    <s v="Profit"/>
    <n v="0"/>
    <n v="10"/>
    <x v="33"/>
    <n v="6453.3"/>
    <x v="33"/>
    <n v="0.51179785906116426"/>
  </r>
  <r>
    <s v="ORD-2024-167215"/>
    <x v="32"/>
    <d v="2024-08-21T00:00:00"/>
    <d v="2024-08-30T00:00:00"/>
    <n v="7"/>
    <s v="Q3-2024"/>
    <x v="0"/>
    <x v="11"/>
    <x v="20"/>
    <s v="Education"/>
    <s v="Retail"/>
    <x v="6"/>
    <s v="Components"/>
    <n v="0.25008889967890513"/>
    <s v="CMP-1559"/>
    <n v="1432.52"/>
    <n v="3036.87"/>
    <s v="Profit"/>
    <n v="0"/>
    <n v="9"/>
    <x v="34"/>
    <n v="12892.68"/>
    <x v="34"/>
    <n v="0.52829064135112791"/>
  </r>
  <r>
    <s v="ORD-2023-864121"/>
    <x v="33"/>
    <d v="2023-04-22T00:00:00"/>
    <d v="2023-04-22T00:00:00"/>
    <n v="26"/>
    <s v="Q1-2023"/>
    <x v="1"/>
    <x v="4"/>
    <x v="18"/>
    <s v="Non-Profit"/>
    <s v="Marketplace"/>
    <x v="1"/>
    <s v="Printers"/>
    <n v="6.0680189674448153E-2"/>
    <s v="PRN-4506"/>
    <n v="178.53"/>
    <n v="199.37"/>
    <s v="Profit"/>
    <n v="0.10100000000000001"/>
    <n v="37"/>
    <x v="35"/>
    <n v="6605.61"/>
    <x v="35"/>
    <n v="3.9257699573457538E-3"/>
  </r>
  <r>
    <s v="ORD-2024-692673"/>
    <x v="34"/>
    <d v="2024-03-25T00:00:00"/>
    <d v="2024-03-25T00:00:00"/>
    <n v="18"/>
    <s v="Q1-2024"/>
    <x v="3"/>
    <x v="6"/>
    <x v="22"/>
    <s v="Corporate"/>
    <s v="Online"/>
    <x v="5"/>
    <s v="Components"/>
    <n v="0.17346184017749286"/>
    <s v="CMP-7617"/>
    <n v="712.84"/>
    <n v="927.51"/>
    <s v="Profit"/>
    <n v="0.24299999999999999"/>
    <n v="27"/>
    <x v="36"/>
    <n v="19246.68"/>
    <x v="36"/>
    <n v="-1.5260714163076427E-2"/>
  </r>
  <r>
    <s v="ORD-2025-718992"/>
    <x v="35"/>
    <d v="2025-07-10T00:00:00"/>
    <d v="2025-07-10T00:00:00"/>
    <n v="16"/>
    <s v="Q2-2025"/>
    <x v="1"/>
    <x v="9"/>
    <x v="23"/>
    <s v="Enterprise"/>
    <s v="Direct"/>
    <x v="13"/>
    <s v="Components"/>
    <n v="0.10975682364963875"/>
    <s v="CMP-8390"/>
    <n v="757.19"/>
    <n v="1735.41"/>
    <s v="Profit"/>
    <n v="0.13600000000000001"/>
    <n v="8"/>
    <x v="37"/>
    <n v="6057.52"/>
    <x v="37"/>
    <n v="0.4950027285685718"/>
  </r>
  <r>
    <s v="ORD-2024-599522"/>
    <x v="36"/>
    <d v="2024-05-06T00:00:00"/>
    <d v="2024-05-06T00:00:00"/>
    <n v="17"/>
    <s v="Q2-2024"/>
    <x v="0"/>
    <x v="1"/>
    <x v="1"/>
    <s v="Non-Profit"/>
    <s v="Online"/>
    <x v="8"/>
    <s v="Printers"/>
    <n v="0.13696084095506503"/>
    <s v="PRN-7303"/>
    <n v="865.33"/>
    <n v="1395.64"/>
    <s v="Profit"/>
    <n v="0.17499999999999999"/>
    <n v="13"/>
    <x v="38"/>
    <n v="11249.29"/>
    <x v="38"/>
    <n v="0.24845601409758347"/>
  </r>
  <r>
    <s v="ORD-2023-651638"/>
    <x v="37"/>
    <d v="2023-06-24T00:00:00"/>
    <d v="2023-06-24T00:00:00"/>
    <n v="7"/>
    <s v="Q2-2023"/>
    <x v="2"/>
    <x v="10"/>
    <x v="24"/>
    <s v="Corporate"/>
    <s v="Retail"/>
    <x v="2"/>
    <s v="Printers"/>
    <n v="3.2594461230447375E-2"/>
    <s v="PRN-6536"/>
    <n v="313.99"/>
    <n v="454.42"/>
    <s v="Profit"/>
    <n v="0.129"/>
    <n v="9"/>
    <x v="39"/>
    <n v="2825.91"/>
    <x v="39"/>
    <n v="0.20669493988147858"/>
  </r>
  <r>
    <s v="ORD-2024-635626"/>
    <x v="38"/>
    <d v="2024-09-19T00:00:00"/>
    <d v="2024-09-19T00:00:00"/>
    <n v="23"/>
    <s v="Q3-2024"/>
    <x v="3"/>
    <x v="6"/>
    <x v="9"/>
    <s v="Small Business"/>
    <s v="Direct"/>
    <x v="14"/>
    <s v="Monitors"/>
    <n v="0.37613122223821283"/>
    <s v="MON-9967"/>
    <n v="1024.01"/>
    <n v="1580.97"/>
    <s v="Profit"/>
    <n v="3.6999999999999998E-2"/>
    <n v="27"/>
    <x v="40"/>
    <n v="27648.27"/>
    <x v="40"/>
    <n v="0.3274039976942531"/>
  </r>
  <r>
    <s v="ORD-2024-296582"/>
    <x v="39"/>
    <d v="2024-02-02T00:00:00"/>
    <d v="2024-02-02T00:00:00"/>
    <n v="22"/>
    <s v="Q1-2024"/>
    <x v="0"/>
    <x v="11"/>
    <x v="25"/>
    <s v="Consumer"/>
    <s v="Online"/>
    <x v="11"/>
    <s v="Networking"/>
    <n v="9.6613496739722249E-2"/>
    <s v="NET-1412"/>
    <n v="1206.2"/>
    <n v="1759.79"/>
    <s v="Profit"/>
    <n v="0"/>
    <n v="6"/>
    <x v="41"/>
    <n v="7237.2000000000007"/>
    <x v="41"/>
    <n v="0.31457730751964713"/>
  </r>
  <r>
    <s v="ORD-2024-998320"/>
    <x v="40"/>
    <d v="2024-11-14T00:00:00"/>
    <d v="2024-11-14T00:00:00"/>
    <n v="20"/>
    <s v="Q4-2024"/>
    <x v="0"/>
    <x v="0"/>
    <x v="13"/>
    <s v="Corporate"/>
    <s v="Direct"/>
    <x v="10"/>
    <s v="Printers"/>
    <n v="0.27996155123506183"/>
    <s v="PRN-3143"/>
    <n v="1396.48"/>
    <n v="3204.5"/>
    <s v="Profit"/>
    <n v="0.318"/>
    <n v="14"/>
    <x v="42"/>
    <n v="19550.72"/>
    <x v="42"/>
    <n v="0.36101587348070363"/>
  </r>
  <r>
    <s v="ORD-2025-820255"/>
    <x v="41"/>
    <d v="2025-06-20T00:00:00"/>
    <d v="2025-06-20T00:00:00"/>
    <n v="22"/>
    <s v="Q2-2025"/>
    <x v="3"/>
    <x v="6"/>
    <x v="9"/>
    <s v="Corporate"/>
    <s v="Direct"/>
    <x v="8"/>
    <s v="Printers"/>
    <n v="9.7597035374893185E-2"/>
    <s v="PRN-9787"/>
    <n v="483.47"/>
    <n v="1135.43"/>
    <s v="Profit"/>
    <n v="0.14599999999999999"/>
    <n v="11"/>
    <x v="43"/>
    <n v="5318.17"/>
    <x v="43"/>
    <n v="0.50140112399719983"/>
  </r>
  <r>
    <s v="ORD-2024-389336"/>
    <x v="42"/>
    <d v="2024-06-02T00:00:00"/>
    <d v="2024-06-02T00:00:00"/>
    <n v="13"/>
    <s v="Q2-2024"/>
    <x v="2"/>
    <x v="3"/>
    <x v="26"/>
    <s v="Enterprise"/>
    <s v="Marketplace"/>
    <x v="11"/>
    <s v="Components"/>
    <n v="0.16406576710044646"/>
    <s v="CMP-5946"/>
    <n v="675.43"/>
    <n v="996.36"/>
    <s v="Profit"/>
    <n v="0.182"/>
    <n v="22"/>
    <x v="44"/>
    <n v="14859.46"/>
    <x v="44"/>
    <n v="0.17127439233332575"/>
  </r>
  <r>
    <s v="ORD-2023-308124"/>
    <x v="43"/>
    <d v="2023-04-30T00:00:00"/>
    <d v="2023-04-30T00:00:00"/>
    <n v="11"/>
    <s v="Q2-2023"/>
    <x v="1"/>
    <x v="4"/>
    <x v="18"/>
    <s v="Small Business"/>
    <s v="Retail"/>
    <x v="8"/>
    <s v="Networking"/>
    <n v="0.29743817639334691"/>
    <s v="NET-2062"/>
    <n v="826.55"/>
    <n v="1397.05"/>
    <s v="Profit"/>
    <n v="0.16900000000000001"/>
    <n v="28"/>
    <x v="45"/>
    <n v="23143.399999999998"/>
    <x v="45"/>
    <n v="0.28803907804527601"/>
  </r>
  <r>
    <s v="ORD-2023-128295"/>
    <x v="44"/>
    <d v="2023-07-03T00:00:00"/>
    <d v="2023-07-03T00:00:00"/>
    <n v="10"/>
    <s v="Q2-2023"/>
    <x v="0"/>
    <x v="1"/>
    <x v="7"/>
    <s v="Consumer"/>
    <s v="Online"/>
    <x v="1"/>
    <s v="Printers"/>
    <n v="6.5291158692330695E-2"/>
    <s v="PRN-2542"/>
    <n v="337.75"/>
    <n v="548.89"/>
    <s v="Profit"/>
    <n v="0"/>
    <n v="13"/>
    <x v="46"/>
    <n v="4390.75"/>
    <x v="46"/>
    <n v="0.38466723751571352"/>
  </r>
  <r>
    <s v="ORD-2024-548345"/>
    <x v="45"/>
    <d v="2024-05-28T00:00:00"/>
    <d v="2024-05-28T00:00:00"/>
    <n v="14"/>
    <s v="Q2-2024"/>
    <x v="3"/>
    <x v="8"/>
    <x v="12"/>
    <s v="Consumer"/>
    <s v="Retail"/>
    <x v="5"/>
    <s v="Networking"/>
    <n v="0.99959321262141299"/>
    <s v="NET-2365"/>
    <n v="1421.14"/>
    <n v="3524"/>
    <s v="Profit"/>
    <n v="0"/>
    <n v="31"/>
    <x v="47"/>
    <n v="44055.340000000004"/>
    <x v="47"/>
    <n v="0.59672531214528945"/>
  </r>
  <r>
    <s v="ORD-2024-966651"/>
    <x v="46"/>
    <d v="2024-11-08T00:00:00"/>
    <d v="2024-11-08T00:00:00"/>
    <n v="25"/>
    <s v="Q4-2024"/>
    <x v="0"/>
    <x v="1"/>
    <x v="3"/>
    <s v="Enterprise"/>
    <s v="Online"/>
    <x v="7"/>
    <s v="Networking"/>
    <n v="0.32593837669627057"/>
    <s v="NET-5268"/>
    <n v="859.35"/>
    <n v="1825.61"/>
    <s v="Profit"/>
    <n v="0.187"/>
    <n v="24"/>
    <x v="48"/>
    <n v="20624.400000000001"/>
    <x v="48"/>
    <n v="0.42100937762681989"/>
  </r>
  <r>
    <s v="ORD-2023-292714"/>
    <x v="47"/>
    <d v="2023-08-01T00:00:00"/>
    <d v="2023-08-01T00:00:00"/>
    <n v="22"/>
    <s v="Q3-2023"/>
    <x v="3"/>
    <x v="7"/>
    <x v="11"/>
    <s v="Consumer"/>
    <s v="Marketplace"/>
    <x v="5"/>
    <s v="Printers"/>
    <n v="0.31517017673693504"/>
    <s v="PRN-1504"/>
    <n v="1303.56"/>
    <n v="1791.37"/>
    <s v="Profit"/>
    <n v="0.126"/>
    <n v="22"/>
    <x v="49"/>
    <n v="28678.32"/>
    <x v="49"/>
    <n v="0.16740404596055358"/>
  </r>
  <r>
    <s v="ORD-2024-468501"/>
    <x v="48"/>
    <d v="2024-11-22T00:00:00"/>
    <d v="2024-11-22T00:00:00"/>
    <n v="16"/>
    <s v="Q4-2024"/>
    <x v="2"/>
    <x v="3"/>
    <x v="5"/>
    <s v="Non-Profit"/>
    <s v="Distributor"/>
    <x v="14"/>
    <s v="Accessories"/>
    <n v="0.13628981858086056"/>
    <s v="ACC-6348"/>
    <n v="1454.11"/>
    <n v="2629.75"/>
    <s v="Profit"/>
    <n v="0.29199999999999998"/>
    <n v="8"/>
    <x v="50"/>
    <n v="11632.88"/>
    <x v="50"/>
    <n v="0.21900268709351867"/>
  </r>
  <r>
    <s v="ORD-2024-260775"/>
    <x v="49"/>
    <d v="2024-11-06T00:00:00"/>
    <d v="2024-11-06T00:00:00"/>
    <n v="20"/>
    <s v="Q4-2024"/>
    <x v="1"/>
    <x v="4"/>
    <x v="6"/>
    <s v="Enterprise"/>
    <s v="Distributor"/>
    <x v="7"/>
    <s v="Monitors"/>
    <n v="5.4857760421564662E-3"/>
    <s v="MON-4330"/>
    <n v="72.94"/>
    <n v="106.3"/>
    <s v="Profit"/>
    <n v="0.29499999999999998"/>
    <n v="8"/>
    <x v="51"/>
    <n v="583.52"/>
    <x v="51"/>
    <n v="2.6707498515508857E-2"/>
  </r>
  <r>
    <s v="ORD-2023-419187"/>
    <x v="50"/>
    <d v="2023-04-05T00:00:00"/>
    <d v="2023-04-05T00:00:00"/>
    <n v="5"/>
    <s v="Q1-2023"/>
    <x v="0"/>
    <x v="0"/>
    <x v="16"/>
    <s v="Education"/>
    <s v="Marketplace"/>
    <x v="5"/>
    <s v="Laptops"/>
    <n v="5.2940632067527471E-2"/>
    <s v="LAP-7819"/>
    <n v="533.26"/>
    <n v="385.72"/>
    <s v="Loss"/>
    <n v="0"/>
    <n v="15"/>
    <x v="52"/>
    <n v="7998.9"/>
    <x v="52"/>
    <n v="-0.38250544436378708"/>
  </r>
  <r>
    <s v="ORD-2025-578007"/>
    <x v="51"/>
    <d v="2025-02-16T00:00:00"/>
    <d v="2025-02-16T00:00:00"/>
    <n v="26"/>
    <s v="Q1-2025"/>
    <x v="3"/>
    <x v="7"/>
    <x v="17"/>
    <s v="Corporate"/>
    <s v="Distributor"/>
    <x v="7"/>
    <s v="Laptops"/>
    <n v="2.3047956255774462E-2"/>
    <s v="LAP-3779"/>
    <n v="204.11"/>
    <n v="236.87"/>
    <s v="Profit"/>
    <n v="0.182"/>
    <n v="13"/>
    <x v="53"/>
    <n v="2653.4300000000003"/>
    <x v="53"/>
    <n v="-5.3418446337075494E-2"/>
  </r>
  <r>
    <s v="ORD-2023-235230"/>
    <x v="52"/>
    <d v="2023-09-01T00:00:00"/>
    <d v="2023-09-01T00:00:00"/>
    <n v="2"/>
    <s v="Q3-2023"/>
    <x v="3"/>
    <x v="6"/>
    <x v="22"/>
    <s v="Corporate"/>
    <s v="Direct"/>
    <x v="13"/>
    <s v="Networking"/>
    <n v="1.9690862656712299E-3"/>
    <s v="NET-9989"/>
    <n v="44.42"/>
    <n v="41.9"/>
    <s v="Loss"/>
    <n v="0.14399999999999999"/>
    <n v="6"/>
    <x v="54"/>
    <n v="266.52"/>
    <x v="54"/>
    <n v="-0.23848504449847224"/>
  </r>
  <r>
    <s v="ORD-2025-765220"/>
    <x v="53"/>
    <d v="2025-04-30T00:00:00"/>
    <d v="2025-04-30T00:00:00"/>
    <n v="24"/>
    <s v="Q2-2025"/>
    <x v="2"/>
    <x v="5"/>
    <x v="10"/>
    <s v="Education"/>
    <s v="Online"/>
    <x v="11"/>
    <s v="Monitors"/>
    <n v="0.28988235484164093"/>
    <s v="MON-4925"/>
    <n v="855.78"/>
    <n v="977.38"/>
    <s v="Profit"/>
    <n v="0.14699999999999999"/>
    <n v="38"/>
    <x v="55"/>
    <n v="32519.64"/>
    <x v="55"/>
    <n v="-2.6478018355506307E-2"/>
  </r>
  <r>
    <s v="ORD-2025-931538"/>
    <x v="54"/>
    <d v="2025-03-01T00:00:00"/>
    <d v="2025-03-01T00:00:00"/>
    <n v="20"/>
    <s v="Q1-2025"/>
    <x v="2"/>
    <x v="5"/>
    <x v="8"/>
    <s v="Corporate"/>
    <s v="Distributor"/>
    <x v="5"/>
    <s v="Laptops"/>
    <n v="0.27138904436376854"/>
    <s v="LAP-6989"/>
    <n v="1154.6400000000001"/>
    <n v="2794.13"/>
    <s v="Profit"/>
    <n v="3.5000000000000003E-2"/>
    <n v="11"/>
    <x v="56"/>
    <n v="12701.04"/>
    <x v="56"/>
    <n v="0.57177435025749479"/>
  </r>
  <r>
    <s v="ORD-2024-289089"/>
    <x v="55"/>
    <d v="2024-12-18T00:00:00"/>
    <d v="2024-12-18T00:00:00"/>
    <n v="1"/>
    <s v="Q4-2024"/>
    <x v="3"/>
    <x v="6"/>
    <x v="22"/>
    <s v="Education"/>
    <s v="Retail"/>
    <x v="4"/>
    <s v="Accessories"/>
    <n v="4.3829942559881339E-2"/>
    <s v="ACC-5780"/>
    <n v="346.82"/>
    <n v="701.95"/>
    <s v="Profit"/>
    <n v="0.14699999999999999"/>
    <n v="8"/>
    <x v="57"/>
    <n v="2774.56"/>
    <x v="57"/>
    <n v="0.42077283120284509"/>
  </r>
  <r>
    <s v="ORD-2025-639542"/>
    <x v="56"/>
    <d v="2025-06-18T00:00:00"/>
    <d v="2025-06-18T00:00:00"/>
    <n v="9"/>
    <s v="Q2-2025"/>
    <x v="3"/>
    <x v="7"/>
    <x v="11"/>
    <s v="Small Business"/>
    <s v="Marketplace"/>
    <x v="10"/>
    <s v="Accessories"/>
    <n v="2.497848419507424E-3"/>
    <s v="ACC-1770"/>
    <n v="1225.5"/>
    <n v="5.27"/>
    <s v="Loss"/>
    <n v="7.4999999999999997E-2"/>
    <n v="56"/>
    <x v="58"/>
    <n v="68628"/>
    <x v="58"/>
    <n v="-250.39750756449047"/>
  </r>
  <r>
    <s v="ORD-2025-762301"/>
    <x v="57"/>
    <d v="2025-05-13T00:00:00"/>
    <d v="2025-05-13T00:00:00"/>
    <n v="11"/>
    <s v="Q2-2025"/>
    <x v="0"/>
    <x v="0"/>
    <x v="16"/>
    <s v="Small Business"/>
    <s v="Online"/>
    <x v="8"/>
    <s v="Accessories"/>
    <n v="4.1814578762884316E-2"/>
    <s v="ACC-2252"/>
    <n v="1057.5999999999999"/>
    <n v="1437.06"/>
    <s v="Profit"/>
    <n v="0.20499999999999999"/>
    <n v="4"/>
    <x v="59"/>
    <n v="4230.3999999999996"/>
    <x v="59"/>
    <n v="7.4280499485891424E-2"/>
  </r>
  <r>
    <s v="ORD-2024-906395"/>
    <x v="58"/>
    <d v="2024-04-09T00:00:00"/>
    <d v="2024-04-09T00:00:00"/>
    <n v="30"/>
    <s v="Q1-2024"/>
    <x v="3"/>
    <x v="7"/>
    <x v="17"/>
    <s v="Corporate"/>
    <s v="Direct"/>
    <x v="2"/>
    <s v="Components"/>
    <n v="0.3082439140772183"/>
    <s v="CMP-8002"/>
    <n v="1176.56"/>
    <n v="1911.89"/>
    <s v="Profit"/>
    <n v="0.11899999999999999"/>
    <n v="20"/>
    <x v="60"/>
    <n v="23531.199999999997"/>
    <x v="60"/>
    <n v="0.30148575160892477"/>
  </r>
  <r>
    <s v="ORD-2025-779574"/>
    <x v="59"/>
    <d v="2025-09-12T00:00:00"/>
    <d v="2025-09-12T00:00:00"/>
    <n v="2"/>
    <s v="Q3-2025"/>
    <x v="1"/>
    <x v="2"/>
    <x v="27"/>
    <s v="Consumer"/>
    <s v="Online"/>
    <x v="7"/>
    <s v="Components"/>
    <n v="0.25347206025771885"/>
    <s v="CMP-6971"/>
    <n v="1470.15"/>
    <n v="2593.7800000000002"/>
    <s v="Profit"/>
    <n v="0.11"/>
    <n v="12"/>
    <x v="61"/>
    <n v="17641.800000000003"/>
    <x v="61"/>
    <n v="0.36314801849645306"/>
  </r>
  <r>
    <s v="ORD-2025-526650"/>
    <x v="60"/>
    <d v="2025-05-25T00:00:00"/>
    <d v="2025-05-25T00:00:00"/>
    <n v="28"/>
    <s v="Q2-2025"/>
    <x v="3"/>
    <x v="7"/>
    <x v="28"/>
    <s v="Small Business"/>
    <s v="Marketplace"/>
    <x v="2"/>
    <s v="Phones"/>
    <n v="0.10017438514546169"/>
    <s v="PHN-8350"/>
    <n v="603.45000000000005"/>
    <n v="1244.08"/>
    <s v="Profit"/>
    <n v="0.2"/>
    <n v="11"/>
    <x v="62"/>
    <n v="6637.9500000000007"/>
    <x v="62"/>
    <n v="0.39367846119220623"/>
  </r>
  <r>
    <s v="ORD-2024-247979"/>
    <x v="61"/>
    <d v="2024-11-18T00:00:00"/>
    <d v="2024-11-18T00:00:00"/>
    <n v="16"/>
    <s v="Q4-2024"/>
    <x v="1"/>
    <x v="4"/>
    <x v="29"/>
    <s v="Small Business"/>
    <s v="Distributor"/>
    <x v="7"/>
    <s v="Monitors"/>
    <n v="0.66489928886352234"/>
    <s v="MON-5188"/>
    <n v="1233.58"/>
    <n v="1912.51"/>
    <s v="Profit"/>
    <n v="0.255"/>
    <n v="51"/>
    <x v="63"/>
    <n v="62912.579999999994"/>
    <x v="63"/>
    <n v="0.134220432553601"/>
  </r>
  <r>
    <s v="ORD-2023-480975"/>
    <x v="62"/>
    <d v="2023-02-26T00:00:00"/>
    <d v="2023-02-26T00:00:00"/>
    <n v="11"/>
    <s v="Q1-2023"/>
    <x v="0"/>
    <x v="11"/>
    <x v="20"/>
    <s v="Non-Profit"/>
    <s v="Retail"/>
    <x v="11"/>
    <s v="Laptops"/>
    <n v="0.24068668075610858"/>
    <s v="LAP-3393"/>
    <n v="498.5"/>
    <n v="755.87"/>
    <s v="Profit"/>
    <n v="0.13"/>
    <n v="40"/>
    <x v="64"/>
    <n v="19940"/>
    <x v="64"/>
    <n v="0.24194834330357537"/>
  </r>
  <r>
    <s v="ORD-2023-239789"/>
    <x v="63"/>
    <d v="2023-12-26T00:00:00"/>
    <d v="2023-12-26T00:00:00"/>
    <n v="23"/>
    <s v="Q4-2023"/>
    <x v="2"/>
    <x v="5"/>
    <x v="30"/>
    <s v="Education"/>
    <s v="Retail"/>
    <x v="7"/>
    <s v="Phones"/>
    <n v="0.11120357698573249"/>
    <s v="PHN-4644"/>
    <n v="1303.1099999999999"/>
    <n v="1145.67"/>
    <s v="Loss"/>
    <n v="0.184"/>
    <n v="13"/>
    <x v="65"/>
    <n v="16940.43"/>
    <x v="65"/>
    <n v="-0.39389922875851208"/>
  </r>
  <r>
    <s v="ORD-2023-548874"/>
    <x v="64"/>
    <d v="2023-04-09T00:00:00"/>
    <d v="2023-04-09T00:00:00"/>
    <n v="21"/>
    <s v="Q1-2023"/>
    <x v="3"/>
    <x v="8"/>
    <x v="31"/>
    <s v="Consumer"/>
    <s v="Retail"/>
    <x v="4"/>
    <s v="Accessories"/>
    <n v="0.14652674230566809"/>
    <s v="ACC-9150"/>
    <n v="1082.17"/>
    <n v="1234.0999999999999"/>
    <s v="Profit"/>
    <n v="0.189"/>
    <n v="16"/>
    <x v="66"/>
    <n v="17314.72"/>
    <x v="66"/>
    <n v="-8.124542703534228E-2"/>
  </r>
  <r>
    <s v="ORD-2024-347736"/>
    <x v="65"/>
    <d v="2024-06-06T00:00:00"/>
    <d v="2024-06-06T00:00:00"/>
    <n v="15"/>
    <s v="Q2-2024"/>
    <x v="1"/>
    <x v="2"/>
    <x v="32"/>
    <s v="Corporate"/>
    <s v="Distributor"/>
    <x v="0"/>
    <s v="Monitors"/>
    <n v="0.13073563961497436"/>
    <s v="MON-6870"/>
    <n v="673.88"/>
    <n v="1228.01"/>
    <s v="Profit"/>
    <n v="0.105"/>
    <n v="13"/>
    <x v="67"/>
    <n v="8760.44"/>
    <x v="67"/>
    <n v="0.38686285332689996"/>
  </r>
  <r>
    <s v="ORD-2023-749324"/>
    <x v="66"/>
    <d v="2023-09-07T00:00:00"/>
    <d v="2023-09-07T00:00:00"/>
    <n v="19"/>
    <s v="Q3-2023"/>
    <x v="0"/>
    <x v="11"/>
    <x v="20"/>
    <s v="Enterprise"/>
    <s v="Retail"/>
    <x v="14"/>
    <s v="Monitors"/>
    <n v="7.9347221700711831E-2"/>
    <s v="MON-2296"/>
    <n v="494.61"/>
    <n v="605.23"/>
    <s v="Profit"/>
    <n v="0.20399999999999999"/>
    <n v="18"/>
    <x v="68"/>
    <n v="8902.98"/>
    <x v="68"/>
    <n v="-2.6666468505639647E-2"/>
  </r>
  <r>
    <s v="ORD-2023-809913"/>
    <x v="67"/>
    <d v="2023-05-10T00:00:00"/>
    <d v="2023-05-10T00:00:00"/>
    <n v="19"/>
    <s v="Q2-2023"/>
    <x v="1"/>
    <x v="9"/>
    <x v="23"/>
    <s v="Corporate"/>
    <s v="Retail"/>
    <x v="8"/>
    <s v="Components"/>
    <n v="8.171688695830627E-2"/>
    <s v="CMP-7371"/>
    <n v="882.33"/>
    <n v="1880.15"/>
    <s v="Profit"/>
    <n v="0.05"/>
    <n v="5"/>
    <x v="69"/>
    <n v="4411.6500000000005"/>
    <x v="69"/>
    <n v="0.50601365792482955"/>
  </r>
  <r>
    <s v="ORD-2024-287210"/>
    <x v="68"/>
    <d v="2024-03-21T00:00:00"/>
    <d v="2024-03-21T00:00:00"/>
    <n v="3"/>
    <s v="Q1-2024"/>
    <x v="3"/>
    <x v="6"/>
    <x v="22"/>
    <s v="Small Business"/>
    <s v="Online"/>
    <x v="12"/>
    <s v="Accessories"/>
    <n v="9.7427738264475858E-2"/>
    <s v="ACC-2761"/>
    <n v="910.63"/>
    <n v="1269.4000000000001"/>
    <s v="Profit"/>
    <n v="6.8000000000000005E-2"/>
    <n v="9"/>
    <x v="70"/>
    <n v="8195.67"/>
    <x v="70"/>
    <n v="0.23028925834989455"/>
  </r>
  <r>
    <s v="ORD-2025-640677"/>
    <x v="69"/>
    <d v="2025-05-06T00:00:00"/>
    <d v="2025-05-06T00:00:00"/>
    <n v="27"/>
    <s v="Q2-2025"/>
    <x v="2"/>
    <x v="5"/>
    <x v="10"/>
    <s v="Enterprise"/>
    <s v="Marketplace"/>
    <x v="9"/>
    <s v="Laptops"/>
    <n v="5.8497442875855801E-2"/>
    <s v="LAP-4517"/>
    <n v="264.19"/>
    <n v="620.92999999999995"/>
    <s v="Profit"/>
    <n v="0.14199999999999999"/>
    <n v="12"/>
    <x v="71"/>
    <n v="3170.2799999999997"/>
    <x v="71"/>
    <n v="0.50410875152794532"/>
  </r>
  <r>
    <s v="ORD-2024-939873"/>
    <x v="70"/>
    <d v="2024-05-07T00:00:00"/>
    <d v="2024-05-07T00:00:00"/>
    <n v="25"/>
    <s v="Q2-2024"/>
    <x v="0"/>
    <x v="11"/>
    <x v="20"/>
    <s v="Education"/>
    <s v="Distributor"/>
    <x v="8"/>
    <s v="Laptops"/>
    <n v="0.18457240200166389"/>
    <s v="LAP-8489"/>
    <n v="1376.51"/>
    <n v="1455.91"/>
    <s v="Profit"/>
    <n v="0.185"/>
    <n v="17"/>
    <x v="72"/>
    <n v="23400.67"/>
    <x v="72"/>
    <n v="-0.1600781127634085"/>
  </r>
  <r>
    <s v="ORD-2024-800947"/>
    <x v="71"/>
    <d v="2024-12-20T00:00:00"/>
    <d v="2024-12-20T00:00:00"/>
    <n v="5"/>
    <s v="Q4-2024"/>
    <x v="1"/>
    <x v="9"/>
    <x v="14"/>
    <s v="Small Business"/>
    <s v="Direct"/>
    <x v="1"/>
    <s v="Networking"/>
    <n v="8.5768071607491628E-2"/>
    <s v="NET-1846"/>
    <n v="717.55"/>
    <n v="546.42999999999995"/>
    <s v="Loss"/>
    <n v="4.7E-2"/>
    <n v="18"/>
    <x v="73"/>
    <n v="12915.9"/>
    <x v="73"/>
    <n v="-0.37792231437026369"/>
  </r>
  <r>
    <s v="ORD-2023-382272"/>
    <x v="72"/>
    <d v="2023-05-18T00:00:00"/>
    <d v="2023-05-27T00:00:00"/>
    <n v="7"/>
    <s v="Q2-2023"/>
    <x v="0"/>
    <x v="11"/>
    <x v="25"/>
    <s v="Corporate"/>
    <s v="Distributor"/>
    <x v="8"/>
    <s v="Components"/>
    <n v="4.0515872534597895E-2"/>
    <s v="CMP-5208"/>
    <n v="917.88"/>
    <n v="1347.92"/>
    <s v="Profit"/>
    <n v="0.34300000000000003"/>
    <n v="5"/>
    <x v="74"/>
    <n v="4589.3999999999996"/>
    <x v="74"/>
    <n v="-3.6469245630880096E-2"/>
  </r>
  <r>
    <s v="ORD-2023-722117"/>
    <x v="73"/>
    <d v="2023-10-08T00:00:00"/>
    <d v="2023-10-08T00:00:00"/>
    <n v="20"/>
    <s v="Q3-2023"/>
    <x v="1"/>
    <x v="4"/>
    <x v="18"/>
    <s v="Small Business"/>
    <s v="Direct"/>
    <x v="5"/>
    <s v="Components"/>
    <n v="6.2902185997750354E-2"/>
    <s v="CMP-1009"/>
    <n v="825.64"/>
    <n v="1108.43"/>
    <s v="Profit"/>
    <n v="0.114"/>
    <n v="7"/>
    <x v="75"/>
    <n v="5779.48"/>
    <x v="75"/>
    <n v="0.15928512475773349"/>
  </r>
  <r>
    <s v="ORD-2024-446699"/>
    <x v="74"/>
    <d v="2024-09-25T00:00:00"/>
    <d v="2024-09-25T00:00:00"/>
    <n v="28"/>
    <s v="Q3-2024"/>
    <x v="2"/>
    <x v="5"/>
    <x v="30"/>
    <s v="Non-Profit"/>
    <s v="Online"/>
    <x v="15"/>
    <s v="Accessories"/>
    <n v="0.32387938047803078"/>
    <s v="ACC-4490"/>
    <n v="1394.65"/>
    <n v="3144.1"/>
    <s v="Profit"/>
    <n v="0.13400000000000001"/>
    <n v="13"/>
    <x v="76"/>
    <n v="18130.45"/>
    <x v="76"/>
    <n v="0.4877865378263021"/>
  </r>
  <r>
    <s v="ORD-2024-451005"/>
    <x v="24"/>
    <d v="2024-06-28T00:00:00"/>
    <d v="2024-07-07T00:00:00"/>
    <n v="7"/>
    <s v="Q2-2024"/>
    <x v="2"/>
    <x v="5"/>
    <x v="30"/>
    <s v="Small Business"/>
    <s v="Direct"/>
    <x v="4"/>
    <s v="Accessories"/>
    <n v="0.30252267565717189"/>
    <s v="ACC-9162"/>
    <n v="1112.98"/>
    <n v="2095.73"/>
    <s v="Profit"/>
    <n v="7.1999999999999995E-2"/>
    <n v="17"/>
    <x v="77"/>
    <n v="18920.66"/>
    <x v="77"/>
    <n v="0.42772594916724777"/>
  </r>
  <r>
    <s v="ORD-2023-290279"/>
    <x v="75"/>
    <d v="2023-06-16T00:00:00"/>
    <d v="2023-06-16T00:00:00"/>
    <n v="2"/>
    <s v="Q2-2023"/>
    <x v="3"/>
    <x v="8"/>
    <x v="31"/>
    <s v="Non-Profit"/>
    <s v="Direct"/>
    <x v="11"/>
    <s v="Components"/>
    <n v="9.5671523518848847E-2"/>
    <s v="CMP-5820"/>
    <n v="357.36"/>
    <n v="703.62"/>
    <s v="Profit"/>
    <n v="0.25700000000000001"/>
    <n v="20"/>
    <x v="78"/>
    <n v="7147.2000000000007"/>
    <x v="78"/>
    <n v="0.31643636563125593"/>
  </r>
  <r>
    <s v="ORD-2024-192263"/>
    <x v="76"/>
    <d v="2024-12-21T00:00:00"/>
    <d v="2024-12-21T00:00:00"/>
    <n v="30"/>
    <s v="Q4-2024"/>
    <x v="3"/>
    <x v="7"/>
    <x v="11"/>
    <s v="Small Business"/>
    <s v="Direct"/>
    <x v="2"/>
    <s v="Monitors"/>
    <n v="4.4626286311615367E-2"/>
    <s v="MON-7943"/>
    <n v="1122.68"/>
    <n v="1997.19"/>
    <s v="Profit"/>
    <n v="0.186"/>
    <n v="3"/>
    <x v="79"/>
    <n v="3368.04"/>
    <x v="79"/>
    <n v="0.30942285951073306"/>
  </r>
  <r>
    <s v="ORD-2023-159379"/>
    <x v="77"/>
    <d v="2023-02-11T00:00:00"/>
    <d v="2023-02-11T00:00:00"/>
    <n v="3"/>
    <s v="Q1-2023"/>
    <x v="0"/>
    <x v="11"/>
    <x v="33"/>
    <s v="Corporate"/>
    <s v="Direct"/>
    <x v="12"/>
    <s v="Networking"/>
    <n v="0.55168502570195477"/>
    <s v="NET-5018"/>
    <n v="1410.05"/>
    <n v="2763.95"/>
    <s v="Profit"/>
    <n v="0.161"/>
    <n v="26"/>
    <x v="80"/>
    <n v="36661.299999999996"/>
    <x v="80"/>
    <n v="0.39194569206750779"/>
  </r>
  <r>
    <s v="ORD-2023-343322"/>
    <x v="66"/>
    <d v="2023-09-12T00:00:00"/>
    <d v="2023-09-12T00:00:00"/>
    <n v="24"/>
    <s v="Q3-2023"/>
    <x v="2"/>
    <x v="3"/>
    <x v="26"/>
    <s v="Enterprise"/>
    <s v="Retail"/>
    <x v="2"/>
    <s v="Printers"/>
    <n v="0.1670704189046551"/>
    <s v="PRN-9669"/>
    <n v="1183.95"/>
    <n v="1503.53"/>
    <s v="Profit"/>
    <n v="0.24099999999999999"/>
    <n v="16"/>
    <x v="81"/>
    <n v="18943.2"/>
    <x v="81"/>
    <n v="-3.7479413729623705E-2"/>
  </r>
  <r>
    <s v="ORD-2025-114382"/>
    <x v="78"/>
    <d v="2025-05-24T00:00:00"/>
    <d v="2025-05-24T00:00:00"/>
    <n v="10"/>
    <s v="Q2-2025"/>
    <x v="3"/>
    <x v="7"/>
    <x v="28"/>
    <s v="Small Business"/>
    <s v="Marketplace"/>
    <x v="11"/>
    <s v="Components"/>
    <n v="4.8785294790559881E-2"/>
    <s v="CMP-2865"/>
    <n v="170.39"/>
    <n v="388.04"/>
    <s v="Profit"/>
    <n v="8.4000000000000005E-2"/>
    <n v="15"/>
    <x v="82"/>
    <n v="2555.85"/>
    <x v="82"/>
    <n v="0.52062858508711796"/>
  </r>
  <r>
    <s v="ORD-2025-488349"/>
    <x v="79"/>
    <d v="2025-04-22T00:00:00"/>
    <d v="2025-04-30T00:00:00"/>
    <n v="7"/>
    <s v="Q2-2025"/>
    <x v="2"/>
    <x v="10"/>
    <x v="24"/>
    <s v="Non-Profit"/>
    <s v="Distributor"/>
    <x v="14"/>
    <s v="Monitors"/>
    <n v="4.8020784958804673E-3"/>
    <s v="MON-3371"/>
    <n v="23.24"/>
    <n v="44.57"/>
    <s v="Profit"/>
    <n v="0.215"/>
    <n v="15"/>
    <x v="83"/>
    <n v="348.59999999999997"/>
    <x v="83"/>
    <n v="0.33576182316802167"/>
  </r>
  <r>
    <s v="ORD-2025-330203"/>
    <x v="80"/>
    <d v="2025-04-17T00:00:00"/>
    <d v="2025-04-17T00:00:00"/>
    <n v="23"/>
    <s v="Q1-2025"/>
    <x v="3"/>
    <x v="8"/>
    <x v="21"/>
    <s v="Consumer"/>
    <s v="Retail"/>
    <x v="10"/>
    <s v="Networking"/>
    <n v="0.19272495034128251"/>
    <s v="NET-7166"/>
    <n v="1421.19"/>
    <n v="1808.26"/>
    <s v="Profit"/>
    <n v="0.104"/>
    <n v="13"/>
    <x v="84"/>
    <n v="18475.47"/>
    <x v="84"/>
    <n v="0.12283103449093123"/>
  </r>
  <r>
    <s v="ORD-2023-841426"/>
    <x v="81"/>
    <d v="2023-12-23T00:00:00"/>
    <d v="2023-12-23T00:00:00"/>
    <n v="1"/>
    <s v="Q4-2023"/>
    <x v="0"/>
    <x v="11"/>
    <x v="33"/>
    <s v="Non-Profit"/>
    <s v="Marketplace"/>
    <x v="14"/>
    <s v="Components"/>
    <n v="0.12029148403249856"/>
    <s v="CMP-4531"/>
    <n v="1186.18"/>
    <n v="1285.0899999999999"/>
    <s v="Profit"/>
    <n v="7.0000000000000007E-2"/>
    <n v="11"/>
    <x v="85"/>
    <n v="13047.980000000001"/>
    <x v="85"/>
    <n v="7.4917977796121861E-3"/>
  </r>
  <r>
    <s v="ORD-2024-594592"/>
    <x v="82"/>
    <d v="2024-04-25T00:00:00"/>
    <d v="2024-04-25T00:00:00"/>
    <n v="19"/>
    <s v="Q2-2024"/>
    <x v="1"/>
    <x v="9"/>
    <x v="23"/>
    <s v="Corporate"/>
    <s v="Retail"/>
    <x v="11"/>
    <s v="Components"/>
    <n v="0.12990451844851061"/>
    <s v="CMP-8196"/>
    <n v="1366.48"/>
    <n v="1678.14"/>
    <s v="Profit"/>
    <n v="0.154"/>
    <n v="10"/>
    <x v="86"/>
    <n v="13664.8"/>
    <x v="86"/>
    <n v="3.7491159087790132E-2"/>
  </r>
  <r>
    <s v="ORD-2025-863978"/>
    <x v="83"/>
    <d v="2025-08-19T00:00:00"/>
    <d v="2025-08-19T00:00:00"/>
    <n v="12"/>
    <s v="Q3-2025"/>
    <x v="0"/>
    <x v="0"/>
    <x v="16"/>
    <s v="Corporate"/>
    <s v="not provided"/>
    <x v="12"/>
    <s v="Components"/>
    <n v="1.5142464656642504E-2"/>
    <s v="CMP-2854"/>
    <n v="601.51"/>
    <n v="679.35"/>
    <s v="Profit"/>
    <n v="0.188"/>
    <n v="3"/>
    <x v="87"/>
    <n v="1804.53"/>
    <x v="87"/>
    <n v="-9.0418579626062243E-2"/>
  </r>
  <r>
    <s v="ORD-2024-604471"/>
    <x v="84"/>
    <d v="2024-01-25T00:00:00"/>
    <d v="2024-01-25T00:00:00"/>
    <n v="4"/>
    <s v="Q1-2024"/>
    <x v="1"/>
    <x v="4"/>
    <x v="18"/>
    <s v="Consumer"/>
    <s v="Direct"/>
    <x v="0"/>
    <s v="Monitors"/>
    <n v="0.10836319504556713"/>
    <s v="MON-8973"/>
    <n v="523.70000000000005"/>
    <n v="1109.92"/>
    <s v="Profit"/>
    <n v="0.03"/>
    <n v="11"/>
    <x v="88"/>
    <n v="5760.7000000000007"/>
    <x v="88"/>
    <n v="0.51357133197302973"/>
  </r>
  <r>
    <s v="ORD-2023-258768"/>
    <x v="85"/>
    <d v="2023-07-02T00:00:00"/>
    <d v="2023-07-02T00:00:00"/>
    <n v="3"/>
    <s v="Q2-2023"/>
    <x v="1"/>
    <x v="2"/>
    <x v="32"/>
    <s v="Education"/>
    <s v="Marketplace"/>
    <x v="9"/>
    <s v="Monitors"/>
    <n v="5.7136412773880528E-3"/>
    <s v="MON-2990"/>
    <n v="55.65"/>
    <n v="83.57"/>
    <s v="Profit"/>
    <n v="6.6000000000000003E-2"/>
    <n v="8"/>
    <x v="89"/>
    <n v="445.2"/>
    <x v="89"/>
    <n v="0.2870355257449998"/>
  </r>
  <r>
    <s v="ORD-2025-626047"/>
    <x v="86"/>
    <d v="2025-05-15T00:00:00"/>
    <d v="2025-05-15T00:00:00"/>
    <n v="17"/>
    <s v="Q2-2025"/>
    <x v="1"/>
    <x v="2"/>
    <x v="32"/>
    <s v="Education"/>
    <s v="Direct"/>
    <x v="13"/>
    <s v="Networking"/>
    <n v="7.6173027014476508E-2"/>
    <s v="NET-1966"/>
    <n v="691.19"/>
    <n v="1284.3"/>
    <s v="Profit"/>
    <n v="7.3999999999999996E-2"/>
    <n v="7"/>
    <x v="90"/>
    <n v="4838.33"/>
    <x v="90"/>
    <n v="0.41880753253825198"/>
  </r>
  <r>
    <s v="ORD-2025-526752"/>
    <x v="56"/>
    <d v="2025-06-25T00:00:00"/>
    <d v="2025-06-25T00:00:00"/>
    <n v="16"/>
    <s v="Q2-2025"/>
    <x v="1"/>
    <x v="4"/>
    <x v="34"/>
    <s v="Enterprise"/>
    <s v="Distributor"/>
    <x v="12"/>
    <s v="Phones"/>
    <n v="0.17852578859763069"/>
    <s v="PHN-3482"/>
    <n v="527.33000000000004"/>
    <n v="911.72"/>
    <s v="Profit"/>
    <n v="0.14399999999999999"/>
    <n v="25"/>
    <x v="91"/>
    <n v="13183.250000000002"/>
    <x v="91"/>
    <n v="0.32431040272652978"/>
  </r>
  <r>
    <s v="ORD-2023-374486"/>
    <x v="87"/>
    <d v="2023-06-23T00:00:00"/>
    <d v="2023-07-01T00:00:00"/>
    <n v="7"/>
    <s v="Q2-2023"/>
    <x v="2"/>
    <x v="5"/>
    <x v="30"/>
    <s v="Non-Profit"/>
    <s v="Retail"/>
    <x v="6"/>
    <s v="Printers"/>
    <n v="9.2978403242151786E-2"/>
    <s v="PRN-6490"/>
    <n v="804.01"/>
    <n v="1405.07"/>
    <s v="Profit"/>
    <n v="9.6000000000000002E-2"/>
    <n v="8"/>
    <x v="92"/>
    <n v="6432.08"/>
    <x v="92"/>
    <n v="0.36701260939287439"/>
  </r>
  <r>
    <s v="ORD-2024-997336"/>
    <x v="88"/>
    <d v="2024-11-02T00:00:00"/>
    <d v="2024-11-02T00:00:00"/>
    <n v="29"/>
    <s v="Q4-2024"/>
    <x v="0"/>
    <x v="1"/>
    <x v="7"/>
    <s v="Corporate"/>
    <s v="Distributor"/>
    <x v="9"/>
    <s v="Accessories"/>
    <n v="0.18372794475161175"/>
    <s v="ACC-9038"/>
    <n v="412.09"/>
    <n v="968.94"/>
    <s v="Profit"/>
    <n v="9.9000000000000005E-2"/>
    <n v="23"/>
    <x v="93"/>
    <n v="9478.07"/>
    <x v="93"/>
    <n v="0.52796913189137418"/>
  </r>
  <r>
    <s v="ORD-2025-725646"/>
    <x v="59"/>
    <d v="2025-09-30T00:00:00"/>
    <d v="2025-09-30T00:00:00"/>
    <n v="20"/>
    <s v="Q3-2025"/>
    <x v="0"/>
    <x v="0"/>
    <x v="13"/>
    <s v="Corporate"/>
    <s v="Direct"/>
    <x v="4"/>
    <s v="Phones"/>
    <n v="5.0212095058813078E-2"/>
    <s v="PHN-6954"/>
    <n v="1009.48"/>
    <n v="1088.81"/>
    <s v="Profit"/>
    <n v="0.16"/>
    <n v="6"/>
    <x v="94"/>
    <n v="6056.88"/>
    <x v="94"/>
    <n v="-0.10373885688219693"/>
  </r>
  <r>
    <s v="ORD-2023-868734"/>
    <x v="89"/>
    <d v="2023-04-27T00:00:00"/>
    <d v="2023-04-27T00:00:00"/>
    <n v="21"/>
    <s v="Q2-2023"/>
    <x v="3"/>
    <x v="8"/>
    <x v="31"/>
    <s v="Enterprise"/>
    <s v="Distributor"/>
    <x v="2"/>
    <s v="Printers"/>
    <n v="0.39536660358160713"/>
    <s v="PRN-8970"/>
    <n v="1084.79"/>
    <n v="2484.9899999999998"/>
    <s v="Profit"/>
    <n v="3.4000000000000002E-2"/>
    <n v="18"/>
    <x v="95"/>
    <n v="19526.22"/>
    <x v="95"/>
    <n v="0.54809837685755114"/>
  </r>
  <r>
    <s v="ORD-2025-262491"/>
    <x v="90"/>
    <d v="2025-08-16T00:00:00"/>
    <d v="2025-08-16T00:00:00"/>
    <n v="15"/>
    <s v="Q3-2025"/>
    <x v="1"/>
    <x v="4"/>
    <x v="35"/>
    <s v="Enterprise"/>
    <s v="Direct"/>
    <x v="7"/>
    <s v="Monitors"/>
    <n v="1.3451334552015226E-3"/>
    <s v="MON-1822"/>
    <n v="24.44"/>
    <n v="28.69"/>
    <s v="Profit"/>
    <n v="0.14599999999999999"/>
    <n v="6"/>
    <x v="96"/>
    <n v="146.64000000000001"/>
    <x v="96"/>
    <n v="2.5002795774584476E-3"/>
  </r>
  <r>
    <s v="ORD-2024-638884"/>
    <x v="91"/>
    <d v="2024-05-26T00:00:00"/>
    <d v="2024-06-04T00:00:00"/>
    <n v="7"/>
    <s v="Q2-2024"/>
    <x v="0"/>
    <x v="1"/>
    <x v="7"/>
    <s v="Enterprise"/>
    <s v="Online"/>
    <x v="9"/>
    <s v="Accessories"/>
    <n v="0.31237663048402137"/>
    <s v="ACC-5177"/>
    <n v="1227.08"/>
    <n v="1896.62"/>
    <s v="Profit"/>
    <n v="0"/>
    <n v="18"/>
    <x v="97"/>
    <n v="22087.439999999999"/>
    <x v="97"/>
    <n v="0.353017473189147"/>
  </r>
  <r>
    <s v="ORD-2025-541501"/>
    <x v="92"/>
    <d v="2025-08-18T00:00:00"/>
    <d v="2025-08-18T00:00:00"/>
    <n v="27"/>
    <s v="Q3-2025"/>
    <x v="1"/>
    <x v="9"/>
    <x v="14"/>
    <s v="Non-Profit"/>
    <s v="Marketplace"/>
    <x v="12"/>
    <s v="Networking"/>
    <n v="4.8756192357581093E-2"/>
    <s v="NET-1804"/>
    <n v="547.32000000000005"/>
    <n v="419.17"/>
    <s v="Loss"/>
    <n v="9.1999999999999998E-2"/>
    <n v="14"/>
    <x v="98"/>
    <n v="7662.4800000000005"/>
    <x v="98"/>
    <n v="-0.43802116181137907"/>
  </r>
  <r>
    <s v="ORD-2023-422918"/>
    <x v="2"/>
    <d v="2023-03-20T00:00:00"/>
    <d v="2023-03-20T00:00:00"/>
    <n v="20"/>
    <s v="Q1-2023"/>
    <x v="3"/>
    <x v="6"/>
    <x v="9"/>
    <s v="Small Business"/>
    <s v="Direct"/>
    <x v="10"/>
    <s v="Laptops"/>
    <n v="0.233354108398626"/>
    <s v="LAP-3679"/>
    <n v="1200.78"/>
    <n v="2001.17"/>
    <s v="Profit"/>
    <n v="0.29199999999999998"/>
    <n v="18"/>
    <x v="99"/>
    <n v="21614.04"/>
    <x v="99"/>
    <n v="0.15248732034132906"/>
  </r>
  <r>
    <s v="ORD-2025-328504"/>
    <x v="93"/>
    <d v="2025-02-15T00:00:00"/>
    <d v="2025-02-15T00:00:00"/>
    <n v="19"/>
    <s v="Q1-2025"/>
    <x v="1"/>
    <x v="9"/>
    <x v="14"/>
    <s v="Non-Profit"/>
    <s v="Direct"/>
    <x v="4"/>
    <s v="Phones"/>
    <n v="0.48294276787451079"/>
    <s v="PHN-8368"/>
    <n v="1253.22"/>
    <n v="3104.71"/>
    <s v="Profit"/>
    <n v="0"/>
    <n v="17"/>
    <x v="100"/>
    <n v="21304.74"/>
    <x v="100"/>
    <n v="0.59634877331538205"/>
  </r>
  <r>
    <s v="ORD-2024-851883"/>
    <x v="94"/>
    <d v="2024-01-22T00:00:00"/>
    <d v="2024-01-22T00:00:00"/>
    <n v="9"/>
    <s v="Q1-2024"/>
    <x v="1"/>
    <x v="4"/>
    <x v="29"/>
    <s v="Enterprise"/>
    <s v="Marketplace"/>
    <x v="1"/>
    <s v="Components"/>
    <n v="5.7870499447634879E-2"/>
    <s v="CMP-8141"/>
    <n v="313.60000000000002"/>
    <n v="334.28"/>
    <s v="Profit"/>
    <n v="0.14000000000000001"/>
    <n v="22"/>
    <x v="101"/>
    <n v="6899.2000000000007"/>
    <x v="101"/>
    <n v="-9.0855458868905517E-2"/>
  </r>
  <r>
    <s v="ORD-2025-662997"/>
    <x v="95"/>
    <d v="2025-04-04T00:00:00"/>
    <d v="2025-04-04T00:00:00"/>
    <n v="4"/>
    <s v="Q1-2025"/>
    <x v="0"/>
    <x v="0"/>
    <x v="16"/>
    <s v="Corporate"/>
    <s v="Direct"/>
    <x v="0"/>
    <s v="Laptops"/>
    <n v="0.12508008946783639"/>
    <s v="LAP-7136"/>
    <n v="862.08"/>
    <n v="1952.83"/>
    <s v="Profit"/>
    <n v="0"/>
    <n v="7"/>
    <x v="102"/>
    <n v="6034.56"/>
    <x v="102"/>
    <n v="0.5585483631447693"/>
  </r>
  <r>
    <s v="ORD-2024-478165"/>
    <x v="96"/>
    <d v="2024-12-28T00:00:00"/>
    <d v="2024-12-28T00:00:00"/>
    <n v="23"/>
    <s v="Q4-2024"/>
    <x v="2"/>
    <x v="3"/>
    <x v="26"/>
    <s v="Corporate"/>
    <s v="Direct"/>
    <x v="9"/>
    <s v="Accessories"/>
    <n v="5.4537635122813496E-2"/>
    <s v="ACC-2386"/>
    <n v="107.03"/>
    <n v="242.29"/>
    <s v="Profit"/>
    <n v="0.18"/>
    <n v="30"/>
    <x v="103"/>
    <n v="3210.9"/>
    <x v="103"/>
    <n v="0.46128857879440988"/>
  </r>
  <r>
    <s v="ORD-2024-771210"/>
    <x v="97"/>
    <d v="2024-10-05T00:00:00"/>
    <d v="2024-10-05T00:00:00"/>
    <n v="21"/>
    <s v="Q3-2024"/>
    <x v="1"/>
    <x v="9"/>
    <x v="23"/>
    <s v="Small Business"/>
    <s v="Online"/>
    <x v="10"/>
    <s v="Laptops"/>
    <n v="0.11287244023745388"/>
    <s v="LAP-5150"/>
    <n v="1405.56"/>
    <n v="2968.87"/>
    <s v="Profit"/>
    <n v="0.16900000000000001"/>
    <n v="5"/>
    <x v="104"/>
    <n v="7027.7999999999993"/>
    <x v="104"/>
    <n v="0.4302856163327235"/>
  </r>
  <r>
    <s v="ORD-2024-155337"/>
    <x v="98"/>
    <d v="2024-05-27T00:00:00"/>
    <d v="2024-05-27T00:00:00"/>
    <n v="6"/>
    <s v="Q2-2024"/>
    <x v="0"/>
    <x v="11"/>
    <x v="20"/>
    <s v="Non-Profit"/>
    <s v="Online"/>
    <x v="12"/>
    <s v="Components"/>
    <n v="0.11053514262500479"/>
    <s v="CMP-8101"/>
    <n v="1157.51"/>
    <n v="1394.3"/>
    <s v="Profit"/>
    <n v="0.27800000000000002"/>
    <n v="12"/>
    <x v="105"/>
    <n v="13890.119999999999"/>
    <x v="105"/>
    <n v="-0.14982388724333326"/>
  </r>
  <r>
    <s v="ORD-2023-251563"/>
    <x v="20"/>
    <d v="2023-06-07T00:00:00"/>
    <d v="2023-06-07T00:00:00"/>
    <n v="27"/>
    <s v="Q2-2023"/>
    <x v="0"/>
    <x v="0"/>
    <x v="13"/>
    <s v="Corporate"/>
    <s v="Online"/>
    <x v="1"/>
    <s v="Phones"/>
    <n v="4.7457378707154163E-3"/>
    <s v="PHN-8970"/>
    <n v="12.85"/>
    <n v="15.41"/>
    <s v="Profit"/>
    <n v="0.13700000000000001"/>
    <n v="39"/>
    <x v="106"/>
    <n v="501.15"/>
    <x v="106"/>
    <n v="3.3749585489851353E-2"/>
  </r>
  <r>
    <s v="ORD-2024-286833"/>
    <x v="99"/>
    <d v="2024-09-04T00:00:00"/>
    <d v="2024-09-04T00:00:00"/>
    <n v="21"/>
    <s v="Q3-2024"/>
    <x v="3"/>
    <x v="8"/>
    <x v="31"/>
    <s v="Non-Profit"/>
    <s v="Online"/>
    <x v="1"/>
    <s v="Phones"/>
    <n v="0.21674314977507084"/>
    <s v="PHN-2341"/>
    <n v="1138.8"/>
    <n v="2250.81"/>
    <s v="Profit"/>
    <n v="0.123"/>
    <n v="12"/>
    <x v="107"/>
    <n v="13665.599999999999"/>
    <x v="107"/>
    <n v="0.42308872188756258"/>
  </r>
  <r>
    <s v="ORD-2024-792558"/>
    <x v="100"/>
    <d v="2024-11-08T00:00:00"/>
    <d v="2024-11-08T00:00:00"/>
    <n v="23"/>
    <s v="Q4-2024"/>
    <x v="1"/>
    <x v="2"/>
    <x v="4"/>
    <s v="Small Business"/>
    <s v="Retail"/>
    <x v="1"/>
    <s v="Networking"/>
    <n v="1.5192821301275987E-2"/>
    <s v="NET-6387"/>
    <n v="82.14"/>
    <n v="166.04"/>
    <s v="Profit"/>
    <n v="0"/>
    <n v="10"/>
    <x v="108"/>
    <n v="821.4"/>
    <x v="108"/>
    <n v="0.50529992772825827"/>
  </r>
  <r>
    <s v="ORD-2024-166150"/>
    <x v="101"/>
    <d v="2024-06-08T00:00:00"/>
    <d v="2024-06-08T00:00:00"/>
    <n v="6"/>
    <s v="Q2-2024"/>
    <x v="0"/>
    <x v="0"/>
    <x v="0"/>
    <s v="Consumer"/>
    <s v="Marketplace"/>
    <x v="8"/>
    <s v="Accessories"/>
    <n v="5.0307243258995837E-3"/>
    <s v="ACC-9820"/>
    <n v="292.94"/>
    <n v="356.55"/>
    <s v="Profit"/>
    <n v="0.22900000000000001"/>
    <n v="2"/>
    <x v="109"/>
    <n v="585.88"/>
    <x v="109"/>
    <n v="-6.5623669402751925E-2"/>
  </r>
  <r>
    <s v="ORD-2024-909942"/>
    <x v="102"/>
    <d v="2024-07-07T00:00:00"/>
    <d v="2024-07-07T00:00:00"/>
    <n v="28"/>
    <s v="Q2-2024"/>
    <x v="1"/>
    <x v="9"/>
    <x v="14"/>
    <s v="Corporate"/>
    <s v="Online"/>
    <x v="1"/>
    <s v="Components"/>
    <n v="0.25324129114765698"/>
    <s v="CMP-6392"/>
    <n v="550.22"/>
    <n v="1025.05"/>
    <s v="Profit"/>
    <n v="0"/>
    <n v="27"/>
    <x v="110"/>
    <n v="14855.94"/>
    <x v="110"/>
    <n v="0.46322618408858102"/>
  </r>
  <r>
    <s v="ORD-2024-223618"/>
    <x v="103"/>
    <d v="2024-06-11T00:00:00"/>
    <d v="2024-06-11T00:00:00"/>
    <n v="1"/>
    <s v="Q2-2024"/>
    <x v="3"/>
    <x v="8"/>
    <x v="12"/>
    <s v="Small Business"/>
    <s v="Marketplace"/>
    <x v="12"/>
    <s v="Laptops"/>
    <n v="0.27589075829369641"/>
    <s v="LAP-9230"/>
    <n v="1187.1300000000001"/>
    <n v="1795.17"/>
    <s v="Profit"/>
    <n v="1.2E-2"/>
    <n v="17"/>
    <x v="111"/>
    <n v="20181.210000000003"/>
    <x v="111"/>
    <n v="0.33067699271046663"/>
  </r>
  <r>
    <s v="ORD-2024-919471"/>
    <x v="104"/>
    <d v="2024-07-26T00:00:00"/>
    <d v="2024-07-26T00:00:00"/>
    <n v="27"/>
    <s v="Q2-2024"/>
    <x v="0"/>
    <x v="11"/>
    <x v="25"/>
    <s v="Enterprise"/>
    <s v="Distributor"/>
    <x v="5"/>
    <s v="Networking"/>
    <n v="3.1740826890462587E-4"/>
    <s v="NET-4241"/>
    <n v="5.36"/>
    <n v="4.37"/>
    <s v="Loss"/>
    <n v="0.11799999999999999"/>
    <n v="9"/>
    <x v="112"/>
    <n v="48.24"/>
    <x v="112"/>
    <n v="-0.39064016148030545"/>
  </r>
  <r>
    <s v="ORD-2025-649239"/>
    <x v="105"/>
    <d v="2025-01-24T00:00:00"/>
    <d v="2025-01-24T00:00:00"/>
    <n v="7"/>
    <s v="Q1-2025"/>
    <x v="2"/>
    <x v="10"/>
    <x v="36"/>
    <s v="Enterprise"/>
    <s v="Online"/>
    <x v="3"/>
    <s v="Accessories"/>
    <n v="1.9375179730125529E-2"/>
    <s v="ACC-4511"/>
    <n v="142.09"/>
    <n v="218.5"/>
    <s v="Profit"/>
    <n v="0.11899999999999999"/>
    <n v="11"/>
    <x v="113"/>
    <n v="1562.99"/>
    <x v="113"/>
    <n v="0.26186437816398561"/>
  </r>
  <r>
    <s v="ORD-2023-975863"/>
    <x v="106"/>
    <d v="2023-12-05T00:00:00"/>
    <d v="2023-12-05T00:00:00"/>
    <n v="15"/>
    <s v="Q4-2023"/>
    <x v="1"/>
    <x v="2"/>
    <x v="27"/>
    <s v="Enterprise"/>
    <s v="Retail"/>
    <x v="4"/>
    <s v="Networking"/>
    <n v="1.3718008643278119E-2"/>
    <s v="NET-3033"/>
    <n v="354.24"/>
    <n v="249.87"/>
    <s v="Loss"/>
    <n v="0"/>
    <n v="6"/>
    <x v="114"/>
    <n v="2125.44"/>
    <x v="114"/>
    <n v="-0.41769720254532355"/>
  </r>
  <r>
    <s v="ORD-2023-869884"/>
    <x v="107"/>
    <d v="2023-03-05T00:00:00"/>
    <d v="2023-03-05T00:00:00"/>
    <n v="3"/>
    <s v="Q1-2023"/>
    <x v="2"/>
    <x v="5"/>
    <x v="10"/>
    <s v="Enterprise"/>
    <s v="Direct"/>
    <x v="3"/>
    <s v="Monitors"/>
    <n v="0.22438789380086138"/>
    <s v="MON-2828"/>
    <n v="1473.58"/>
    <n v="3436.52"/>
    <s v="Profit"/>
    <n v="0.108"/>
    <n v="8"/>
    <x v="115"/>
    <n v="11788.64"/>
    <x v="115"/>
    <n v="0.51928243813652564"/>
  </r>
  <r>
    <s v="ORD-2025-698069"/>
    <x v="108"/>
    <d v="2025-06-10T00:00:00"/>
    <d v="2025-06-10T00:00:00"/>
    <n v="7"/>
    <s v="Q2-2025"/>
    <x v="2"/>
    <x v="3"/>
    <x v="5"/>
    <s v="Consumer"/>
    <s v="Distributor"/>
    <x v="7"/>
    <s v="Printers"/>
    <n v="7.0089007555805428E-3"/>
    <s v="PRN-6429"/>
    <n v="75.180000000000007"/>
    <n v="53.45"/>
    <s v="Loss"/>
    <n v="0.157"/>
    <n v="17"/>
    <x v="116"/>
    <n v="1278.0600000000002"/>
    <x v="116"/>
    <n v="-0.66850317421743144"/>
  </r>
  <r>
    <s v="ORD-2024-474999"/>
    <x v="6"/>
    <d v="2025-01-02T00:00:00"/>
    <d v="2025-01-02T00:00:00"/>
    <n v="6"/>
    <s v="Q4-2024"/>
    <x v="3"/>
    <x v="6"/>
    <x v="37"/>
    <s v="Education"/>
    <s v="Direct"/>
    <x v="9"/>
    <s v="Laptops"/>
    <n v="0.59584819192465177"/>
    <s v="LAP-8214"/>
    <n v="1391.99"/>
    <n v="3469.7"/>
    <s v="Profit"/>
    <n v="0.184"/>
    <n v="23"/>
    <x v="117"/>
    <n v="32015.77"/>
    <x v="117"/>
    <n v="0.50835227886006973"/>
  </r>
  <r>
    <s v="ORD-2023-427304"/>
    <x v="109"/>
    <d v="2023-06-19T00:00:00"/>
    <d v="2023-06-19T00:00:00"/>
    <n v="10"/>
    <s v="Q2-2023"/>
    <x v="1"/>
    <x v="9"/>
    <x v="38"/>
    <s v="Enterprise"/>
    <s v="Retail"/>
    <x v="9"/>
    <s v="Monitors"/>
    <n v="5.278943403226697E-2"/>
    <s v="MON-9194"/>
    <n v="339.61"/>
    <n v="621.02"/>
    <s v="Profit"/>
    <n v="7.0999999999999994E-2"/>
    <n v="10"/>
    <x v="118"/>
    <n v="3396.1000000000004"/>
    <x v="118"/>
    <n v="0.41134726129750981"/>
  </r>
  <r>
    <s v="ORD-2025-956101"/>
    <x v="110"/>
    <d v="2025-07-18T00:00:00"/>
    <d v="2025-07-18T00:00:00"/>
    <n v="9"/>
    <s v="Q3-2025"/>
    <x v="2"/>
    <x v="3"/>
    <x v="26"/>
    <s v="Education"/>
    <s v="Distributor"/>
    <x v="2"/>
    <s v="Laptops"/>
    <n v="5.4253532841516544E-3"/>
    <s v="LAP-2218"/>
    <n v="57.96"/>
    <n v="88.51"/>
    <s v="Profit"/>
    <n v="4.2999999999999997E-2"/>
    <n v="7"/>
    <x v="119"/>
    <n v="405.72"/>
    <x v="119"/>
    <n v="0.3157353595877978"/>
  </r>
  <r>
    <s v="ORD-2025-184082"/>
    <x v="111"/>
    <d v="2025-07-12T00:00:00"/>
    <d v="2025-07-12T00:00:00"/>
    <n v="23"/>
    <s v="Q2-2025"/>
    <x v="3"/>
    <x v="8"/>
    <x v="35"/>
    <s v="Non-Profit"/>
    <s v="Direct"/>
    <x v="15"/>
    <s v="Networking"/>
    <n v="0.36158259906934981"/>
    <s v="NET-6370"/>
    <n v="801.24"/>
    <n v="1959.09"/>
    <s v="Profit"/>
    <n v="0.123"/>
    <n v="23"/>
    <x v="120"/>
    <n v="18428.52"/>
    <x v="120"/>
    <n v="0.53365358650651762"/>
  </r>
  <r>
    <s v="ORD-2023-576840"/>
    <x v="112"/>
    <d v="2023-12-13T00:00:00"/>
    <d v="2023-12-13T00:00:00"/>
    <n v="24"/>
    <s v="Q4-2023"/>
    <x v="3"/>
    <x v="7"/>
    <x v="17"/>
    <s v="Non-Profit"/>
    <s v="Direct"/>
    <x v="10"/>
    <s v="Monitors"/>
    <n v="0.21029984525539172"/>
    <s v="MON-3745"/>
    <n v="1297.42"/>
    <n v="2742.97"/>
    <s v="Profit"/>
    <n v="6.9000000000000006E-2"/>
    <n v="9"/>
    <x v="121"/>
    <n v="11676.78"/>
    <x v="121"/>
    <n v="0.49194602961727291"/>
  </r>
  <r>
    <s v="ORD-2023-178249"/>
    <x v="113"/>
    <d v="2024-01-20T00:00:00"/>
    <d v="2024-01-20T00:00:00"/>
    <n v="22"/>
    <s v="Q4-2023"/>
    <x v="0"/>
    <x v="0"/>
    <x v="0"/>
    <s v="Corporate"/>
    <s v="Direct"/>
    <x v="4"/>
    <s v="Phones"/>
    <n v="0.14696861220897448"/>
    <s v="PHN-7924"/>
    <n v="1395.49"/>
    <n v="1679.42"/>
    <s v="Profit"/>
    <n v="0.20300000000000001"/>
    <n v="12"/>
    <x v="122"/>
    <n v="16745.88"/>
    <x v="122"/>
    <n v="-4.2579272490964493E-2"/>
  </r>
  <r>
    <s v="ORD-2024-588972"/>
    <x v="61"/>
    <d v="2024-11-29T00:00:00"/>
    <d v="2024-11-29T00:00:00"/>
    <n v="27"/>
    <s v="Q4-2024"/>
    <x v="2"/>
    <x v="5"/>
    <x v="10"/>
    <s v="Small Business"/>
    <s v="Direct"/>
    <x v="2"/>
    <s v="Networking"/>
    <n v="9.8979726501842252E-2"/>
    <s v="NET-8561"/>
    <n v="1363.51"/>
    <n v="1433.9"/>
    <s v="Profit"/>
    <n v="5.7000000000000002E-2"/>
    <n v="8"/>
    <x v="123"/>
    <n v="10908.08"/>
    <x v="123"/>
    <n v="-8.3882346842037592E-3"/>
  </r>
  <r>
    <s v="ORD-2023-603238"/>
    <x v="114"/>
    <d v="2023-09-04T00:00:00"/>
    <d v="2023-09-04T00:00:00"/>
    <n v="14"/>
    <s v="Q3-2023"/>
    <x v="2"/>
    <x v="3"/>
    <x v="19"/>
    <s v="Education"/>
    <s v="Distributor"/>
    <x v="9"/>
    <s v="Components"/>
    <n v="1.8967472812525549E-2"/>
    <s v="CMP-2136"/>
    <n v="178.19"/>
    <n v="284.43"/>
    <s v="Profit"/>
    <n v="8.8999999999999996E-2"/>
    <n v="8"/>
    <x v="124"/>
    <n v="1425.52"/>
    <x v="124"/>
    <n v="0.31231500302972742"/>
  </r>
  <r>
    <s v="ORD-2023-883066"/>
    <x v="115"/>
    <d v="2023-09-06T00:00:00"/>
    <d v="2023-09-06T00:00:00"/>
    <n v="25"/>
    <s v="Q3-2023"/>
    <x v="1"/>
    <x v="9"/>
    <x v="23"/>
    <s v="Small Business"/>
    <s v="Retail"/>
    <x v="5"/>
    <s v="Components"/>
    <n v="8.1526072845444247E-2"/>
    <s v="CMP-6352"/>
    <n v="950.77"/>
    <n v="694.78"/>
    <s v="Loss"/>
    <n v="8.4000000000000005E-2"/>
    <n v="14"/>
    <x v="125"/>
    <n v="13310.779999999999"/>
    <x v="125"/>
    <n v="-0.49393839097821279"/>
  </r>
  <r>
    <s v="ORD-2024-584090"/>
    <x v="116"/>
    <d v="2024-06-26T00:00:00"/>
    <d v="2024-06-26T00:00:00"/>
    <n v="19"/>
    <s v="Q2-2024"/>
    <x v="3"/>
    <x v="6"/>
    <x v="9"/>
    <s v="Non-Profit"/>
    <s v="Marketplace"/>
    <x v="12"/>
    <s v="Components"/>
    <n v="0.59577550849397631"/>
    <s v="CMP-2040"/>
    <n v="1064.32"/>
    <n v="1848.39"/>
    <s v="Profit"/>
    <n v="7.2999999999999995E-2"/>
    <n v="38"/>
    <x v="126"/>
    <n v="40444.159999999996"/>
    <x v="126"/>
    <n v="0.3788465827921631"/>
  </r>
  <r>
    <s v="ORD-2025-537785"/>
    <x v="117"/>
    <d v="2025-08-14T00:00:00"/>
    <d v="2025-08-14T00:00:00"/>
    <n v="9"/>
    <s v="Q3-2025"/>
    <x v="3"/>
    <x v="8"/>
    <x v="21"/>
    <s v="Non-Profit"/>
    <s v="Direct"/>
    <x v="6"/>
    <s v="Components"/>
    <n v="7.8079862424234097E-3"/>
    <s v="CMP-6346"/>
    <n v="41.76"/>
    <n v="45.19"/>
    <s v="Profit"/>
    <n v="0.17899999999999999"/>
    <n v="23"/>
    <x v="127"/>
    <n v="960.4799999999999"/>
    <x v="127"/>
    <n v="-0.12557643340514638"/>
  </r>
  <r>
    <s v="ORD-2024-605518"/>
    <x v="118"/>
    <d v="2024-06-13T00:00:00"/>
    <d v="2024-06-13T00:00:00"/>
    <n v="14"/>
    <s v="Q2-2024"/>
    <x v="2"/>
    <x v="10"/>
    <x v="24"/>
    <s v="Small Business"/>
    <s v="Retail"/>
    <x v="9"/>
    <s v="Phones"/>
    <n v="2.4176100281212167E-2"/>
    <s v="PHN-4356"/>
    <n v="157.78"/>
    <n v="361.1"/>
    <s v="Profit"/>
    <n v="0.187"/>
    <n v="9"/>
    <x v="128"/>
    <n v="1420.02"/>
    <x v="128"/>
    <n v="0.46255513510549112"/>
  </r>
  <r>
    <s v="ORD-2023-521818"/>
    <x v="119"/>
    <d v="2023-01-30T00:00:00"/>
    <d v="2023-01-30T00:00:00"/>
    <n v="8"/>
    <s v="Q1-2023"/>
    <x v="2"/>
    <x v="10"/>
    <x v="24"/>
    <s v="Small Business"/>
    <s v="Online"/>
    <x v="8"/>
    <s v="Networking"/>
    <n v="0.14705531669951089"/>
    <s v="NET-4155"/>
    <n v="413.52"/>
    <n v="1004.34"/>
    <s v="Profit"/>
    <n v="0.111"/>
    <n v="18"/>
    <x v="129"/>
    <n v="7443.36"/>
    <x v="129"/>
    <n v="0.53685817948304593"/>
  </r>
  <r>
    <s v="ORD-2025-650719"/>
    <x v="120"/>
    <d v="2025-02-28T00:00:00"/>
    <d v="2025-02-28T00:00:00"/>
    <n v="16"/>
    <s v="Q1-2025"/>
    <x v="2"/>
    <x v="5"/>
    <x v="8"/>
    <s v="Non-Profit"/>
    <s v="Direct"/>
    <x v="5"/>
    <s v="Monitors"/>
    <n v="7.049110473184711E-2"/>
    <s v="MON-5179"/>
    <n v="414.95"/>
    <n v="1027.73"/>
    <s v="Profit"/>
    <n v="6.3E-2"/>
    <n v="8"/>
    <x v="130"/>
    <n v="3319.6"/>
    <x v="130"/>
    <n v="0.56909935513815568"/>
  </r>
  <r>
    <s v="ORD-2025-501927"/>
    <x v="121"/>
    <d v="2025-03-24T00:00:00"/>
    <d v="2025-03-24T00:00:00"/>
    <n v="21"/>
    <s v="Q1-2025"/>
    <x v="0"/>
    <x v="1"/>
    <x v="7"/>
    <s v="Enterprise"/>
    <s v="Direct"/>
    <x v="10"/>
    <s v="Accessories"/>
    <n v="4.0423604967998648E-2"/>
    <s v="ACC-4056"/>
    <n v="555.95000000000005"/>
    <n v="468.09"/>
    <s v="Loss"/>
    <n v="0.14199999999999999"/>
    <n v="11"/>
    <x v="131"/>
    <n v="6115.4500000000007"/>
    <x v="131"/>
    <n v="-0.38426450674095375"/>
  </r>
  <r>
    <s v="ORD-2023-430904"/>
    <x v="122"/>
    <d v="2023-01-31T00:00:00"/>
    <d v="2023-01-31T00:00:00"/>
    <n v="4"/>
    <s v="Q1-2023"/>
    <x v="3"/>
    <x v="8"/>
    <x v="31"/>
    <s v="Enterprise"/>
    <s v="Online"/>
    <x v="13"/>
    <s v="Laptops"/>
    <n v="7.628334973576624E-2"/>
    <s v="LAP-9782"/>
    <n v="941.2"/>
    <n v="668.02"/>
    <s v="Loss"/>
    <n v="0.22"/>
    <n v="16"/>
    <x v="132"/>
    <n v="15059.2"/>
    <x v="132"/>
    <n v="-0.80633314371825193"/>
  </r>
  <r>
    <s v="ORD-2025-354346"/>
    <x v="123"/>
    <d v="2025-01-15T00:00:00"/>
    <d v="2025-01-15T00:00:00"/>
    <n v="6"/>
    <s v="Q1-2025"/>
    <x v="1"/>
    <x v="9"/>
    <x v="38"/>
    <s v="Education"/>
    <s v="Online"/>
    <x v="0"/>
    <s v="Phones"/>
    <n v="3.1974136799499953E-2"/>
    <s v="PHN-2875"/>
    <n v="304.77999999999997"/>
    <n v="537.27"/>
    <s v="Profit"/>
    <n v="0.187"/>
    <n v="8"/>
    <x v="133"/>
    <n v="2438.2399999999998"/>
    <x v="133"/>
    <n v="0.3022444044307549"/>
  </r>
  <r>
    <s v="ORD-2024-164288"/>
    <x v="124"/>
    <d v="2024-12-26T00:00:00"/>
    <d v="2024-12-26T00:00:00"/>
    <n v="5"/>
    <s v="Q4-2024"/>
    <x v="2"/>
    <x v="10"/>
    <x v="24"/>
    <s v="Consumer"/>
    <s v="Marketplace"/>
    <x v="12"/>
    <s v="Printers"/>
    <n v="0.11008931768370805"/>
    <s v="PRN-4788"/>
    <n v="699.57"/>
    <n v="572.71"/>
    <s v="Loss"/>
    <n v="0.192"/>
    <n v="26"/>
    <x v="134"/>
    <n v="18188.82"/>
    <x v="134"/>
    <n v="-0.51176765805651114"/>
  </r>
  <r>
    <s v="ORD-2023-867285"/>
    <x v="125"/>
    <d v="2023-04-17T00:00:00"/>
    <d v="2023-04-17T00:00:00"/>
    <n v="5"/>
    <s v="Q2-2023"/>
    <x v="3"/>
    <x v="7"/>
    <x v="17"/>
    <s v="Enterprise"/>
    <s v="Direct"/>
    <x v="6"/>
    <s v="Monitors"/>
    <n v="0.25044310780851164"/>
    <s v="MON-3043"/>
    <n v="1087.81"/>
    <n v="2323.87"/>
    <s v="Profit"/>
    <n v="9.4E-2"/>
    <n v="13"/>
    <x v="135"/>
    <n v="14141.529999999999"/>
    <x v="135"/>
    <n v="0.48333026839572651"/>
  </r>
  <r>
    <s v="ORD-2024-836421"/>
    <x v="126"/>
    <d v="2025-01-12T00:00:00"/>
    <d v="2025-01-12T00:00:00"/>
    <n v="29"/>
    <s v="Q4-2024"/>
    <x v="1"/>
    <x v="9"/>
    <x v="14"/>
    <s v="Education"/>
    <s v="Online"/>
    <x v="1"/>
    <s v="Components"/>
    <n v="8.8739141274160757E-2"/>
    <s v="CMP-3720"/>
    <n v="1412.15"/>
    <n v="1631.04"/>
    <s v="Profit"/>
    <n v="8.9999999999999993E-3"/>
    <n v="6"/>
    <x v="136"/>
    <n v="8472.9000000000015"/>
    <x v="136"/>
    <n v="0.12633977526203535"/>
  </r>
  <r>
    <s v="ORD-2023-613287"/>
    <x v="50"/>
    <d v="2023-04-12T00:00:00"/>
    <d v="2023-04-12T00:00:00"/>
    <n v="12"/>
    <s v="Q1-2023"/>
    <x v="0"/>
    <x v="0"/>
    <x v="13"/>
    <s v="Small Business"/>
    <s v="Online"/>
    <x v="0"/>
    <s v="Phones"/>
    <n v="3.9677042411288582E-2"/>
    <s v="PHN-8014"/>
    <n v="304.22000000000003"/>
    <n v="393.31"/>
    <s v="Profit"/>
    <n v="0.26500000000000001"/>
    <n v="15"/>
    <x v="137"/>
    <n v="4563.3"/>
    <x v="137"/>
    <n v="-5.2362670424759034E-2"/>
  </r>
  <r>
    <s v="ORD-2024-783321"/>
    <x v="127"/>
    <d v="2024-12-15T00:00:00"/>
    <d v="2024-12-15T00:00:00"/>
    <n v="25"/>
    <s v="Q4-2024"/>
    <x v="3"/>
    <x v="7"/>
    <x v="28"/>
    <s v="Corporate"/>
    <s v="Online"/>
    <x v="3"/>
    <s v="Printers"/>
    <n v="0.32544825723270165"/>
    <s v="PRN-4911"/>
    <n v="1203.58"/>
    <n v="1856.16"/>
    <s v="Profit"/>
    <n v="0.129"/>
    <n v="22"/>
    <x v="138"/>
    <n v="26478.76"/>
    <x v="138"/>
    <n v="0.25553994860295032"/>
  </r>
  <r>
    <s v="ORD-2024-232632"/>
    <x v="128"/>
    <d v="2024-02-14T00:00:00"/>
    <d v="2024-02-14T00:00:00"/>
    <n v="0"/>
    <s v="Q1-2024"/>
    <x v="1"/>
    <x v="9"/>
    <x v="38"/>
    <s v="Corporate"/>
    <s v="Distributor"/>
    <x v="4"/>
    <s v="Accessories"/>
    <n v="1.323973947052289E-2"/>
    <s v="ACC-1021"/>
    <n v="65.930000000000007"/>
    <n v="84.9"/>
    <s v="Profit"/>
    <n v="0.25900000000000001"/>
    <n v="23"/>
    <x v="139"/>
    <n v="1516.39"/>
    <x v="139"/>
    <n v="-4.7990093926489688E-2"/>
  </r>
  <r>
    <s v="ORD-2023-906481"/>
    <x v="129"/>
    <d v="2023-05-18T00:00:00"/>
    <d v="2023-05-18T00:00:00"/>
    <n v="16"/>
    <s v="Q2-2023"/>
    <x v="1"/>
    <x v="4"/>
    <x v="18"/>
    <s v="Small Business"/>
    <s v="Marketplace"/>
    <x v="11"/>
    <s v="Monitors"/>
    <n v="0.7997635998103535"/>
    <s v="MON-2266"/>
    <n v="1463.92"/>
    <n v="2252.2399999999998"/>
    <s v="Profit"/>
    <n v="0.11799999999999999"/>
    <n v="44"/>
    <x v="140"/>
    <n v="64412.480000000003"/>
    <x v="140"/>
    <n v="0.26305667130040061"/>
  </r>
  <r>
    <s v="ORD-2024-902741"/>
    <x v="130"/>
    <d v="2025-01-11T00:00:00"/>
    <d v="2025-01-11T00:00:00"/>
    <n v="19"/>
    <s v="Q4-2024"/>
    <x v="3"/>
    <x v="6"/>
    <x v="9"/>
    <s v="Education"/>
    <s v="Retail"/>
    <x v="11"/>
    <s v="Phones"/>
    <n v="7.5137250657700799E-2"/>
    <s v="PHN-8057"/>
    <n v="501.81"/>
    <n v="921.62"/>
    <s v="Profit"/>
    <n v="0.01"/>
    <n v="9"/>
    <x v="141"/>
    <n v="4516.29"/>
    <x v="141"/>
    <n v="0.45001325071202031"/>
  </r>
  <r>
    <s v="ORD-2023-912395"/>
    <x v="131"/>
    <d v="2023-08-25T00:00:00"/>
    <d v="2023-08-25T00:00:00"/>
    <n v="30"/>
    <s v="Q3-2023"/>
    <x v="2"/>
    <x v="10"/>
    <x v="39"/>
    <s v="Consumer"/>
    <s v="Retail"/>
    <x v="12"/>
    <s v="Accessories"/>
    <n v="0.29359345618318217"/>
    <s v="ACC-7078"/>
    <n v="1261.48"/>
    <n v="1643.18"/>
    <s v="Profit"/>
    <n v="0.151"/>
    <n v="23"/>
    <x v="142"/>
    <n v="29014.04"/>
    <x v="142"/>
    <n v="9.5752037357079045E-2"/>
  </r>
  <r>
    <s v="ORD-2024-389102"/>
    <x v="132"/>
    <d v="2024-07-06T00:00:00"/>
    <d v="2024-07-06T00:00:00"/>
    <n v="21"/>
    <s v="Q2-2024"/>
    <x v="2"/>
    <x v="3"/>
    <x v="5"/>
    <s v="Enterprise"/>
    <s v="Distributor"/>
    <x v="4"/>
    <s v="Printers"/>
    <n v="9.1221162862135663E-2"/>
    <s v="PRN-4453"/>
    <n v="817.23"/>
    <n v="1467.17"/>
    <s v="Profit"/>
    <n v="0.245"/>
    <n v="9"/>
    <x v="143"/>
    <n v="7355.07"/>
    <x v="143"/>
    <n v="0.26223693160328893"/>
  </r>
  <r>
    <s v="ORD-2023-309373"/>
    <x v="133"/>
    <d v="2023-07-14T00:00:00"/>
    <d v="2023-07-14T00:00:00"/>
    <n v="9"/>
    <s v="Q3-2023"/>
    <x v="2"/>
    <x v="5"/>
    <x v="10"/>
    <s v="Enterprise"/>
    <s v="Direct"/>
    <x v="5"/>
    <s v="Networking"/>
    <n v="0.23490245636134383"/>
    <s v="NET-2394"/>
    <n v="578.85"/>
    <n v="998.76"/>
    <s v="Profit"/>
    <n v="8.2000000000000003E-2"/>
    <n v="28"/>
    <x v="144"/>
    <n v="16207.800000000001"/>
    <x v="144"/>
    <n v="0.36866158480960831"/>
  </r>
  <r>
    <s v="ORD-2023-825495"/>
    <x v="134"/>
    <d v="2023-11-29T00:00:00"/>
    <d v="2023-12-07T00:00:00"/>
    <n v="7"/>
    <s v="Q4-2023"/>
    <x v="0"/>
    <x v="11"/>
    <x v="25"/>
    <s v="Small Business"/>
    <s v="Marketplace"/>
    <x v="6"/>
    <s v="Laptops"/>
    <n v="0.11853363489651934"/>
    <s v="LAP-1525"/>
    <n v="275.56"/>
    <n v="630.72"/>
    <s v="Profit"/>
    <n v="0.107"/>
    <n v="23"/>
    <x v="145"/>
    <n v="6337.88"/>
    <x v="145"/>
    <n v="0.5107530638831933"/>
  </r>
  <r>
    <s v="ORD-2025-244832"/>
    <x v="135"/>
    <d v="2025-09-28T00:00:00"/>
    <d v="2025-09-28T00:00:00"/>
    <n v="17"/>
    <s v="Q3-2025"/>
    <x v="0"/>
    <x v="0"/>
    <x v="2"/>
    <s v="Non-Profit"/>
    <s v="Distributor"/>
    <x v="1"/>
    <s v="Laptops"/>
    <n v="3.2600907656888688E-2"/>
    <s v="LAP-3278"/>
    <n v="891.46"/>
    <n v="728.61"/>
    <s v="Loss"/>
    <n v="0.185"/>
    <n v="6"/>
    <x v="146"/>
    <n v="5348.76"/>
    <x v="146"/>
    <n v="-0.50123653383874167"/>
  </r>
  <r>
    <s v="ORD-2024-211453"/>
    <x v="136"/>
    <d v="2024-04-24T00:00:00"/>
    <d v="2024-04-24T00:00:00"/>
    <n v="20"/>
    <s v="Q2-2024"/>
    <x v="3"/>
    <x v="6"/>
    <x v="37"/>
    <s v="Non-Profit"/>
    <s v="Direct"/>
    <x v="7"/>
    <s v="Accessories"/>
    <n v="0.12188972509592846"/>
    <s v="ACC-6543"/>
    <n v="683.42"/>
    <n v="951.51"/>
    <s v="Profit"/>
    <n v="0"/>
    <n v="14"/>
    <x v="147"/>
    <n v="9567.8799999999992"/>
    <x v="147"/>
    <n v="0.28175216235247136"/>
  </r>
  <r>
    <s v="ORD-2023-192324"/>
    <x v="137"/>
    <d v="2023-09-16T00:00:00"/>
    <d v="2023-09-16T00:00:00"/>
    <n v="2"/>
    <s v="Q3-2023"/>
    <x v="3"/>
    <x v="7"/>
    <x v="17"/>
    <s v="Non-Profit"/>
    <s v="Direct"/>
    <x v="5"/>
    <s v="Printers"/>
    <n v="0.13613024088663378"/>
    <s v="PRN-4432"/>
    <n v="376.83"/>
    <n v="732.88"/>
    <s v="Profit"/>
    <n v="0.188"/>
    <n v="25"/>
    <x v="148"/>
    <n v="9420.75"/>
    <x v="148"/>
    <n v="0.36677716040852132"/>
  </r>
  <r>
    <s v="ORD-2024-438404"/>
    <x v="138"/>
    <d v="2024-10-18T00:00:00"/>
    <d v="2024-10-18T00:00:00"/>
    <n v="25"/>
    <s v="Q3-2024"/>
    <x v="2"/>
    <x v="3"/>
    <x v="26"/>
    <s v="Small Business"/>
    <s v="Online"/>
    <x v="13"/>
    <s v="Phones"/>
    <n v="0.38884074807498914"/>
    <s v="PHN-4568"/>
    <n v="1297"/>
    <n v="2411.52"/>
    <s v="Profit"/>
    <n v="2.1000000000000001E-2"/>
    <n v="18"/>
    <x v="149"/>
    <n v="23346"/>
    <x v="149"/>
    <n v="0.45062813239385913"/>
  </r>
  <r>
    <s v="ORD-2025-246470"/>
    <x v="139"/>
    <d v="2025-05-16T00:00:00"/>
    <d v="2025-05-16T00:00:00"/>
    <n v="30"/>
    <s v="Q2-2025"/>
    <x v="2"/>
    <x v="3"/>
    <x v="19"/>
    <s v="Enterprise"/>
    <s v="Distributor"/>
    <x v="11"/>
    <s v="Printers"/>
    <n v="7.2299530663797185E-2"/>
    <s v="PRN-6178"/>
    <n v="763.32"/>
    <n v="568.29"/>
    <s v="Loss"/>
    <n v="0.13100000000000001"/>
    <n v="16"/>
    <x v="150"/>
    <n v="12213.12"/>
    <x v="150"/>
    <n v="-0.54567026134426555"/>
  </r>
  <r>
    <s v="ORD-2023-497686"/>
    <x v="140"/>
    <d v="2023-07-23T00:00:00"/>
    <d v="2023-07-23T00:00:00"/>
    <n v="20"/>
    <s v="Q3-2023"/>
    <x v="0"/>
    <x v="11"/>
    <x v="20"/>
    <s v="Small Business"/>
    <s v="Distributor"/>
    <x v="9"/>
    <s v="Laptops"/>
    <n v="0.19739129876662495"/>
    <s v="LAP-6342"/>
    <n v="1001.96"/>
    <n v="1254.95"/>
    <s v="Profit"/>
    <n v="4.4999999999999998E-2"/>
    <n v="18"/>
    <x v="151"/>
    <n v="18035.28"/>
    <x v="151"/>
    <n v="0.16397244920585699"/>
  </r>
  <r>
    <s v="ORD-2023-596758"/>
    <x v="141"/>
    <d v="2023-12-05T00:00:00"/>
    <d v="2023-12-14T00:00:00"/>
    <n v="7"/>
    <s v="Q4-2023"/>
    <x v="1"/>
    <x v="2"/>
    <x v="27"/>
    <s v="Non-Profit"/>
    <s v="Marketplace"/>
    <x v="10"/>
    <s v="Printers"/>
    <n v="3.7879689286397851E-2"/>
    <s v="PRN-8175"/>
    <n v="1097.5899999999999"/>
    <n v="845.55"/>
    <s v="Loss"/>
    <n v="0.184"/>
    <n v="6"/>
    <x v="152"/>
    <n v="6585.5399999999991"/>
    <x v="152"/>
    <n v="-0.59078207594314402"/>
  </r>
  <r>
    <s v="ORD-2024-201376"/>
    <x v="142"/>
    <d v="2024-03-04T00:00:00"/>
    <d v="2024-03-04T00:00:00"/>
    <n v="15"/>
    <s v="Q1-2024"/>
    <x v="0"/>
    <x v="0"/>
    <x v="0"/>
    <s v="Education"/>
    <s v="Direct"/>
    <x v="11"/>
    <s v="Printers"/>
    <n v="0.27134457608115148"/>
    <s v="PRN-7089"/>
    <n v="928.68"/>
    <n v="2145.17"/>
    <s v="Profit"/>
    <n v="0.13600000000000001"/>
    <n v="16"/>
    <x v="153"/>
    <n v="14858.88"/>
    <x v="153"/>
    <n v="0.49893896003062177"/>
  </r>
  <r>
    <s v="ORD-2023-842488"/>
    <x v="143"/>
    <d v="2023-11-02T00:00:00"/>
    <d v="2023-11-02T00:00:00"/>
    <n v="2"/>
    <s v="Q4-2023"/>
    <x v="0"/>
    <x v="0"/>
    <x v="0"/>
    <s v="Education"/>
    <s v="Retail"/>
    <x v="7"/>
    <s v="Accessories"/>
    <n v="0.10079299027315541"/>
    <s v="ACC-4124"/>
    <n v="867.89"/>
    <n v="1349.94"/>
    <s v="Profit"/>
    <n v="0.184"/>
    <n v="10"/>
    <x v="154"/>
    <n v="8678.9"/>
    <x v="154"/>
    <n v="0.21212003031652557"/>
  </r>
  <r>
    <s v="ORD-2024-136321"/>
    <x v="144"/>
    <d v="2024-08-17T00:00:00"/>
    <d v="2024-08-17T00:00:00"/>
    <n v="10"/>
    <s v="Q3-2024"/>
    <x v="1"/>
    <x v="2"/>
    <x v="4"/>
    <s v="Consumer"/>
    <s v="Online"/>
    <x v="11"/>
    <s v="Networking"/>
    <n v="8.1524297360594036E-2"/>
    <s v="NET-7924"/>
    <n v="436.58"/>
    <n v="527.48"/>
    <s v="Profit"/>
    <n v="0.111"/>
    <n v="19"/>
    <x v="155"/>
    <n v="8295.02"/>
    <x v="155"/>
    <n v="6.8986286473802644E-2"/>
  </r>
  <r>
    <s v="ORD-2024-764468"/>
    <x v="145"/>
    <d v="2024-02-21T00:00:00"/>
    <d v="2024-02-21T00:00:00"/>
    <n v="20"/>
    <s v="Q1-2024"/>
    <x v="3"/>
    <x v="7"/>
    <x v="28"/>
    <s v="Small Business"/>
    <s v="Marketplace"/>
    <x v="8"/>
    <s v="Networking"/>
    <n v="6.5915512826061243E-2"/>
    <s v="NET-8761"/>
    <n v="656.2"/>
    <n v="1467.17"/>
    <s v="Profit"/>
    <n v="1.7999999999999999E-2"/>
    <n v="5"/>
    <x v="156"/>
    <n v="3281"/>
    <x v="156"/>
    <n v="0.54454623124360946"/>
  </r>
  <r>
    <s v="ORD-2024-553449"/>
    <x v="38"/>
    <d v="2024-09-18T00:00:00"/>
    <d v="2024-09-18T00:00:00"/>
    <n v="22"/>
    <s v="Q3-2024"/>
    <x v="1"/>
    <x v="4"/>
    <x v="18"/>
    <s v="Consumer"/>
    <s v="Direct"/>
    <x v="5"/>
    <s v="Components"/>
    <n v="0.22095583674991673"/>
    <s v="CMP-3875"/>
    <n v="896.75"/>
    <n v="1651.14"/>
    <s v="Profit"/>
    <n v="2.5000000000000001E-2"/>
    <n v="15"/>
    <x v="157"/>
    <n v="13451.25"/>
    <x v="157"/>
    <n v="0.44296450346815552"/>
  </r>
  <r>
    <s v="ORD-2025-766923"/>
    <x v="146"/>
    <d v="2025-02-15T00:00:00"/>
    <d v="2025-02-15T00:00:00"/>
    <n v="0"/>
    <s v="Q1-2025"/>
    <x v="3"/>
    <x v="6"/>
    <x v="37"/>
    <s v="Small Business"/>
    <s v="Marketplace"/>
    <x v="4"/>
    <s v="Accessories"/>
    <n v="9.5002337020135774E-2"/>
    <s v="ACC-3989"/>
    <n v="815.83"/>
    <n v="1982.18"/>
    <s v="Profit"/>
    <n v="0.127"/>
    <n v="6"/>
    <x v="158"/>
    <n v="4894.9800000000005"/>
    <x v="158"/>
    <n v="0.52854272923408507"/>
  </r>
  <r>
    <s v="ORD-2025-418232"/>
    <x v="90"/>
    <d v="2025-08-21T00:00:00"/>
    <d v="2025-08-21T00:00:00"/>
    <n v="20"/>
    <s v="Q3-2025"/>
    <x v="1"/>
    <x v="9"/>
    <x v="23"/>
    <s v="Corporate"/>
    <s v="Direct"/>
    <x v="2"/>
    <s v="Phones"/>
    <n v="0.2677661967157115"/>
    <s v="PHN-9234"/>
    <n v="1220.4100000000001"/>
    <n v="2552.2199999999998"/>
    <s v="Profit"/>
    <n v="0.18099999999999999"/>
    <n v="14"/>
    <x v="159"/>
    <n v="17085.740000000002"/>
    <x v="159"/>
    <n v="0.41614668793360271"/>
  </r>
  <r>
    <s v="ORD-2023-848013"/>
    <x v="147"/>
    <d v="2023-03-04T00:00:00"/>
    <d v="2023-03-04T00:00:00"/>
    <n v="12"/>
    <s v="Q1-2023"/>
    <x v="1"/>
    <x v="4"/>
    <x v="18"/>
    <s v="Consumer"/>
    <s v="Distributor"/>
    <x v="12"/>
    <s v="Monitors"/>
    <n v="0.20171271579685129"/>
    <s v="MON-9906"/>
    <n v="299.75"/>
    <n v="523.01"/>
    <s v="Profit"/>
    <n v="0.157"/>
    <n v="50"/>
    <x v="160"/>
    <n v="14987.5"/>
    <x v="160"/>
    <n v="0.32013665854210122"/>
  </r>
  <r>
    <s v="ORD-2024-357368"/>
    <x v="148"/>
    <d v="2024-11-24T00:00:00"/>
    <d v="2024-11-24T00:00:00"/>
    <n v="25"/>
    <s v="Q4-2024"/>
    <x v="1"/>
    <x v="9"/>
    <x v="14"/>
    <s v="Small Business"/>
    <s v="Online"/>
    <x v="6"/>
    <s v="Components"/>
    <n v="5.1699644652038232E-2"/>
    <s v="CMP-4610"/>
    <n v="811.05"/>
    <n v="1217.71"/>
    <s v="Profit"/>
    <n v="7.1999999999999995E-2"/>
    <n v="5"/>
    <x v="161"/>
    <n v="4055.25"/>
    <x v="161"/>
    <n v="0.28227879125288602"/>
  </r>
  <r>
    <s v="ORD-2024-219735"/>
    <x v="149"/>
    <d v="2024-04-07T00:00:00"/>
    <d v="2024-04-07T00:00:00"/>
    <n v="4"/>
    <s v="Q2-2024"/>
    <x v="2"/>
    <x v="5"/>
    <x v="10"/>
    <s v="Non-Profit"/>
    <s v="Direct"/>
    <x v="13"/>
    <s v="Phones"/>
    <n v="7.4614935296309831E-2"/>
    <s v="PHN-5445"/>
    <n v="1023.27"/>
    <n v="1343.64"/>
    <s v="Profit"/>
    <n v="0.13300000000000001"/>
    <n v="7"/>
    <x v="162"/>
    <n v="7162.8899999999994"/>
    <x v="162"/>
    <n v="0.12160830688810116"/>
  </r>
  <r>
    <s v="ORD-2023-240507"/>
    <x v="150"/>
    <d v="2023-03-26T00:00:00"/>
    <d v="2023-03-26T00:00:00"/>
    <n v="1"/>
    <s v="Q1-2023"/>
    <x v="1"/>
    <x v="2"/>
    <x v="4"/>
    <s v="Small Business"/>
    <s v="Distributor"/>
    <x v="2"/>
    <s v="Monitors"/>
    <n v="0.1115828177681092"/>
    <s v="MON-9227"/>
    <n v="135.12"/>
    <n v="301.7"/>
    <s v="Profit"/>
    <n v="0.14000000000000001"/>
    <n v="47"/>
    <x v="163"/>
    <n v="6350.64"/>
    <x v="163"/>
    <n v="0.47923009920527859"/>
  </r>
  <r>
    <s v="ORD-2024-134084"/>
    <x v="151"/>
    <d v="2024-06-16T00:00:00"/>
    <d v="2024-06-16T00:00:00"/>
    <n v="12"/>
    <s v="Q2-2024"/>
    <x v="1"/>
    <x v="9"/>
    <x v="23"/>
    <s v="Corporate"/>
    <s v="Retail"/>
    <x v="1"/>
    <s v="Printers"/>
    <n v="0.10844517991599559"/>
    <s v="PRN-4097"/>
    <n v="918.42"/>
    <n v="1511.71"/>
    <s v="Profit"/>
    <n v="0.02"/>
    <n v="8"/>
    <x v="164"/>
    <n v="7347.36"/>
    <x v="164"/>
    <n v="0.38006412254590999"/>
  </r>
  <r>
    <s v="ORD-2023-884625"/>
    <x v="152"/>
    <d v="2023-03-12T00:00:00"/>
    <d v="2023-03-12T00:00:00"/>
    <n v="21"/>
    <s v="Q1-2023"/>
    <x v="3"/>
    <x v="6"/>
    <x v="9"/>
    <s v="Small Business"/>
    <s v="Direct"/>
    <x v="4"/>
    <s v="Monitors"/>
    <n v="0.78359364329489123"/>
    <s v="MON-6699"/>
    <n v="1234.81"/>
    <n v="2055.2399999999998"/>
    <s v="Profit"/>
    <n v="5.2999999999999999E-2"/>
    <n v="44"/>
    <x v="165"/>
    <n v="54331.64"/>
    <x v="165"/>
    <n v="0.36556429680441616"/>
  </r>
  <r>
    <s v="ORD-2023-157993"/>
    <x v="153"/>
    <d v="2023-05-18T00:00:00"/>
    <d v="2023-05-18T00:00:00"/>
    <n v="30"/>
    <s v="Q2-2023"/>
    <x v="1"/>
    <x v="9"/>
    <x v="14"/>
    <s v="Non-Profit"/>
    <s v="Retail"/>
    <x v="10"/>
    <s v="Laptops"/>
    <n v="0.13220333669992659"/>
    <s v="LAP-1482"/>
    <n v="329.03"/>
    <n v="391.15"/>
    <s v="Profit"/>
    <n v="0.19700000000000001"/>
    <n v="46"/>
    <x v="166"/>
    <n v="15135.38"/>
    <x v="166"/>
    <n v="-4.7554477815440081E-2"/>
  </r>
  <r>
    <s v="ORD-2024-329104"/>
    <x v="154"/>
    <d v="2024-06-14T00:00:00"/>
    <d v="2024-06-14T00:00:00"/>
    <n v="22"/>
    <s v="Q2-2024"/>
    <x v="3"/>
    <x v="7"/>
    <x v="11"/>
    <s v="Small Business"/>
    <s v="Online"/>
    <x v="13"/>
    <s v="Monitors"/>
    <n v="0.11358916487637657"/>
    <s v="MON-2100"/>
    <n v="1481.74"/>
    <n v="1848.97"/>
    <s v="Profit"/>
    <n v="0.254"/>
    <n v="9"/>
    <x v="167"/>
    <n v="13335.66"/>
    <x v="167"/>
    <n v="-7.4244930309072407E-2"/>
  </r>
  <r>
    <s v="ORD-2023-304451"/>
    <x v="155"/>
    <d v="2023-10-23T00:00:00"/>
    <d v="2023-10-23T00:00:00"/>
    <n v="16"/>
    <s v="Q4-2023"/>
    <x v="1"/>
    <x v="4"/>
    <x v="34"/>
    <s v="Consumer"/>
    <s v="Retail"/>
    <x v="3"/>
    <s v="Monitors"/>
    <n v="6.2442901812557607E-2"/>
    <s v="MON-7602"/>
    <n v="906.81"/>
    <n v="1395.56"/>
    <s v="Profit"/>
    <n v="0.185"/>
    <n v="6"/>
    <x v="168"/>
    <n v="5440.86"/>
    <x v="168"/>
    <n v="0.20272126834498974"/>
  </r>
  <r>
    <s v="ORD-2024-942981"/>
    <x v="156"/>
    <d v="2024-11-08T00:00:00"/>
    <d v="2024-11-08T00:00:00"/>
    <n v="30"/>
    <s v="Q4-2024"/>
    <x v="3"/>
    <x v="8"/>
    <x v="31"/>
    <s v="Small Business"/>
    <s v="Distributor"/>
    <x v="1"/>
    <s v="Components"/>
    <n v="2.1194024145688013E-2"/>
    <s v="CMP-1072"/>
    <n v="343.85"/>
    <n v="538.04"/>
    <s v="Profit"/>
    <n v="0.13900000000000001"/>
    <n v="5"/>
    <x v="169"/>
    <n v="1719.25"/>
    <x v="169"/>
    <n v="0.25774810813732563"/>
  </r>
  <r>
    <s v="ORD-2024-605629"/>
    <x v="157"/>
    <d v="2024-07-15T00:00:00"/>
    <d v="2024-07-15T00:00:00"/>
    <n v="0"/>
    <s v="Q3-2024"/>
    <x v="1"/>
    <x v="2"/>
    <x v="27"/>
    <s v="Small Business"/>
    <s v="Marketplace"/>
    <x v="3"/>
    <s v="Accessories"/>
    <n v="0.13312502982848751"/>
    <s v="ACC-2735"/>
    <n v="801.77"/>
    <n v="1218.92"/>
    <s v="Profit"/>
    <n v="0.254"/>
    <n v="16"/>
    <x v="170"/>
    <n v="12828.32"/>
    <x v="170"/>
    <n v="0.11826968698788344"/>
  </r>
  <r>
    <s v="ORD-2023-450877"/>
    <x v="158"/>
    <d v="2023-10-10T00:00:00"/>
    <d v="2023-10-10T00:00:00"/>
    <n v="19"/>
    <s v="Q3-2023"/>
    <x v="1"/>
    <x v="2"/>
    <x v="27"/>
    <s v="Education"/>
    <s v="Online"/>
    <x v="14"/>
    <s v="Components"/>
    <n v="8.1701030754961892E-2"/>
    <s v="CMP-5211"/>
    <n v="845.63"/>
    <n v="2062.12"/>
    <s v="Profit"/>
    <n v="0.13400000000000001"/>
    <n v="5"/>
    <x v="171"/>
    <n v="4228.1499999999996"/>
    <x v="171"/>
    <n v="0.52646884757133949"/>
  </r>
  <r>
    <s v="ORD-2023-286994"/>
    <x v="159"/>
    <d v="2023-03-09T00:00:00"/>
    <d v="2023-03-09T00:00:00"/>
    <n v="13"/>
    <s v="Q1-2023"/>
    <x v="2"/>
    <x v="10"/>
    <x v="39"/>
    <s v="Enterprise"/>
    <s v="Online"/>
    <x v="12"/>
    <s v="Components"/>
    <n v="8.8770033466141322E-4"/>
    <s v="CMP-1632"/>
    <n v="6.85"/>
    <n v="10.18"/>
    <s v="Profit"/>
    <n v="4.7E-2"/>
    <n v="10"/>
    <x v="172"/>
    <n v="68.5"/>
    <x v="172"/>
    <n v="0.2939265312517394"/>
  </r>
  <r>
    <s v="ORD-2025-700847"/>
    <x v="9"/>
    <d v="2025-05-19T00:00:00"/>
    <d v="2025-05-28T00:00:00"/>
    <n v="7"/>
    <s v="Q2-2025"/>
    <x v="0"/>
    <x v="11"/>
    <x v="20"/>
    <s v="Non-Profit"/>
    <s v="Distributor"/>
    <x v="7"/>
    <s v="Laptops"/>
    <n v="0.28874218209849506"/>
    <s v="LAP-7099"/>
    <n v="1263.8399999999999"/>
    <n v="2281.7199999999998"/>
    <s v="Profit"/>
    <n v="7.8E-2"/>
    <n v="15"/>
    <x v="173"/>
    <n v="18957.599999999999"/>
    <x v="173"/>
    <n v="0.39924301882398494"/>
  </r>
  <r>
    <s v="ORD-2024-970848"/>
    <x v="154"/>
    <d v="2024-06-03T00:00:00"/>
    <d v="2024-06-03T00:00:00"/>
    <n v="11"/>
    <s v="Q2-2024"/>
    <x v="0"/>
    <x v="11"/>
    <x v="20"/>
    <s v="Small Business"/>
    <s v="Distributor"/>
    <x v="9"/>
    <s v="Printers"/>
    <n v="1.7866806162813494E-2"/>
    <s v="PRN-3785"/>
    <n v="180.89"/>
    <n v="249.57"/>
    <s v="Profit"/>
    <n v="2.1999999999999999E-2"/>
    <n v="8"/>
    <x v="174"/>
    <n v="1447.12"/>
    <x v="174"/>
    <n v="0.25888888806948362"/>
  </r>
  <r>
    <s v="ORD-2025-845715"/>
    <x v="160"/>
    <d v="2025-05-04T00:00:00"/>
    <d v="2025-05-04T00:00:00"/>
    <n v="20"/>
    <s v="Q2-2025"/>
    <x v="3"/>
    <x v="8"/>
    <x v="12"/>
    <s v="Enterprise"/>
    <s v="Marketplace"/>
    <x v="11"/>
    <s v="Monitors"/>
    <n v="0.84835354441889221"/>
    <s v="MON-6962"/>
    <n v="1413.87"/>
    <n v="3275"/>
    <s v="Profit"/>
    <n v="0.255"/>
    <n v="38"/>
    <x v="175"/>
    <n v="53727.06"/>
    <x v="175"/>
    <n v="0.42051539525590453"/>
  </r>
  <r>
    <s v="ORD-2023-664749"/>
    <x v="161"/>
    <d v="2023-09-11T00:00:00"/>
    <d v="2023-09-11T00:00:00"/>
    <n v="15"/>
    <s v="Q3-2023"/>
    <x v="3"/>
    <x v="8"/>
    <x v="21"/>
    <s v="Consumer"/>
    <s v="Marketplace"/>
    <x v="13"/>
    <s v="Printers"/>
    <n v="0.14325822658803203"/>
    <s v="PRN-5107"/>
    <n v="943.79"/>
    <n v="1913.76"/>
    <s v="Profit"/>
    <n v="9.0999999999999998E-2"/>
    <n v="9"/>
    <x v="176"/>
    <n v="8494.11"/>
    <x v="176"/>
    <n v="0.45746967891338081"/>
  </r>
  <r>
    <s v="ORD-2024-960952"/>
    <x v="162"/>
    <d v="2024-02-21T00:00:00"/>
    <d v="2024-02-21T00:00:00"/>
    <n v="18"/>
    <s v="Q1-2024"/>
    <x v="3"/>
    <x v="6"/>
    <x v="37"/>
    <s v="Corporate"/>
    <s v="Retail"/>
    <x v="10"/>
    <s v="Components"/>
    <n v="2.9457174010056406E-3"/>
    <s v="CMP-9264"/>
    <n v="39.229999999999997"/>
    <n v="30.09"/>
    <s v="Loss"/>
    <n v="0.17699999999999999"/>
    <n v="13"/>
    <x v="177"/>
    <n v="509.98999999999995"/>
    <x v="177"/>
    <n v="-0.58414993981199359"/>
  </r>
  <r>
    <s v="ORD-2023-987700"/>
    <x v="163"/>
    <d v="2023-04-16T00:00:00"/>
    <d v="2023-04-16T00:00:00"/>
    <n v="11"/>
    <s v="Q2-2023"/>
    <x v="2"/>
    <x v="3"/>
    <x v="26"/>
    <s v="Non-Profit"/>
    <s v="Online"/>
    <x v="7"/>
    <s v="Monitors"/>
    <n v="6.4952418435945639E-2"/>
    <s v="MON-5259"/>
    <n v="213.1"/>
    <n v="501.31"/>
    <s v="Profit"/>
    <n v="5.6000000000000001E-2"/>
    <n v="15"/>
    <x v="178"/>
    <n v="3196.5"/>
    <x v="178"/>
    <n v="0.54969674368409005"/>
  </r>
  <r>
    <s v="ORD-2025-652467"/>
    <x v="164"/>
    <d v="2025-09-12T00:00:00"/>
    <d v="2025-09-12T00:00:00"/>
    <n v="22"/>
    <s v="Q3-2025"/>
    <x v="1"/>
    <x v="9"/>
    <x v="14"/>
    <s v="Education"/>
    <s v="Retail"/>
    <x v="5"/>
    <s v="Printers"/>
    <n v="4.0448884490389816E-2"/>
    <s v="PRN-8137"/>
    <n v="352.66"/>
    <n v="411.18"/>
    <s v="Profit"/>
    <n v="0.17299999999999999"/>
    <n v="13"/>
    <x v="179"/>
    <n v="4584.58"/>
    <x v="179"/>
    <n v="-3.7095408248758066E-2"/>
  </r>
  <r>
    <s v="ORD-2025-667201"/>
    <x v="165"/>
    <d v="2025-09-18T00:00:00"/>
    <d v="2025-09-18T00:00:00"/>
    <n v="3"/>
    <s v="Q3-2025"/>
    <x v="2"/>
    <x v="5"/>
    <x v="30"/>
    <s v="Non-Profit"/>
    <s v="Direct"/>
    <x v="4"/>
    <s v="Accessories"/>
    <n v="1.7073934872946381E-4"/>
    <s v="ACC-6777"/>
    <n v="5.5"/>
    <n v="5.92"/>
    <s v="Profit"/>
    <n v="0.21199999999999999"/>
    <n v="4"/>
    <x v="180"/>
    <n v="22"/>
    <x v="180"/>
    <n v="-0.17900260666758133"/>
  </r>
  <r>
    <s v="ORD-2024-237478"/>
    <x v="166"/>
    <d v="2024-10-11T00:00:00"/>
    <d v="2024-10-11T00:00:00"/>
    <n v="8"/>
    <s v="Q4-2024"/>
    <x v="1"/>
    <x v="9"/>
    <x v="38"/>
    <s v="Enterprise"/>
    <s v="Direct"/>
    <x v="5"/>
    <s v="Phones"/>
    <n v="0.37837706993674364"/>
    <s v="PHN-7488"/>
    <n v="1132.6099999999999"/>
    <n v="2206.63"/>
    <s v="Profit"/>
    <n v="6.3E-2"/>
    <n v="20"/>
    <x v="181"/>
    <n v="22652.199999999997"/>
    <x v="181"/>
    <n v="0.45221355351671338"/>
  </r>
  <r>
    <s v="ORD-2025-898843"/>
    <x v="167"/>
    <d v="2025-03-04T00:00:00"/>
    <d v="2025-03-04T00:00:00"/>
    <n v="30"/>
    <s v="Q1-2025"/>
    <x v="1"/>
    <x v="2"/>
    <x v="4"/>
    <s v="Education"/>
    <s v="Distributor"/>
    <x v="4"/>
    <s v="Accessories"/>
    <n v="7.0359269400159269E-2"/>
    <s v="ACC-9591"/>
    <n v="766.59"/>
    <n v="1912.8"/>
    <s v="Profit"/>
    <n v="0.19600000000000001"/>
    <n v="5"/>
    <x v="182"/>
    <n v="3832.9500000000003"/>
    <x v="182"/>
    <n v="0.50153170783472845"/>
  </r>
  <r>
    <s v="ORD-2023-334213"/>
    <x v="66"/>
    <d v="2023-08-23T00:00:00"/>
    <d v="2023-08-23T00:00:00"/>
    <n v="4"/>
    <s v="Q3-2023"/>
    <x v="0"/>
    <x v="1"/>
    <x v="7"/>
    <s v="Small Business"/>
    <s v="Online"/>
    <x v="1"/>
    <s v="Monitors"/>
    <n v="7.9595568055890242E-2"/>
    <s v="MON-5517"/>
    <n v="790.63"/>
    <n v="1382.31"/>
    <s v="Profit"/>
    <n v="0.10100000000000001"/>
    <n v="7"/>
    <x v="183"/>
    <n v="5534.41"/>
    <x v="183"/>
    <n v="0.36377878338116448"/>
  </r>
  <r>
    <s v="ORD-2024-640340"/>
    <x v="168"/>
    <d v="2024-10-29T00:00:00"/>
    <d v="2024-10-29T00:00:00"/>
    <n v="7"/>
    <s v="Q4-2024"/>
    <x v="0"/>
    <x v="1"/>
    <x v="1"/>
    <s v="Enterprise"/>
    <s v="Distributor"/>
    <x v="12"/>
    <s v="Monitors"/>
    <n v="0.2416416069460029"/>
    <s v="MON-8758"/>
    <n v="1023.06"/>
    <n v="1355.61"/>
    <s v="Profit"/>
    <n v="0.153"/>
    <n v="23"/>
    <x v="184"/>
    <n v="23530.379999999997"/>
    <x v="184"/>
    <n v="0.10898927711888809"/>
  </r>
  <r>
    <s v="ORD-2023-399631"/>
    <x v="169"/>
    <d v="2023-07-21T00:00:00"/>
    <d v="2023-07-21T00:00:00"/>
    <n v="29"/>
    <s v="Q2-2023"/>
    <x v="3"/>
    <x v="7"/>
    <x v="17"/>
    <s v="Corporate"/>
    <s v="Retail"/>
    <x v="1"/>
    <s v="Accessories"/>
    <n v="9.5055143694781075E-2"/>
    <s v="ACC-3385"/>
    <n v="734.34"/>
    <n v="887.9"/>
    <s v="Profit"/>
    <n v="2.5000000000000001E-2"/>
    <n v="12"/>
    <x v="185"/>
    <n v="8812.08"/>
    <x v="185"/>
    <n v="0.15174092716608753"/>
  </r>
  <r>
    <s v="ORD-2025-542939"/>
    <x v="170"/>
    <d v="2025-02-08T00:00:00"/>
    <d v="2025-02-08T00:00:00"/>
    <n v="26"/>
    <s v="Q1-2025"/>
    <x v="3"/>
    <x v="7"/>
    <x v="28"/>
    <s v="Non-Profit"/>
    <s v="not provided"/>
    <x v="6"/>
    <s v="Monitors"/>
    <n v="4.421277951343839E-2"/>
    <s v="MON-1593"/>
    <n v="594.74"/>
    <n v="1020.69"/>
    <s v="Profit"/>
    <n v="0.21099999999999999"/>
    <n v="6"/>
    <x v="186"/>
    <n v="3568.44"/>
    <x v="186"/>
    <n v="0.26149016146176424"/>
  </r>
  <r>
    <s v="ORD-2023-521818"/>
    <x v="171"/>
    <d v="2023-02-28T00:00:00"/>
    <d v="2023-02-28T00:00:00"/>
    <n v="30"/>
    <s v="Q1-2023"/>
    <x v="1"/>
    <x v="4"/>
    <x v="6"/>
    <s v="Non-Profit"/>
    <s v="Retail"/>
    <x v="5"/>
    <s v="Accessories"/>
    <n v="0.24485008247119586"/>
    <s v="ACC-4631"/>
    <n v="1262.0999999999999"/>
    <n v="1395.53"/>
    <s v="Profit"/>
    <n v="0.23300000000000001"/>
    <n v="25"/>
    <x v="187"/>
    <n v="31552.499999999996"/>
    <x v="187"/>
    <n v="-0.17912331205452198"/>
  </r>
  <r>
    <s v="ORD-2023-825836"/>
    <x v="172"/>
    <d v="2023-07-31T00:00:00"/>
    <d v="2023-07-31T00:00:00"/>
    <n v="12"/>
    <s v="Q3-2023"/>
    <x v="2"/>
    <x v="5"/>
    <x v="30"/>
    <s v="Corporate"/>
    <s v="Retail"/>
    <x v="0"/>
    <s v="Monitors"/>
    <n v="0.25686326706595897"/>
    <s v="MON-7869"/>
    <n v="1334.64"/>
    <n v="2273.42"/>
    <s v="Profit"/>
    <n v="0.11799999999999999"/>
    <n v="14"/>
    <x v="188"/>
    <n v="18684.960000000003"/>
    <x v="188"/>
    <n v="0.33439607335575267"/>
  </r>
  <r>
    <s v="ORD-2024-503082"/>
    <x v="173"/>
    <d v="2024-06-08T00:00:00"/>
    <d v="2024-06-08T00:00:00"/>
    <n v="20"/>
    <s v="Q2-2024"/>
    <x v="2"/>
    <x v="5"/>
    <x v="10"/>
    <s v="Small Business"/>
    <s v="Retail"/>
    <x v="6"/>
    <s v="Monitors"/>
    <n v="7.860582556335334E-2"/>
    <s v="MON-4271"/>
    <n v="1075.9000000000001"/>
    <n v="1242.1500000000001"/>
    <s v="Profit"/>
    <n v="1.2E-2"/>
    <n v="7"/>
    <x v="189"/>
    <n v="7531.3000000000011"/>
    <x v="189"/>
    <n v="0.12332036280961853"/>
  </r>
  <r>
    <s v="ORD-2024-760799"/>
    <x v="162"/>
    <d v="2024-02-19T00:00:00"/>
    <d v="2024-02-19T00:00:00"/>
    <n v="16"/>
    <s v="Q1-2024"/>
    <x v="1"/>
    <x v="9"/>
    <x v="14"/>
    <s v="Small Business"/>
    <s v="Online"/>
    <x v="10"/>
    <s v="Laptops"/>
    <n v="0.17882012297506117"/>
    <s v="LAP-5531"/>
    <n v="993.75"/>
    <n v="1310.29"/>
    <s v="Profit"/>
    <n v="0.215"/>
    <n v="19"/>
    <x v="190"/>
    <n v="18881.25"/>
    <x v="190"/>
    <n v="3.3860010471742245E-2"/>
  </r>
  <r>
    <s v="ORD-2023-197661"/>
    <x v="174"/>
    <d v="2023-08-22T00:00:00"/>
    <d v="2023-08-22T00:00:00"/>
    <n v="14"/>
    <s v="Q3-2023"/>
    <x v="3"/>
    <x v="8"/>
    <x v="12"/>
    <s v="Non-Profit"/>
    <s v="Direct"/>
    <x v="13"/>
    <s v="Monitors"/>
    <n v="8.0184909068388557E-2"/>
    <s v="MON-7511"/>
    <n v="446.69"/>
    <n v="967.25"/>
    <s v="Profit"/>
    <n v="9.4E-2"/>
    <n v="10"/>
    <x v="191"/>
    <n v="4466.8999999999996"/>
    <x v="191"/>
    <n v="0.49027105702941309"/>
  </r>
  <r>
    <s v="ORD-2024-212990"/>
    <x v="175"/>
    <d v="2024-09-03T00:00:00"/>
    <d v="2024-09-03T00:00:00"/>
    <n v="22"/>
    <s v="Q3-2024"/>
    <x v="2"/>
    <x v="10"/>
    <x v="36"/>
    <s v="Consumer"/>
    <s v="Distributor"/>
    <x v="2"/>
    <s v="Laptops"/>
    <n v="0.22302991104723963"/>
    <s v="LAP-7979"/>
    <n v="797.8"/>
    <n v="886.22"/>
    <s v="Profit"/>
    <n v="0.23599999999999999"/>
    <n v="36"/>
    <x v="192"/>
    <n v="28720.799999999999"/>
    <x v="192"/>
    <n v="-0.17830881462428633"/>
  </r>
  <r>
    <s v="ORD-2023-925146"/>
    <x v="176"/>
    <d v="2023-11-13T00:00:00"/>
    <d v="2023-11-13T00:00:00"/>
    <n v="29"/>
    <s v="Q4-2023"/>
    <x v="1"/>
    <x v="9"/>
    <x v="14"/>
    <s v="Non-Profit"/>
    <s v="Distributor"/>
    <x v="1"/>
    <s v="Printers"/>
    <n v="4.0279793440160243E-2"/>
    <s v="PRN-4983"/>
    <n v="986.44"/>
    <n v="790.61"/>
    <s v="Loss"/>
    <n v="7.1999999999999995E-2"/>
    <n v="6"/>
    <x v="193"/>
    <n v="5918.64"/>
    <x v="193"/>
    <n v="-0.34449872621271499"/>
  </r>
  <r>
    <s v="ORD-2023-177794"/>
    <x v="177"/>
    <d v="2023-05-26T00:00:00"/>
    <d v="2023-05-26T00:00:00"/>
    <n v="22"/>
    <s v="Q2-2023"/>
    <x v="2"/>
    <x v="10"/>
    <x v="24"/>
    <s v="Enterprise"/>
    <s v="Online"/>
    <x v="1"/>
    <s v="Networking"/>
    <n v="3.5945056430516417E-2"/>
    <s v="NET-5941"/>
    <n v="249.71"/>
    <n v="361.33"/>
    <s v="Profit"/>
    <n v="9.4E-2"/>
    <n v="12"/>
    <x v="194"/>
    <n v="2996.52"/>
    <x v="194"/>
    <n v="0.23721223937881206"/>
  </r>
  <r>
    <s v="ORD-2024-444710"/>
    <x v="178"/>
    <d v="2024-10-01T00:00:00"/>
    <d v="2024-10-01T00:00:00"/>
    <n v="9"/>
    <s v="Q3-2024"/>
    <x v="2"/>
    <x v="5"/>
    <x v="8"/>
    <s v="Non-Profit"/>
    <s v="Online"/>
    <x v="11"/>
    <s v="Monitors"/>
    <n v="0.28540660165883686"/>
    <s v="MON-6341"/>
    <n v="1378.8"/>
    <n v="1952.04"/>
    <s v="Profit"/>
    <n v="0.159"/>
    <n v="19"/>
    <x v="195"/>
    <n v="26197.200000000001"/>
    <x v="195"/>
    <n v="0.16012130216723058"/>
  </r>
  <r>
    <s v="ORD-2024-668926"/>
    <x v="1"/>
    <d v="2024-11-14T00:00:00"/>
    <d v="2024-11-14T00:00:00"/>
    <n v="22"/>
    <s v="Q4-2024"/>
    <x v="1"/>
    <x v="2"/>
    <x v="4"/>
    <s v="Non-Profit"/>
    <s v="Direct"/>
    <x v="5"/>
    <s v="Phones"/>
    <n v="0.198371816771726"/>
    <s v="PHN-9789"/>
    <n v="1406.4"/>
    <n v="1564.76"/>
    <s v="Profit"/>
    <n v="0.185"/>
    <n v="17"/>
    <x v="196"/>
    <n v="23908.800000000003"/>
    <x v="196"/>
    <n v="-0.10281715520536151"/>
  </r>
  <r>
    <s v="ORD-2024-968374"/>
    <x v="179"/>
    <d v="2024-03-03T00:00:00"/>
    <d v="2024-03-03T00:00:00"/>
    <n v="21"/>
    <s v="Q1-2024"/>
    <x v="0"/>
    <x v="0"/>
    <x v="0"/>
    <s v="Enterprise"/>
    <s v="Online"/>
    <x v="5"/>
    <s v="Phones"/>
    <n v="0.1036417452842171"/>
    <s v="PHN-5082"/>
    <n v="516.86"/>
    <n v="852.54"/>
    <s v="Profit"/>
    <n v="5.0999999999999997E-2"/>
    <n v="14"/>
    <x v="197"/>
    <n v="7236.04"/>
    <x v="197"/>
    <n v="0.36116022775355994"/>
  </r>
  <r>
    <s v="ORD-2023-575584"/>
    <x v="180"/>
    <d v="2023-02-21T00:00:00"/>
    <d v="2023-02-21T00:00:00"/>
    <n v="22"/>
    <s v="Q1-2023"/>
    <x v="3"/>
    <x v="6"/>
    <x v="22"/>
    <s v="Small Business"/>
    <s v="Marketplace"/>
    <x v="3"/>
    <s v="Networking"/>
    <n v="7.6396196236850802E-2"/>
    <s v="NET-3460"/>
    <n v="1142.8800000000001"/>
    <n v="1465.29"/>
    <s v="Profit"/>
    <n v="0.186"/>
    <n v="7"/>
    <x v="198"/>
    <n v="8000.1600000000008"/>
    <x v="198"/>
    <n v="4.1807775915017401E-2"/>
  </r>
  <r>
    <s v="ORD-2023-701153"/>
    <x v="27"/>
    <d v="2023-05-13T00:00:00"/>
    <d v="2023-05-13T00:00:00"/>
    <n v="29"/>
    <s v="Q2-2023"/>
    <x v="3"/>
    <x v="6"/>
    <x v="37"/>
    <s v="Consumer"/>
    <s v="Direct"/>
    <x v="1"/>
    <s v="Printers"/>
    <n v="0.51131185487991249"/>
    <s v="PRN-7019"/>
    <n v="1320.33"/>
    <n v="2645.23"/>
    <s v="Profit"/>
    <n v="0.155"/>
    <n v="25"/>
    <x v="199"/>
    <n v="33008.25"/>
    <x v="199"/>
    <n v="0.40930629470436536"/>
  </r>
  <r>
    <s v="ORD-2023-382017"/>
    <x v="181"/>
    <d v="2023-01-19T00:00:00"/>
    <d v="2023-01-19T00:00:00"/>
    <n v="6"/>
    <s v="Q1-2023"/>
    <x v="2"/>
    <x v="10"/>
    <x v="15"/>
    <s v="Corporate"/>
    <s v="Direct"/>
    <x v="10"/>
    <s v="Phones"/>
    <n v="0.13691994166783975"/>
    <s v="PHN-3159"/>
    <n v="833.57"/>
    <n v="881.57"/>
    <s v="Profit"/>
    <n v="5.7000000000000002E-2"/>
    <n v="18"/>
    <x v="200"/>
    <n v="15004.26"/>
    <x v="200"/>
    <n v="-2.7059238560107821E-3"/>
  </r>
  <r>
    <s v="ORD-2024-999607"/>
    <x v="182"/>
    <d v="2024-01-29T00:00:00"/>
    <d v="2024-01-29T00:00:00"/>
    <n v="17"/>
    <s v="Q1-2024"/>
    <x v="2"/>
    <x v="10"/>
    <x v="15"/>
    <s v="Education"/>
    <s v="Distributor"/>
    <x v="8"/>
    <s v="Printers"/>
    <n v="4.2436291263568793E-2"/>
    <s v="PRN-8604"/>
    <n v="493.76"/>
    <n v="625.04"/>
    <s v="Profit"/>
    <n v="0.25800000000000001"/>
    <n v="10"/>
    <x v="201"/>
    <n v="4937.6000000000004"/>
    <x v="201"/>
    <n v="-6.464345311549663E-2"/>
  </r>
  <r>
    <s v="ORD-2023-133848"/>
    <x v="183"/>
    <d v="2023-09-07T00:00:00"/>
    <d v="2023-09-07T00:00:00"/>
    <n v="23"/>
    <s v="Q3-2023"/>
    <x v="2"/>
    <x v="10"/>
    <x v="39"/>
    <s v="Enterprise"/>
    <s v="Online"/>
    <x v="11"/>
    <s v="Phones"/>
    <n v="0.23148867370141732"/>
    <s v="PHN-2013"/>
    <n v="590.33000000000004"/>
    <n v="973.04"/>
    <s v="Profit"/>
    <n v="0"/>
    <n v="26"/>
    <x v="202"/>
    <n v="15348.580000000002"/>
    <x v="202"/>
    <n v="0.39331373838691108"/>
  </r>
  <r>
    <s v="ORD-2023-586275"/>
    <x v="184"/>
    <d v="2023-02-03T00:00:00"/>
    <d v="2023-02-03T00:00:00"/>
    <n v="14"/>
    <s v="Q1-2023"/>
    <x v="0"/>
    <x v="0"/>
    <x v="0"/>
    <s v="Corporate"/>
    <s v="Retail"/>
    <x v="12"/>
    <s v="Networking"/>
    <n v="0.43886352524482553"/>
    <s v="NET-6036"/>
    <n v="884.36"/>
    <n v="1545.34"/>
    <s v="Profit"/>
    <n v="0.24299999999999999"/>
    <n v="41"/>
    <x v="203"/>
    <n v="36258.76"/>
    <x v="203"/>
    <n v="0.24402198562827965"/>
  </r>
  <r>
    <s v="ORD-2025-964661"/>
    <x v="185"/>
    <d v="2025-02-25T00:00:00"/>
    <d v="2025-02-25T00:00:00"/>
    <n v="21"/>
    <s v="Q1-2025"/>
    <x v="3"/>
    <x v="8"/>
    <x v="12"/>
    <s v="Corporate"/>
    <s v="Marketplace"/>
    <x v="14"/>
    <s v="Monitors"/>
    <n v="0.2338195950686702"/>
    <s v="MON-4959"/>
    <n v="1016.32"/>
    <n v="2253.42"/>
    <s v="Profit"/>
    <n v="5.5E-2"/>
    <n v="12"/>
    <x v="204"/>
    <n v="12195.84"/>
    <x v="204"/>
    <n v="0.52273837124419797"/>
  </r>
  <r>
    <s v="ORD-2023-390998"/>
    <x v="43"/>
    <d v="2023-04-28T00:00:00"/>
    <d v="2023-04-28T00:00:00"/>
    <n v="9"/>
    <s v="Q2-2023"/>
    <x v="3"/>
    <x v="6"/>
    <x v="9"/>
    <s v="Education"/>
    <s v="Online"/>
    <x v="6"/>
    <s v="Monitors"/>
    <n v="0.23910766093574953"/>
    <s v="MON-1663"/>
    <n v="1178.42"/>
    <n v="2446.56"/>
    <s v="Profit"/>
    <n v="2.9000000000000001E-2"/>
    <n v="11"/>
    <x v="205"/>
    <n v="12962.62"/>
    <x v="205"/>
    <n v="0.5039505141618883"/>
  </r>
  <r>
    <s v="ORD-2023-920483"/>
    <x v="186"/>
    <d v="2023-08-01T00:00:00"/>
    <d v="2023-08-01T00:00:00"/>
    <n v="30"/>
    <s v="Q3-2023"/>
    <x v="3"/>
    <x v="8"/>
    <x v="12"/>
    <s v="Small Business"/>
    <s v="Retail"/>
    <x v="5"/>
    <s v="Components"/>
    <n v="6.1327155436744996E-2"/>
    <s v="CMP-7256"/>
    <n v="137.46"/>
    <n v="188.3"/>
    <s v="Profit"/>
    <n v="3.7999999999999999E-2"/>
    <n v="37"/>
    <x v="206"/>
    <n v="5086.0200000000004"/>
    <x v="206"/>
    <n v="0.24115872071262398"/>
  </r>
  <r>
    <s v="ORD-2025-146850"/>
    <x v="51"/>
    <d v="2025-02-14T00:00:00"/>
    <d v="2025-02-14T00:00:00"/>
    <n v="24"/>
    <s v="Q1-2025"/>
    <x v="0"/>
    <x v="0"/>
    <x v="2"/>
    <s v="Small Business"/>
    <s v="Retail"/>
    <x v="1"/>
    <s v="Accessories"/>
    <n v="0.25973480252487929"/>
    <s v="ACC-1659"/>
    <n v="1030.44"/>
    <n v="2562.84"/>
    <s v="Profit"/>
    <n v="0.14799999999999999"/>
    <n v="13"/>
    <x v="207"/>
    <n v="13395.720000000001"/>
    <x v="207"/>
    <n v="0.52808734852027039"/>
  </r>
  <r>
    <s v="ORD-2024-687100"/>
    <x v="187"/>
    <d v="2024-10-07T00:00:00"/>
    <d v="2024-10-07T00:00:00"/>
    <n v="27"/>
    <s v="Q3-2024"/>
    <x v="0"/>
    <x v="0"/>
    <x v="0"/>
    <s v="Consumer"/>
    <s v="Retail"/>
    <x v="4"/>
    <s v="Printers"/>
    <n v="0.14480394161029606"/>
    <s v="PRN-6068"/>
    <n v="1248.3900000000001"/>
    <n v="1805.11"/>
    <s v="Profit"/>
    <n v="0.20300000000000001"/>
    <n v="11"/>
    <x v="208"/>
    <n v="13732.29"/>
    <x v="208"/>
    <n v="0.13226265707820786"/>
  </r>
  <r>
    <s v="ORD-2025-629393"/>
    <x v="188"/>
    <d v="2025-08-07T00:00:00"/>
    <d v="2025-08-07T00:00:00"/>
    <n v="17"/>
    <s v="Q3-2025"/>
    <x v="0"/>
    <x v="1"/>
    <x v="3"/>
    <s v="Enterprise"/>
    <s v="Direct"/>
    <x v="12"/>
    <s v="Accessories"/>
    <n v="0.16331008473341185"/>
    <s v="ACC-8999"/>
    <n v="1204.95"/>
    <n v="2065.73"/>
    <s v="Profit"/>
    <n v="0.13600000000000001"/>
    <n v="10"/>
    <x v="209"/>
    <n v="12049.5"/>
    <x v="209"/>
    <n v="0.32487882949100039"/>
  </r>
  <r>
    <s v="ORD-2024-686712"/>
    <x v="189"/>
    <d v="2024-10-23T00:00:00"/>
    <d v="2024-10-23T00:00:00"/>
    <n v="21"/>
    <s v="Q4-2024"/>
    <x v="0"/>
    <x v="11"/>
    <x v="25"/>
    <s v="Corporate"/>
    <s v="Marketplace"/>
    <x v="8"/>
    <s v="Components"/>
    <n v="0.16526177410238133"/>
    <s v="CMP-3978"/>
    <n v="1095.6099999999999"/>
    <n v="2366.5100000000002"/>
    <s v="Profit"/>
    <n v="0.152"/>
    <n v="9"/>
    <x v="210"/>
    <n v="9860.49"/>
    <x v="210"/>
    <n v="0.4540513564158607"/>
  </r>
  <r>
    <s v="ORD-2025-586799"/>
    <x v="190"/>
    <d v="2025-08-04T00:00:00"/>
    <d v="2025-08-04T00:00:00"/>
    <n v="21"/>
    <s v="Q3-2025"/>
    <x v="2"/>
    <x v="3"/>
    <x v="19"/>
    <s v="Consumer"/>
    <s v="Online"/>
    <x v="10"/>
    <s v="Monitors"/>
    <n v="1.623965829548181E-2"/>
    <s v="MON-7868"/>
    <n v="90.3"/>
    <n v="131.76"/>
    <s v="Profit"/>
    <n v="0.10199999999999999"/>
    <n v="15"/>
    <x v="211"/>
    <n v="1354.5"/>
    <x v="211"/>
    <n v="0.23681851189244668"/>
  </r>
  <r>
    <s v="ORD-2024-988736"/>
    <x v="191"/>
    <d v="2024-10-01T00:00:00"/>
    <d v="2024-10-01T00:00:00"/>
    <n v="22"/>
    <s v="Q3-2024"/>
    <x v="1"/>
    <x v="9"/>
    <x v="14"/>
    <s v="Consumer"/>
    <s v="Direct"/>
    <x v="4"/>
    <s v="Printers"/>
    <n v="6.3911824004016737E-2"/>
    <s v="PRN-3014"/>
    <n v="1166.18"/>
    <n v="1335.02"/>
    <s v="Profit"/>
    <n v="0.128"/>
    <n v="6"/>
    <x v="212"/>
    <n v="6997.08"/>
    <x v="212"/>
    <n v="-1.7545694604582242E-3"/>
  </r>
  <r>
    <s v="ORD-2025-564184"/>
    <x v="192"/>
    <d v="2025-02-06T00:00:00"/>
    <d v="2025-02-06T00:00:00"/>
    <n v="8"/>
    <s v="Q1-2025"/>
    <x v="0"/>
    <x v="0"/>
    <x v="0"/>
    <s v="Education"/>
    <s v="Retail"/>
    <x v="5"/>
    <s v="Phones"/>
    <n v="0.22164326067325543"/>
    <s v="PHN-1671"/>
    <n v="1445.27"/>
    <n v="2691.45"/>
    <s v="Profit"/>
    <n v="0"/>
    <n v="9"/>
    <x v="213"/>
    <n v="13007.43"/>
    <x v="213"/>
    <n v="0.46301436028906351"/>
  </r>
  <r>
    <s v="ORD-2023-653343"/>
    <x v="193"/>
    <d v="2023-11-28T00:00:00"/>
    <d v="2023-11-28T00:00:00"/>
    <n v="18"/>
    <s v="Q4-2023"/>
    <x v="2"/>
    <x v="5"/>
    <x v="10"/>
    <s v="Education"/>
    <s v="Marketplace"/>
    <x v="4"/>
    <s v="Accessories"/>
    <n v="7.1870987693982077E-2"/>
    <s v="ACC-5260"/>
    <n v="388.51"/>
    <n v="776.46"/>
    <s v="Profit"/>
    <n v="0.157"/>
    <n v="12"/>
    <x v="214"/>
    <n v="4662.12"/>
    <x v="214"/>
    <n v="0.40645241876864946"/>
  </r>
  <r>
    <s v="ORD-2024-197852"/>
    <x v="194"/>
    <d v="2024-03-30T00:00:00"/>
    <d v="2024-03-30T00:00:00"/>
    <n v="30"/>
    <s v="Q1-2024"/>
    <x v="1"/>
    <x v="2"/>
    <x v="32"/>
    <s v="Small Business"/>
    <s v="Direct"/>
    <x v="2"/>
    <s v="Networking"/>
    <n v="0.13956707044524783"/>
    <s v="NET-7588"/>
    <n v="231.11"/>
    <n v="318.17"/>
    <s v="Profit"/>
    <n v="0.20100000000000001"/>
    <n v="60"/>
    <x v="215"/>
    <n v="13866.6"/>
    <x v="215"/>
    <n v="9.0897754889969692E-2"/>
  </r>
  <r>
    <s v="ORD-2023-431328"/>
    <x v="195"/>
    <d v="2024-01-14T00:00:00"/>
    <d v="2024-01-14T00:00:00"/>
    <n v="25"/>
    <s v="Q4-2023"/>
    <x v="1"/>
    <x v="4"/>
    <x v="29"/>
    <s v="Non-Profit"/>
    <s v="Marketplace"/>
    <x v="4"/>
    <s v="Monitors"/>
    <n v="7.0812232972746469E-2"/>
    <s v="MON-1572"/>
    <n v="1085.6099999999999"/>
    <n v="1246.4100000000001"/>
    <s v="Profit"/>
    <n v="0.113"/>
    <n v="7"/>
    <x v="216"/>
    <n v="7599.2699999999995"/>
    <x v="216"/>
    <n v="1.8050189637310417E-2"/>
  </r>
  <r>
    <s v="ORD-2023-613317"/>
    <x v="119"/>
    <d v="2023-01-21T00:00:00"/>
    <d v="2023-01-29T00:00:00"/>
    <n v="7"/>
    <s v="Q1-2023"/>
    <x v="3"/>
    <x v="6"/>
    <x v="22"/>
    <s v="Corporate"/>
    <s v="Direct"/>
    <x v="9"/>
    <s v="Monitors"/>
    <n v="2.0419784283629665E-2"/>
    <s v="MON-2537"/>
    <n v="150.86000000000001"/>
    <n v="346.96"/>
    <s v="Profit"/>
    <n v="0.19600000000000001"/>
    <n v="8"/>
    <x v="217"/>
    <n v="1206.8800000000001"/>
    <x v="217"/>
    <n v="0.45919755614365343"/>
  </r>
  <r>
    <s v="ORD-2024-720756"/>
    <x v="196"/>
    <d v="2024-11-09T00:00:00"/>
    <d v="2024-11-09T00:00:00"/>
    <n v="29"/>
    <s v="Q4-2024"/>
    <x v="1"/>
    <x v="9"/>
    <x v="23"/>
    <s v="Non-Profit"/>
    <s v="Online"/>
    <x v="9"/>
    <s v="Printers"/>
    <n v="5.9801672102779577E-2"/>
    <s v="PRN-5666"/>
    <n v="391.64"/>
    <n v="504.76"/>
    <s v="Profit"/>
    <n v="4.0000000000000001E-3"/>
    <n v="13"/>
    <x v="218"/>
    <n v="5091.32"/>
    <x v="218"/>
    <n v="0.22099046793402319"/>
  </r>
  <r>
    <s v="ORD-2024-777623"/>
    <x v="197"/>
    <d v="2024-10-14T00:00:00"/>
    <d v="2024-10-14T00:00:00"/>
    <n v="25"/>
    <s v="Q3-2024"/>
    <x v="2"/>
    <x v="5"/>
    <x v="30"/>
    <s v="Small Business"/>
    <s v="Retail"/>
    <x v="11"/>
    <s v="Printers"/>
    <n v="0.25814182002227926"/>
    <s v="PRN-2749"/>
    <n v="386.96"/>
    <n v="937.46"/>
    <s v="Profit"/>
    <n v="0.26600000000000001"/>
    <n v="41"/>
    <x v="219"/>
    <n v="15865.359999999999"/>
    <x v="219"/>
    <n v="0.43763631462626335"/>
  </r>
  <r>
    <s v="ORD-2025-762212"/>
    <x v="198"/>
    <d v="2025-09-24T00:00:00"/>
    <d v="2025-09-24T00:00:00"/>
    <n v="30"/>
    <s v="Q3-2025"/>
    <x v="0"/>
    <x v="0"/>
    <x v="2"/>
    <s v="Consumer"/>
    <s v="Direct"/>
    <x v="5"/>
    <s v="Components"/>
    <n v="0.12370500463364284"/>
    <s v="CMP-4970"/>
    <n v="589.14"/>
    <n v="1300.58"/>
    <s v="Profit"/>
    <n v="5.5E-2"/>
    <n v="11"/>
    <x v="220"/>
    <n v="6480.54"/>
    <x v="220"/>
    <n v="0.52065342275863724"/>
  </r>
  <r>
    <s v="ORD-2023-271918"/>
    <x v="199"/>
    <d v="2023-10-02T00:00:00"/>
    <d v="2023-10-02T00:00:00"/>
    <n v="7"/>
    <s v="Q3-2023"/>
    <x v="2"/>
    <x v="10"/>
    <x v="39"/>
    <s v="Education"/>
    <s v="Marketplace"/>
    <x v="2"/>
    <s v="Accessories"/>
    <n v="8.3086267621938961E-3"/>
    <s v="ACC-3551"/>
    <n v="145.58000000000001"/>
    <n v="228.15"/>
    <s v="Profit"/>
    <n v="0.20399999999999999"/>
    <n v="5"/>
    <x v="221"/>
    <n v="727.90000000000009"/>
    <x v="221"/>
    <n v="0.19838068272548359"/>
  </r>
  <r>
    <s v="ORD-2023-713375"/>
    <x v="200"/>
    <d v="2023-09-10T00:00:00"/>
    <d v="2023-09-10T00:00:00"/>
    <n v="15"/>
    <s v="Q3-2023"/>
    <x v="0"/>
    <x v="11"/>
    <x v="33"/>
    <s v="Non-Profit"/>
    <s v="Direct"/>
    <x v="13"/>
    <s v="Components"/>
    <n v="4.1206880550988707E-2"/>
    <s v="CMP-7063"/>
    <n v="241.14"/>
    <n v="496.52"/>
    <s v="Profit"/>
    <n v="9.2999999999999999E-2"/>
    <n v="10"/>
    <x v="222"/>
    <n v="2411.3999999999996"/>
    <x v="222"/>
    <n v="0.46454223268257994"/>
  </r>
  <r>
    <s v="ORD-2025-678688"/>
    <x v="201"/>
    <d v="2025-07-17T00:00:00"/>
    <d v="2025-07-17T00:00:00"/>
    <n v="1"/>
    <s v="Q3-2025"/>
    <x v="0"/>
    <x v="11"/>
    <x v="25"/>
    <s v="Small Business"/>
    <s v="Distributor"/>
    <x v="5"/>
    <s v="Networking"/>
    <n v="0.61295376417349035"/>
    <s v="NET-1612"/>
    <n v="1198.9000000000001"/>
    <n v="2941.2"/>
    <s v="Profit"/>
    <n v="5.0999999999999997E-2"/>
    <n v="24"/>
    <x v="223"/>
    <n v="28773.600000000002"/>
    <x v="223"/>
    <n v="0.57047129713583977"/>
  </r>
  <r>
    <s v="ORD-2023-501220"/>
    <x v="43"/>
    <d v="2023-05-07T00:00:00"/>
    <d v="2023-05-07T00:00:00"/>
    <n v="18"/>
    <s v="Q2-2023"/>
    <x v="3"/>
    <x v="8"/>
    <x v="12"/>
    <s v="Enterprise"/>
    <s v="Retail"/>
    <x v="13"/>
    <s v="Laptops"/>
    <n v="0.14173982689327319"/>
    <s v="LAP-9766"/>
    <n v="1089.1500000000001"/>
    <n v="1088.2"/>
    <s v="Loss"/>
    <n v="5.0999999999999997E-2"/>
    <n v="15"/>
    <x v="224"/>
    <n v="16337.250000000002"/>
    <x v="224"/>
    <n v="-5.4660696824582002E-2"/>
  </r>
  <r>
    <s v="ORD-2023-195665"/>
    <x v="202"/>
    <d v="2023-12-20T00:00:00"/>
    <d v="2023-12-20T00:00:00"/>
    <n v="1"/>
    <s v="Q4-2023"/>
    <x v="2"/>
    <x v="5"/>
    <x v="30"/>
    <s v="Consumer"/>
    <s v="Distributor"/>
    <x v="1"/>
    <s v="Phones"/>
    <n v="0.1974009887195026"/>
    <s v="PHN-7274"/>
    <n v="1080.43"/>
    <n v="2529.15"/>
    <s v="Profit"/>
    <n v="0.14699999999999999"/>
    <n v="10"/>
    <x v="225"/>
    <n v="10804.300000000001"/>
    <x v="225"/>
    <n v="0.49918997247081437"/>
  </r>
  <r>
    <s v="ORD-2023-290237"/>
    <x v="203"/>
    <d v="2023-08-07T00:00:00"/>
    <d v="2023-08-07T00:00:00"/>
    <n v="8"/>
    <s v="Q3-2023"/>
    <x v="1"/>
    <x v="2"/>
    <x v="32"/>
    <s v="Education"/>
    <s v="Marketplace"/>
    <x v="8"/>
    <s v="Networking"/>
    <n v="0.27888964453019244"/>
    <s v="NET-1645"/>
    <n v="1352.44"/>
    <n v="2698.01"/>
    <s v="Profit"/>
    <n v="0.13100000000000001"/>
    <n v="13"/>
    <x v="226"/>
    <n v="17581.72"/>
    <x v="226"/>
    <n v="0.42316091992090887"/>
  </r>
  <r>
    <s v="ORD-2023-302041"/>
    <x v="204"/>
    <d v="2023-10-29T00:00:00"/>
    <d v="2023-10-29T00:00:00"/>
    <n v="25"/>
    <s v="Q4-2023"/>
    <x v="2"/>
    <x v="10"/>
    <x v="24"/>
    <s v="Small Business"/>
    <s v="Distributor"/>
    <x v="7"/>
    <s v="Accessories"/>
    <n v="5.0633188019531893E-2"/>
    <s v="ACC-5079"/>
    <n v="1239.8399999999999"/>
    <n v="1482.75"/>
    <s v="Profit"/>
    <n v="6.7000000000000004E-2"/>
    <n v="4"/>
    <x v="227"/>
    <n v="4959.3599999999997"/>
    <x v="227"/>
    <n v="0.10377703721413634"/>
  </r>
  <r>
    <s v="ORD-2025-289139"/>
    <x v="205"/>
    <d v="2025-08-30T00:00:00"/>
    <d v="2025-08-30T00:00:00"/>
    <n v="20"/>
    <s v="Q3-2025"/>
    <x v="2"/>
    <x v="10"/>
    <x v="24"/>
    <s v="Corporate"/>
    <s v="Marketplace"/>
    <x v="11"/>
    <s v="Printers"/>
    <n v="0.15197479441881187"/>
    <s v="PRN-2098"/>
    <n v="933.29"/>
    <n v="1456.81"/>
    <s v="Profit"/>
    <n v="0.123"/>
    <n v="13"/>
    <x v="228"/>
    <n v="12132.77"/>
    <x v="228"/>
    <n v="0.26951028573489977"/>
  </r>
  <r>
    <s v="ORD-2023-949710"/>
    <x v="206"/>
    <d v="2023-04-01T00:00:00"/>
    <d v="2023-04-01T00:00:00"/>
    <n v="25"/>
    <s v="Q1-2023"/>
    <x v="0"/>
    <x v="0"/>
    <x v="2"/>
    <s v="Consumer"/>
    <s v="Marketplace"/>
    <x v="14"/>
    <s v="Printers"/>
    <n v="6.8136389634977618E-2"/>
    <s v="PRN-7049"/>
    <n v="1024.0999999999999"/>
    <n v="918.19"/>
    <s v="Loss"/>
    <n v="0.189"/>
    <n v="10"/>
    <x v="229"/>
    <n v="10241"/>
    <x v="229"/>
    <n v="-0.37527311579827827"/>
  </r>
  <r>
    <s v="ORD-2023-603650"/>
    <x v="207"/>
    <d v="2023-06-10T00:00:00"/>
    <d v="2023-06-10T00:00:00"/>
    <n v="18"/>
    <s v="Q2-2023"/>
    <x v="1"/>
    <x v="9"/>
    <x v="23"/>
    <s v="Corporate"/>
    <s v="Distributor"/>
    <x v="6"/>
    <s v="Components"/>
    <n v="6.104488042984811E-3"/>
    <s v="CMP-6925"/>
    <n v="54.62"/>
    <n v="48.94"/>
    <s v="Loss"/>
    <n v="0.14799999999999999"/>
    <n v="16"/>
    <x v="230"/>
    <n v="873.92"/>
    <x v="230"/>
    <n v="-0.3099301434543783"/>
  </r>
  <r>
    <s v="ORD-2025-757957"/>
    <x v="208"/>
    <d v="2025-05-06T00:00:00"/>
    <d v="2025-05-06T00:00:00"/>
    <n v="12"/>
    <s v="Q2-2025"/>
    <x v="2"/>
    <x v="5"/>
    <x v="10"/>
    <s v="Consumer"/>
    <s v="Online"/>
    <x v="0"/>
    <s v="Phones"/>
    <n v="5.3205003353841623E-2"/>
    <s v="PHN-2787"/>
    <n v="394.13"/>
    <n v="932.29"/>
    <s v="Profit"/>
    <n v="0.109"/>
    <n v="7"/>
    <x v="231"/>
    <n v="2758.91"/>
    <x v="231"/>
    <n v="0.5255278089303268"/>
  </r>
  <r>
    <s v="ORD-2024-423853"/>
    <x v="209"/>
    <d v="2024-09-08T00:00:00"/>
    <d v="2024-09-08T00:00:00"/>
    <n v="5"/>
    <s v="Q3-2024"/>
    <x v="0"/>
    <x v="1"/>
    <x v="3"/>
    <s v="Small Business"/>
    <s v="Direct"/>
    <x v="11"/>
    <s v="Printers"/>
    <n v="2.6352129718986692E-2"/>
    <s v="PRN-1141"/>
    <n v="197.63"/>
    <n v="325.79000000000002"/>
    <s v="Profit"/>
    <n v="0.11600000000000001"/>
    <n v="10"/>
    <x v="232"/>
    <n v="1976.3"/>
    <x v="232"/>
    <n v="0.31378081458519419"/>
  </r>
  <r>
    <s v="ORD-2024-569164"/>
    <x v="210"/>
    <d v="2024-09-25T00:00:00"/>
    <d v="2024-09-25T00:00:00"/>
    <n v="20"/>
    <s v="Q3-2024"/>
    <x v="1"/>
    <x v="2"/>
    <x v="4"/>
    <s v="Enterprise"/>
    <s v="Distributor"/>
    <x v="14"/>
    <s v="Monitors"/>
    <n v="4.8320361518391114E-2"/>
    <s v="MON-5249"/>
    <n v="195.54"/>
    <n v="405.97"/>
    <s v="Profit"/>
    <n v="0.187"/>
    <n v="16"/>
    <x v="233"/>
    <n v="3128.64"/>
    <x v="233"/>
    <n v="0.40755079152141377"/>
  </r>
  <r>
    <s v="ORD-2023-946143"/>
    <x v="211"/>
    <d v="2023-03-30T00:00:00"/>
    <d v="2023-03-30T00:00:00"/>
    <n v="16"/>
    <s v="Q1-2023"/>
    <x v="0"/>
    <x v="11"/>
    <x v="33"/>
    <s v="Consumer"/>
    <s v="Distributor"/>
    <x v="11"/>
    <s v="Components"/>
    <n v="0.13057050094920702"/>
    <s v="CMP-8230"/>
    <n v="1309.77"/>
    <n v="1589.07"/>
    <s v="Profit"/>
    <n v="0.10199999999999999"/>
    <n v="10"/>
    <x v="234"/>
    <n v="13097.7"/>
    <x v="234"/>
    <n v="8.2141628328137886E-2"/>
  </r>
  <r>
    <s v="ORD-2024-281211"/>
    <x v="39"/>
    <d v="2024-02-02T00:00:00"/>
    <d v="2024-02-02T00:00:00"/>
    <n v="22"/>
    <s v="Q1-2024"/>
    <x v="1"/>
    <x v="2"/>
    <x v="32"/>
    <s v="Small Business"/>
    <s v="Online"/>
    <x v="15"/>
    <s v="Printers"/>
    <n v="0.15884390035619916"/>
    <s v="PRN-7816"/>
    <n v="1237.68"/>
    <n v="1432.8"/>
    <s v="Profit"/>
    <n v="6.8000000000000005E-2"/>
    <n v="13"/>
    <x v="235"/>
    <n v="16089.84"/>
    <x v="235"/>
    <n v="7.315547695559331E-2"/>
  </r>
  <r>
    <s v="ORD-2024-805860"/>
    <x v="212"/>
    <d v="2024-10-02T00:00:00"/>
    <d v="2024-10-02T00:00:00"/>
    <n v="19"/>
    <s v="Q3-2024"/>
    <x v="0"/>
    <x v="0"/>
    <x v="13"/>
    <s v="Small Business"/>
    <s v="Retail"/>
    <x v="12"/>
    <s v="Phones"/>
    <n v="0.33890662125534832"/>
    <s v="PHN-8804"/>
    <n v="1338.99"/>
    <n v="1765.76"/>
    <s v="Profit"/>
    <n v="0.126"/>
    <n v="24"/>
    <x v="236"/>
    <n v="32135.760000000002"/>
    <x v="236"/>
    <n v="0.1323706666677725"/>
  </r>
  <r>
    <s v="ORD-2025-132174"/>
    <x v="213"/>
    <d v="2025-07-23T00:00:00"/>
    <d v="2025-07-23T00:00:00"/>
    <n v="6"/>
    <s v="Q3-2025"/>
    <x v="2"/>
    <x v="3"/>
    <x v="26"/>
    <s v="Consumer"/>
    <s v="Online"/>
    <x v="10"/>
    <s v="Components"/>
    <n v="1.274405677716935"/>
    <s v="CMP-8851"/>
    <n v="1364.89"/>
    <n v="2757.54"/>
    <s v="Profit"/>
    <n v="0.17199999999999999"/>
    <n v="61"/>
    <x v="237"/>
    <n v="83258.290000000008"/>
    <x v="237"/>
    <n v="0.4022143379983118"/>
  </r>
  <r>
    <s v="ORD-2023-964434"/>
    <x v="214"/>
    <d v="2023-12-07T00:00:00"/>
    <d v="2023-12-07T00:00:00"/>
    <n v="9"/>
    <s v="Q4-2023"/>
    <x v="1"/>
    <x v="4"/>
    <x v="18"/>
    <s v="Enterprise"/>
    <s v="Marketplace"/>
    <x v="4"/>
    <s v="Phones"/>
    <n v="6.1160964967310702E-2"/>
    <s v="PHN-2447"/>
    <n v="699.33"/>
    <n v="873.75"/>
    <s v="Profit"/>
    <n v="0.23499999999999999"/>
    <n v="10"/>
    <x v="238"/>
    <n v="6993.3"/>
    <x v="238"/>
    <n v="-4.6245336475076469E-2"/>
  </r>
  <r>
    <s v="ORD-2024-897622"/>
    <x v="215"/>
    <d v="2024-04-24T00:00:00"/>
    <d v="2024-04-24T00:00:00"/>
    <n v="25"/>
    <s v="Q1-2024"/>
    <x v="2"/>
    <x v="10"/>
    <x v="36"/>
    <s v="Non-Profit"/>
    <s v="Online"/>
    <x v="3"/>
    <s v="Laptops"/>
    <n v="3.4985495258912785E-2"/>
    <s v="LAP-2846"/>
    <n v="160.82"/>
    <n v="258.52"/>
    <s v="Profit"/>
    <n v="0.13"/>
    <n v="17"/>
    <x v="239"/>
    <n v="2733.94"/>
    <x v="239"/>
    <n v="0.28496605789631874"/>
  </r>
  <r>
    <s v="ORD-2023-517216"/>
    <x v="216"/>
    <d v="2023-10-08T00:00:00"/>
    <d v="2023-10-08T00:00:00"/>
    <n v="19"/>
    <s v="Q3-2023"/>
    <x v="1"/>
    <x v="4"/>
    <x v="6"/>
    <s v="Education"/>
    <s v="Direct"/>
    <x v="1"/>
    <s v="Printers"/>
    <n v="4.0595587448926371E-2"/>
    <s v="PRN-5005"/>
    <n v="385.32"/>
    <n v="606.76"/>
    <s v="Profit"/>
    <n v="8.5999999999999993E-2"/>
    <n v="8"/>
    <x v="240"/>
    <n v="3082.56"/>
    <x v="240"/>
    <n v="0.30520223425842735"/>
  </r>
  <r>
    <s v="ORD-2025-509940"/>
    <x v="217"/>
    <d v="2025-05-27T00:00:00"/>
    <d v="2025-05-27T00:00:00"/>
    <n v="11"/>
    <s v="Q2-2025"/>
    <x v="1"/>
    <x v="9"/>
    <x v="38"/>
    <s v="Enterprise"/>
    <s v="Online"/>
    <x v="9"/>
    <s v="Phones"/>
    <n v="8.861755258726095E-2"/>
    <s v="PHN-3800"/>
    <n v="918.12"/>
    <n v="1337.69"/>
    <s v="Profit"/>
    <n v="9.5000000000000001E-2"/>
    <n v="8"/>
    <x v="241"/>
    <n v="7344.96"/>
    <x v="241"/>
    <n v="0.24160512707050164"/>
  </r>
  <r>
    <s v="ORD-2025-646342"/>
    <x v="218"/>
    <d v="2025-08-08T00:00:00"/>
    <d v="2025-08-08T00:00:00"/>
    <n v="6"/>
    <s v="Q3-2025"/>
    <x v="1"/>
    <x v="2"/>
    <x v="4"/>
    <s v="Consumer"/>
    <s v="Direct"/>
    <x v="13"/>
    <s v="Laptops"/>
    <n v="0.31186152247115034"/>
    <s v="LAP-4828"/>
    <n v="1225.94"/>
    <n v="1793.08"/>
    <s v="Profit"/>
    <n v="0.13600000000000001"/>
    <n v="22"/>
    <x v="242"/>
    <n v="26970.68"/>
    <x v="242"/>
    <n v="0.20867332353434462"/>
  </r>
  <r>
    <s v="ORD-2024-866535"/>
    <x v="219"/>
    <d v="2024-12-12T00:00:00"/>
    <d v="2024-12-12T00:00:00"/>
    <n v="8"/>
    <s v="Q4-2024"/>
    <x v="3"/>
    <x v="6"/>
    <x v="37"/>
    <s v="Enterprise"/>
    <s v="Marketplace"/>
    <x v="5"/>
    <s v="Printers"/>
    <n v="6.8463135029013938E-3"/>
    <s v="PRN-5492"/>
    <n v="72.06"/>
    <n v="122.74"/>
    <s v="Profit"/>
    <n v="0.23799999999999999"/>
    <n v="8"/>
    <x v="243"/>
    <n v="576.48"/>
    <x v="243"/>
    <n v="0.22953455162246802"/>
  </r>
  <r>
    <s v="ORD-2023-747341"/>
    <x v="43"/>
    <d v="2023-04-28T00:00:00"/>
    <d v="2023-04-28T00:00:00"/>
    <n v="9"/>
    <s v="Q2-2023"/>
    <x v="2"/>
    <x v="5"/>
    <x v="30"/>
    <s v="Corporate"/>
    <s v="Distributor"/>
    <x v="12"/>
    <s v="Phones"/>
    <n v="0.11207657531030352"/>
    <s v="PHN-7132"/>
    <n v="1013.54"/>
    <n v="927.93"/>
    <s v="Loss"/>
    <n v="0.17499999999999999"/>
    <n v="16"/>
    <x v="244"/>
    <n v="16216.64"/>
    <x v="244"/>
    <n v="-0.32395044166406234"/>
  </r>
  <r>
    <s v="ORD-2024-853298"/>
    <x v="220"/>
    <d v="2024-03-26T00:00:00"/>
    <d v="2024-03-26T00:00:00"/>
    <n v="20"/>
    <s v="Q1-2024"/>
    <x v="0"/>
    <x v="1"/>
    <x v="1"/>
    <s v="Consumer"/>
    <s v="Marketplace"/>
    <x v="2"/>
    <s v="Phones"/>
    <n v="2.6625583300227025E-2"/>
    <s v="PHN-4741"/>
    <n v="65.64"/>
    <n v="151.88"/>
    <s v="Profit"/>
    <n v="0.16700000000000001"/>
    <n v="23"/>
    <x v="245"/>
    <n v="1509.72"/>
    <x v="245"/>
    <n v="0.48117250587356353"/>
  </r>
  <r>
    <s v="ORD-2024-544865"/>
    <x v="221"/>
    <d v="2024-03-04T00:00:00"/>
    <d v="2024-03-04T00:00:00"/>
    <n v="17"/>
    <s v="Q1-2024"/>
    <x v="2"/>
    <x v="3"/>
    <x v="19"/>
    <s v="Non-Profit"/>
    <s v="Retail"/>
    <x v="14"/>
    <s v="Laptops"/>
    <n v="8.9436607063113377E-2"/>
    <s v="LAP-2774"/>
    <n v="1350.98"/>
    <n v="2210.4"/>
    <s v="Profit"/>
    <n v="0.26300000000000001"/>
    <n v="6"/>
    <x v="246"/>
    <n v="8105.88"/>
    <x v="246"/>
    <n v="0.17070211080615091"/>
  </r>
  <r>
    <s v="ORD-2025-946490"/>
    <x v="222"/>
    <d v="2025-05-02T00:00:00"/>
    <d v="2025-05-02T00:00:00"/>
    <n v="10"/>
    <s v="Q2-2025"/>
    <x v="3"/>
    <x v="6"/>
    <x v="9"/>
    <s v="Corporate"/>
    <s v="Marketplace"/>
    <x v="0"/>
    <s v="Monitors"/>
    <n v="5.5569151194357989E-3"/>
    <s v="MON-2842"/>
    <n v="20.149999999999999"/>
    <n v="39.74"/>
    <s v="Profit"/>
    <n v="0.151"/>
    <n v="18"/>
    <x v="247"/>
    <n v="362.7"/>
    <x v="247"/>
    <n v="0.4027729120318585"/>
  </r>
  <r>
    <s v="ORD-2024-320972"/>
    <x v="223"/>
    <d v="2024-11-08T00:00:00"/>
    <d v="2024-11-08T00:00:00"/>
    <n v="0"/>
    <s v="Q4-2024"/>
    <x v="0"/>
    <x v="0"/>
    <x v="16"/>
    <s v="Enterprise"/>
    <s v="Marketplace"/>
    <x v="12"/>
    <s v="Networking"/>
    <n v="3.2867514952442424E-2"/>
    <s v="NET-2628"/>
    <n v="803.28"/>
    <n v="1009"/>
    <s v="Profit"/>
    <n v="0.11"/>
    <n v="4"/>
    <x v="248"/>
    <n v="3213.12"/>
    <x v="248"/>
    <n v="0.10548880302001093"/>
  </r>
  <r>
    <s v="ORD-2025-248586"/>
    <x v="224"/>
    <d v="2025-09-30T00:00:00"/>
    <d v="2025-09-30T00:00:00"/>
    <n v="18"/>
    <s v="Q3-2025"/>
    <x v="1"/>
    <x v="2"/>
    <x v="32"/>
    <s v="Non-Profit"/>
    <s v="Marketplace"/>
    <x v="9"/>
    <s v="Monitors"/>
    <n v="0.10809562570879946"/>
    <s v="MON-2998"/>
    <n v="1212.99"/>
    <n v="1653.64"/>
    <s v="Profit"/>
    <n v="0.107"/>
    <n v="8"/>
    <x v="249"/>
    <n v="9703.92"/>
    <x v="249"/>
    <n v="0.17858090819931455"/>
  </r>
  <r>
    <s v="ORD-2024-664046"/>
    <x v="225"/>
    <d v="2024-09-08T00:00:00"/>
    <d v="2024-09-08T00:00:00"/>
    <n v="6"/>
    <s v="Q3-2024"/>
    <x v="2"/>
    <x v="10"/>
    <x v="36"/>
    <s v="Consumer"/>
    <s v="Direct"/>
    <x v="10"/>
    <s v="Components"/>
    <n v="0.1115064565473867"/>
    <s v="CMP-7563"/>
    <n v="462.94"/>
    <n v="1015.7"/>
    <s v="Profit"/>
    <n v="0.14299999999999999"/>
    <n v="14"/>
    <x v="250"/>
    <n v="6481.16"/>
    <x v="250"/>
    <n v="0.46816314090483041"/>
  </r>
  <r>
    <s v="ORD-2023-276806"/>
    <x v="226"/>
    <d v="2023-03-24T00:00:00"/>
    <d v="2023-03-24T00:00:00"/>
    <n v="20"/>
    <s v="Q1-2023"/>
    <x v="2"/>
    <x v="3"/>
    <x v="19"/>
    <s v="Consumer"/>
    <s v="Distributor"/>
    <x v="2"/>
    <s v="Laptops"/>
    <n v="0.15969978946312272"/>
    <s v="LAP-6160"/>
    <n v="481.71"/>
    <n v="912.45"/>
    <s v="Profit"/>
    <n v="0.20300000000000001"/>
    <n v="24"/>
    <x v="251"/>
    <n v="11561.039999999999"/>
    <x v="251"/>
    <n v="0.33760313983619739"/>
  </r>
  <r>
    <s v="ORD-2024-220234"/>
    <x v="227"/>
    <d v="2024-04-09T00:00:00"/>
    <d v="2024-04-09T00:00:00"/>
    <n v="25"/>
    <s v="Q1-2024"/>
    <x v="2"/>
    <x v="3"/>
    <x v="26"/>
    <s v="Consumer"/>
    <s v="Online"/>
    <x v="9"/>
    <s v="Monitors"/>
    <n v="0.16186176892672949"/>
    <s v="MON-4361"/>
    <n v="648.64"/>
    <n v="815.19"/>
    <s v="Profit"/>
    <n v="0.22500000000000001"/>
    <n v="28"/>
    <x v="252"/>
    <n v="18161.919999999998"/>
    <x v="252"/>
    <n v="-2.6699099240272032E-2"/>
  </r>
  <r>
    <s v="ORD-2024-301260"/>
    <x v="228"/>
    <d v="2024-07-31T00:00:00"/>
    <d v="2024-07-31T00:00:00"/>
    <n v="2"/>
    <s v="Q3-2024"/>
    <x v="2"/>
    <x v="10"/>
    <x v="39"/>
    <s v="Education"/>
    <s v="Marketplace"/>
    <x v="2"/>
    <s v="Printers"/>
    <n v="0.23318029681327879"/>
    <s v="PRN-2829"/>
    <n v="798.97"/>
    <n v="1814.06"/>
    <s v="Profit"/>
    <n v="0.122"/>
    <n v="16"/>
    <x v="253"/>
    <n v="12783.52"/>
    <x v="253"/>
    <n v="0.49836906691159061"/>
  </r>
  <r>
    <s v="ORD-2024-350100"/>
    <x v="229"/>
    <d v="2024-11-20T00:00:00"/>
    <d v="2024-11-20T00:00:00"/>
    <n v="24"/>
    <s v="Q4-2024"/>
    <x v="1"/>
    <x v="2"/>
    <x v="32"/>
    <s v="Non-Profit"/>
    <s v="Online"/>
    <x v="10"/>
    <s v="Monitors"/>
    <n v="5.9185346081283029E-2"/>
    <s v="MON-8939"/>
    <n v="317.25"/>
    <n v="758.92"/>
    <s v="Profit"/>
    <n v="5.2999999999999999E-2"/>
    <n v="9"/>
    <x v="254"/>
    <n v="2855.25"/>
    <x v="254"/>
    <n v="0.5585762928489888"/>
  </r>
  <r>
    <s v="ORD-2024-855600"/>
    <x v="230"/>
    <d v="2024-05-19T00:00:00"/>
    <d v="2024-05-19T00:00:00"/>
    <n v="20"/>
    <s v="Q2-2024"/>
    <x v="3"/>
    <x v="6"/>
    <x v="37"/>
    <s v="Enterprise"/>
    <s v="Marketplace"/>
    <x v="0"/>
    <s v="Laptops"/>
    <n v="0.22107737840531722"/>
    <s v="LAP-5009"/>
    <n v="668.97"/>
    <n v="1667.44"/>
    <s v="Profit"/>
    <n v="3.4000000000000002E-2"/>
    <n v="15"/>
    <x v="255"/>
    <n v="10034.550000000001"/>
    <x v="255"/>
    <n v="0.58468339013679016"/>
  </r>
  <r>
    <s v="ORD-2023-474313"/>
    <x v="231"/>
    <d v="2023-10-06T00:00:00"/>
    <d v="2023-10-06T00:00:00"/>
    <n v="1"/>
    <s v="Q4-2023"/>
    <x v="1"/>
    <x v="4"/>
    <x v="6"/>
    <s v="Non-Profit"/>
    <s v="Online"/>
    <x v="2"/>
    <s v="Components"/>
    <n v="0.17452034866961427"/>
    <s v="CMP-4807"/>
    <n v="1470.26"/>
    <n v="2562.5500000000002"/>
    <s v="Profit"/>
    <n v="0.17299999999999999"/>
    <n v="9"/>
    <x v="256"/>
    <n v="13232.34"/>
    <x v="256"/>
    <n v="0.30622877279157462"/>
  </r>
  <r>
    <s v="ORD-2023-256951"/>
    <x v="43"/>
    <d v="2023-05-07T00:00:00"/>
    <d v="2023-05-07T00:00:00"/>
    <n v="18"/>
    <s v="Q2-2023"/>
    <x v="3"/>
    <x v="8"/>
    <x v="21"/>
    <s v="Non-Profit"/>
    <s v="Direct"/>
    <x v="10"/>
    <s v="Networking"/>
    <n v="2.1906801707204798E-2"/>
    <s v="NET-2439"/>
    <n v="516.96"/>
    <n v="745.38"/>
    <s v="Profit"/>
    <n v="0.19700000000000001"/>
    <n v="4"/>
    <x v="257"/>
    <n v="2067.84"/>
    <x v="257"/>
    <n v="0.13629852794835101"/>
  </r>
  <r>
    <s v="ORD-2025-184754"/>
    <x v="232"/>
    <d v="2025-07-05T00:00:00"/>
    <d v="2025-07-05T00:00:00"/>
    <n v="8"/>
    <s v="Q2-2025"/>
    <x v="3"/>
    <x v="6"/>
    <x v="22"/>
    <s v="Small Business"/>
    <s v="Direct"/>
    <x v="3"/>
    <s v="Monitors"/>
    <n v="4.0034987349068608E-2"/>
    <s v="MON-7626"/>
    <n v="314.93"/>
    <n v="687.95"/>
    <s v="Profit"/>
    <n v="0.20499999999999999"/>
    <n v="8"/>
    <x v="258"/>
    <n v="2519.44"/>
    <x v="258"/>
    <n v="0.424175645352316"/>
  </r>
  <r>
    <s v="ORD-2023-888140"/>
    <x v="233"/>
    <d v="2023-10-13T00:00:00"/>
    <d v="2023-10-13T00:00:00"/>
    <n v="2"/>
    <s v="Q4-2023"/>
    <x v="2"/>
    <x v="5"/>
    <x v="10"/>
    <s v="Consumer"/>
    <s v="Distributor"/>
    <x v="15"/>
    <s v="Accessories"/>
    <n v="6.9256748574761551E-2"/>
    <s v="ACC-3567"/>
    <n v="715.94"/>
    <n v="550.07000000000005"/>
    <s v="Loss"/>
    <n v="0.14000000000000001"/>
    <n v="16"/>
    <x v="259"/>
    <n v="11455.04"/>
    <x v="259"/>
    <n v="-0.51342260456491595"/>
  </r>
  <r>
    <s v="ORD-2023-638181"/>
    <x v="72"/>
    <d v="2023-06-07T00:00:00"/>
    <d v="2023-06-07T00:00:00"/>
    <n v="18"/>
    <s v="Q2-2023"/>
    <x v="0"/>
    <x v="1"/>
    <x v="1"/>
    <s v="Enterprise"/>
    <s v="Distributor"/>
    <x v="6"/>
    <s v="Components"/>
    <n v="0.20937870323718197"/>
    <s v="CMP-4630"/>
    <n v="1120.06"/>
    <n v="2068.21"/>
    <s v="Profit"/>
    <n v="7.8E-2"/>
    <n v="12"/>
    <x v="260"/>
    <n v="13440.72"/>
    <x v="260"/>
    <n v="0.41262462795303284"/>
  </r>
  <r>
    <s v="ORD-2023-521280"/>
    <x v="234"/>
    <d v="2023-06-19T00:00:00"/>
    <d v="2023-06-19T00:00:00"/>
    <n v="23"/>
    <s v="Q2-2023"/>
    <x v="3"/>
    <x v="6"/>
    <x v="9"/>
    <s v="Education"/>
    <s v="Retail"/>
    <x v="7"/>
    <s v="Accessories"/>
    <n v="0.16437603994059463"/>
    <s v="ACC-1882"/>
    <n v="1471.58"/>
    <n v="2576.65"/>
    <s v="Profit"/>
    <n v="4.0000000000000001E-3"/>
    <n v="7"/>
    <x v="261"/>
    <n v="10301.06"/>
    <x v="261"/>
    <n v="0.4265849223451546"/>
  </r>
  <r>
    <s v="ORD-2023-630430"/>
    <x v="235"/>
    <d v="2023-08-24T00:00:00"/>
    <d v="2023-08-24T00:00:00"/>
    <n v="20"/>
    <s v="Q3-2023"/>
    <x v="2"/>
    <x v="5"/>
    <x v="10"/>
    <s v="Non-Profit"/>
    <s v="Direct"/>
    <x v="15"/>
    <s v="Networking"/>
    <n v="7.4903222283035531E-2"/>
    <s v="NET-9125"/>
    <n v="582.88"/>
    <n v="1044.1400000000001"/>
    <s v="Profit"/>
    <n v="0.216"/>
    <n v="10"/>
    <x v="262"/>
    <n v="5828.8"/>
    <x v="262"/>
    <n v="0.28796005539956138"/>
  </r>
  <r>
    <s v="ORD-2025-908258"/>
    <x v="236"/>
    <d v="2025-06-27T00:00:00"/>
    <d v="2025-06-27T00:00:00"/>
    <n v="6"/>
    <s v="Q2-2025"/>
    <x v="0"/>
    <x v="11"/>
    <x v="25"/>
    <s v="Enterprise"/>
    <s v="Distributor"/>
    <x v="13"/>
    <s v="Phones"/>
    <n v="5.127424565560249E-3"/>
    <s v="PHN-3819"/>
    <n v="93.91"/>
    <n v="99.04"/>
    <s v="Profit"/>
    <n v="5.7000000000000002E-2"/>
    <n v="6"/>
    <x v="263"/>
    <n v="563.46"/>
    <x v="263"/>
    <n v="-5.5172283829323376E-3"/>
  </r>
  <r>
    <s v="ORD-2025-440093"/>
    <x v="139"/>
    <d v="2025-04-26T00:00:00"/>
    <d v="2025-04-26T00:00:00"/>
    <n v="10"/>
    <s v="Q2-2025"/>
    <x v="0"/>
    <x v="1"/>
    <x v="1"/>
    <s v="Enterprise"/>
    <s v="Marketplace"/>
    <x v="9"/>
    <s v="Laptops"/>
    <n v="0.36728375220265197"/>
    <s v="LAP-3490"/>
    <n v="1457.44"/>
    <n v="1996.81"/>
    <s v="Profit"/>
    <n v="0.126"/>
    <n v="23"/>
    <x v="264"/>
    <n v="33521.120000000003"/>
    <x v="264"/>
    <n v="0.16489225944672353"/>
  </r>
  <r>
    <s v="ORD-2025-898022"/>
    <x v="237"/>
    <d v="2025-09-11T00:00:00"/>
    <d v="2025-09-11T00:00:00"/>
    <n v="9"/>
    <s v="Q3-2025"/>
    <x v="2"/>
    <x v="3"/>
    <x v="5"/>
    <s v="Corporate"/>
    <s v="Distributor"/>
    <x v="12"/>
    <s v="Printers"/>
    <n v="0.11526855229533246"/>
    <s v="PRN-1276"/>
    <n v="1207.6300000000001"/>
    <n v="921.68"/>
    <s v="Loss"/>
    <n v="0.19600000000000001"/>
    <n v="17"/>
    <x v="265"/>
    <n v="20529.710000000003"/>
    <x v="265"/>
    <n v="-0.62966253274897988"/>
  </r>
  <r>
    <s v="ORD-2024-500511"/>
    <x v="238"/>
    <d v="2024-10-08T00:00:00"/>
    <d v="2024-10-08T00:00:00"/>
    <n v="0"/>
    <s v="Q4-2024"/>
    <x v="3"/>
    <x v="8"/>
    <x v="21"/>
    <s v="Corporate"/>
    <s v="Online"/>
    <x v="6"/>
    <s v="Monitors"/>
    <n v="0.35519542655262093"/>
    <s v="MON-9733"/>
    <n v="1108.1099999999999"/>
    <n v="2503.79"/>
    <s v="Profit"/>
    <n v="0.184"/>
    <n v="19"/>
    <x v="266"/>
    <n v="21054.089999999997"/>
    <x v="266"/>
    <n v="0.45763105485025896"/>
  </r>
  <r>
    <s v="ORD-2023-632893"/>
    <x v="239"/>
    <d v="2023-05-05T00:00:00"/>
    <d v="2023-05-14T00:00:00"/>
    <n v="7"/>
    <s v="Q2-2023"/>
    <x v="0"/>
    <x v="1"/>
    <x v="1"/>
    <s v="Non-Profit"/>
    <s v="Marketplace"/>
    <x v="8"/>
    <s v="Components"/>
    <n v="0.16098707344213981"/>
    <s v="CMP-9392"/>
    <n v="1269.6500000000001"/>
    <n v="2462.77"/>
    <s v="Profit"/>
    <n v="0.107"/>
    <n v="8"/>
    <x v="267"/>
    <n v="10157.200000000001"/>
    <x v="267"/>
    <n v="0.42269050089225502"/>
  </r>
  <r>
    <s v="ORD-2023-967239"/>
    <x v="240"/>
    <d v="2024-01-01T00:00:00"/>
    <d v="2024-01-01T00:00:00"/>
    <n v="8"/>
    <s v="Q4-2023"/>
    <x v="2"/>
    <x v="5"/>
    <x v="8"/>
    <s v="Education"/>
    <s v="Direct"/>
    <x v="0"/>
    <s v="Phones"/>
    <n v="6.3563894854073738E-2"/>
    <s v="PHN-3014"/>
    <n v="526.49"/>
    <n v="496.2"/>
    <s v="Loss"/>
    <n v="0"/>
    <n v="14"/>
    <x v="268"/>
    <n v="7370.8600000000006"/>
    <x v="268"/>
    <n v="-6.1043933897621985E-2"/>
  </r>
  <r>
    <s v="ORD-2024-885858"/>
    <x v="241"/>
    <d v="2024-01-23T00:00:00"/>
    <d v="2024-01-23T00:00:00"/>
    <n v="13"/>
    <s v="Q1-2024"/>
    <x v="3"/>
    <x v="7"/>
    <x v="11"/>
    <s v="Corporate"/>
    <s v="Direct"/>
    <x v="8"/>
    <s v="Printers"/>
    <n v="7.0256380217790959E-2"/>
    <s v="PRN-6776"/>
    <n v="720"/>
    <n v="907.59"/>
    <s v="Profit"/>
    <n v="0.154"/>
    <n v="10"/>
    <x v="269"/>
    <n v="7200"/>
    <x v="269"/>
    <n v="6.2281614179052078E-2"/>
  </r>
  <r>
    <s v="ORD-2023-253245"/>
    <x v="242"/>
    <d v="2023-08-14T00:00:00"/>
    <d v="2023-08-14T00:00:00"/>
    <n v="11"/>
    <s v="Q3-2023"/>
    <x v="2"/>
    <x v="5"/>
    <x v="10"/>
    <s v="Corporate"/>
    <s v="Direct"/>
    <x v="1"/>
    <s v="Accessories"/>
    <n v="6.6202906397301614E-2"/>
    <s v="ACC-3951"/>
    <n v="232.73"/>
    <n v="334.19"/>
    <s v="Profit"/>
    <n v="0.13400000000000001"/>
    <n v="25"/>
    <x v="270"/>
    <n v="5818.25"/>
    <x v="270"/>
    <n v="0.1958426658729559"/>
  </r>
  <r>
    <s v="ORD-2025-484073"/>
    <x v="243"/>
    <d v="2025-03-09T00:00:00"/>
    <d v="2025-03-09T00:00:00"/>
    <n v="18"/>
    <s v="Q1-2025"/>
    <x v="1"/>
    <x v="4"/>
    <x v="18"/>
    <s v="Small Business"/>
    <s v="Direct"/>
    <x v="7"/>
    <s v="Monitors"/>
    <n v="6.5154626798779758E-2"/>
    <s v="MON-1436"/>
    <n v="325.87"/>
    <n v="538.79"/>
    <s v="Profit"/>
    <n v="0.17399999999999999"/>
    <n v="16"/>
    <x v="271"/>
    <n v="5213.92"/>
    <x v="271"/>
    <n v="0.26777457172778013"/>
  </r>
  <r>
    <s v="ORD-2024-745822"/>
    <x v="244"/>
    <d v="2024-04-17T00:00:00"/>
    <d v="2024-04-17T00:00:00"/>
    <n v="17"/>
    <s v="Q1-2024"/>
    <x v="3"/>
    <x v="6"/>
    <x v="37"/>
    <s v="Education"/>
    <s v="Direct"/>
    <x v="10"/>
    <s v="Monitors"/>
    <n v="0.31688713719980172"/>
    <s v="MON-8651"/>
    <n v="1025.51"/>
    <n v="1436.54"/>
    <s v="Profit"/>
    <n v="0.13900000000000001"/>
    <n v="28"/>
    <x v="272"/>
    <n v="28714.28"/>
    <x v="272"/>
    <n v="0.17087688127656453"/>
  </r>
  <r>
    <s v="ORD-2023-369160"/>
    <x v="245"/>
    <d v="2023-08-13T00:00:00"/>
    <d v="2023-08-13T00:00:00"/>
    <n v="20"/>
    <s v="Q3-2023"/>
    <x v="2"/>
    <x v="3"/>
    <x v="19"/>
    <s v="Education"/>
    <s v="Direct"/>
    <x v="0"/>
    <s v="Monitors"/>
    <n v="0.27026382077483696"/>
    <s v="MON-3307"/>
    <n v="1082.3800000000001"/>
    <n v="1766.55"/>
    <s v="Profit"/>
    <n v="0.16400000000000001"/>
    <n v="20"/>
    <x v="273"/>
    <n v="21647.600000000002"/>
    <x v="273"/>
    <n v="0.26709523157550752"/>
  </r>
  <r>
    <s v="ORD-2024-834983"/>
    <x v="246"/>
    <d v="2024-04-13T00:00:00"/>
    <d v="2024-04-13T00:00:00"/>
    <n v="28"/>
    <s v="Q1-2024"/>
    <x v="3"/>
    <x v="7"/>
    <x v="28"/>
    <s v="Small Business"/>
    <s v="Online"/>
    <x v="11"/>
    <s v="Printers"/>
    <n v="0.10447058542296334"/>
    <s v="PRN-8758"/>
    <n v="287.61"/>
    <n v="628.54"/>
    <s v="Profit"/>
    <n v="0.13500000000000001"/>
    <n v="21"/>
    <x v="274"/>
    <n v="6039.81"/>
    <x v="274"/>
    <n v="0.47100087531964613"/>
  </r>
  <r>
    <s v="ORD-2024-499009"/>
    <x v="247"/>
    <d v="2024-01-27T00:00:00"/>
    <d v="2024-01-27T00:00:00"/>
    <n v="2"/>
    <s v="Q1-2024"/>
    <x v="2"/>
    <x v="5"/>
    <x v="8"/>
    <s v="Non-Profit"/>
    <s v="Marketplace"/>
    <x v="13"/>
    <s v="Laptops"/>
    <n v="7.839247366320895E-2"/>
    <s v="LAP-7056"/>
    <n v="1410.97"/>
    <n v="1650.75"/>
    <s v="Profit"/>
    <n v="0.13500000000000001"/>
    <n v="6"/>
    <x v="275"/>
    <n v="8465.82"/>
    <x v="275"/>
    <n v="1.1855707556295596E-2"/>
  </r>
  <r>
    <s v="ORD-2024-948800"/>
    <x v="248"/>
    <d v="2024-04-11T00:00:00"/>
    <d v="2024-04-11T00:00:00"/>
    <n v="15"/>
    <s v="Q1-2024"/>
    <x v="2"/>
    <x v="10"/>
    <x v="24"/>
    <s v="Small Business"/>
    <s v="Direct"/>
    <x v="7"/>
    <s v="Networking"/>
    <n v="0.72787884524620938"/>
    <s v="NET-5523"/>
    <n v="1338.35"/>
    <n v="2247.14"/>
    <s v="Profit"/>
    <n v="0.115"/>
    <n v="40"/>
    <x v="276"/>
    <n v="53534"/>
    <x v="276"/>
    <n v="0.32702907384246205"/>
  </r>
  <r>
    <s v="ORD-2025-678328"/>
    <x v="35"/>
    <d v="2025-07-14T00:00:00"/>
    <d v="2025-07-14T00:00:00"/>
    <n v="20"/>
    <s v="Q2-2025"/>
    <x v="3"/>
    <x v="6"/>
    <x v="9"/>
    <s v="Corporate"/>
    <s v="Direct"/>
    <x v="7"/>
    <s v="Accessories"/>
    <n v="5.5509489632934755E-2"/>
    <s v="ACC-8094"/>
    <n v="385.08"/>
    <n v="893.19"/>
    <s v="Profit"/>
    <n v="0.151"/>
    <n v="8"/>
    <x v="277"/>
    <n v="3080.64"/>
    <x v="277"/>
    <n v="0.49219213762621666"/>
  </r>
  <r>
    <s v="ORD-2024-580808"/>
    <x v="249"/>
    <d v="2024-07-03T00:00:00"/>
    <d v="2024-07-03T00:00:00"/>
    <n v="17"/>
    <s v="Q2-2024"/>
    <x v="0"/>
    <x v="11"/>
    <x v="20"/>
    <s v="Enterprise"/>
    <s v="Marketplace"/>
    <x v="9"/>
    <s v="Phones"/>
    <n v="0.31879253220126663"/>
    <s v="PHN-6832"/>
    <n v="1173.83"/>
    <n v="2328.9"/>
    <s v="Profit"/>
    <n v="0.12"/>
    <n v="17"/>
    <x v="278"/>
    <n v="19955.11"/>
    <x v="278"/>
    <n v="0.42724130393201637"/>
  </r>
  <r>
    <s v="ORD-2023-211715"/>
    <x v="250"/>
    <d v="2023-11-14T00:00:00"/>
    <d v="2023-11-14T00:00:00"/>
    <n v="15"/>
    <s v="Q4-2023"/>
    <x v="1"/>
    <x v="4"/>
    <x v="6"/>
    <s v="Corporate"/>
    <s v="Online"/>
    <x v="9"/>
    <s v="Laptops"/>
    <n v="8.1506251722004555E-2"/>
    <s v="LAP-2378"/>
    <n v="953.46"/>
    <n v="2066.75"/>
    <s v="Profit"/>
    <n v="0.13800000000000001"/>
    <n v="5"/>
    <x v="279"/>
    <n v="4767.3"/>
    <x v="279"/>
    <n v="0.46481089238318446"/>
  </r>
  <r>
    <s v="ORD-2023-715175"/>
    <x v="251"/>
    <d v="2023-06-23T00:00:00"/>
    <d v="2023-06-23T00:00:00"/>
    <n v="8"/>
    <s v="Q2-2023"/>
    <x v="2"/>
    <x v="10"/>
    <x v="24"/>
    <s v="Consumer"/>
    <s v="Distributor"/>
    <x v="7"/>
    <s v="Monitors"/>
    <n v="0.15958704123408152"/>
    <s v="MON-5424"/>
    <n v="1097.0899999999999"/>
    <n v="2182.31"/>
    <s v="Profit"/>
    <n v="0.112"/>
    <n v="9"/>
    <x v="280"/>
    <n v="9873.81"/>
    <x v="280"/>
    <n v="0.43387432962699546"/>
  </r>
  <r>
    <s v="ORD-2025-685236"/>
    <x v="252"/>
    <d v="2025-03-29T00:00:00"/>
    <d v="2025-03-29T00:00:00"/>
    <n v="15"/>
    <s v="Q1-2025"/>
    <x v="1"/>
    <x v="2"/>
    <x v="27"/>
    <s v="Non-Profit"/>
    <s v="Direct"/>
    <x v="10"/>
    <s v="Networking"/>
    <n v="0.11928039390581514"/>
    <s v="NET-8430"/>
    <n v="1106.96"/>
    <n v="2726.62"/>
    <s v="Profit"/>
    <n v="0.317"/>
    <n v="7"/>
    <x v="281"/>
    <n v="7748.72"/>
    <x v="281"/>
    <n v="0.40558931408789306"/>
  </r>
  <r>
    <s v="ORD-2023-274037"/>
    <x v="183"/>
    <d v="2023-08-25T00:00:00"/>
    <d v="2023-08-25T00:00:00"/>
    <n v="10"/>
    <s v="Q3-2023"/>
    <x v="0"/>
    <x v="0"/>
    <x v="2"/>
    <s v="Small Business"/>
    <s v="Retail"/>
    <x v="13"/>
    <s v="Phones"/>
    <n v="6.1098858682932002E-3"/>
    <s v="PHN-1234"/>
    <n v="91.85"/>
    <n v="111.29"/>
    <s v="Profit"/>
    <n v="0"/>
    <n v="6"/>
    <x v="282"/>
    <n v="551.09999999999991"/>
    <x v="282"/>
    <n v="0.17467876718483258"/>
  </r>
  <r>
    <s v="ORD-2025-983096"/>
    <x v="253"/>
    <d v="2025-05-28T00:00:00"/>
    <d v="2025-05-28T00:00:00"/>
    <n v="11"/>
    <s v="Q2-2025"/>
    <x v="1"/>
    <x v="4"/>
    <x v="6"/>
    <s v="Corporate"/>
    <s v="Distributor"/>
    <x v="5"/>
    <s v="Laptops"/>
    <n v="0.10702097168726191"/>
    <s v="LAP-9016"/>
    <n v="623.4"/>
    <n v="1100.0899999999999"/>
    <s v="Profit"/>
    <n v="0.114"/>
    <n v="12"/>
    <x v="283"/>
    <n v="7480.7999999999993"/>
    <x v="283"/>
    <n v="0.36040529579490388"/>
  </r>
  <r>
    <s v="ORD-2024-366010"/>
    <x v="94"/>
    <d v="2024-02-05T00:00:00"/>
    <d v="2024-02-05T00:00:00"/>
    <n v="23"/>
    <s v="Q1-2024"/>
    <x v="3"/>
    <x v="6"/>
    <x v="37"/>
    <s v="Education"/>
    <s v="Direct"/>
    <x v="5"/>
    <s v="Laptops"/>
    <n v="0.14187664463585903"/>
    <s v="LAP-9931"/>
    <n v="1017.93"/>
    <n v="1529.14"/>
    <s v="Profit"/>
    <n v="0.155"/>
    <n v="12"/>
    <x v="284"/>
    <n v="12215.16"/>
    <x v="284"/>
    <n v="0.21220366508366503"/>
  </r>
  <r>
    <s v="ORD-2023-610470"/>
    <x v="87"/>
    <d v="2023-07-21T00:00:00"/>
    <d v="2023-07-21T00:00:00"/>
    <n v="27"/>
    <s v="Q2-2023"/>
    <x v="1"/>
    <x v="2"/>
    <x v="32"/>
    <s v="Consumer"/>
    <s v="Marketplace"/>
    <x v="1"/>
    <s v="Phones"/>
    <n v="3.6405010219818318E-2"/>
    <s v="PHN-6818"/>
    <n v="554.76"/>
    <n v="728.69"/>
    <s v="Profit"/>
    <n v="0.22"/>
    <n v="7"/>
    <x v="285"/>
    <n v="3883.3199999999997"/>
    <x v="285"/>
    <n v="2.395975074343119E-2"/>
  </r>
  <r>
    <s v="ORD-2025-541048"/>
    <x v="254"/>
    <d v="2025-04-13T00:00:00"/>
    <d v="2025-04-13T00:00:00"/>
    <n v="9"/>
    <s v="Q2-2025"/>
    <x v="3"/>
    <x v="6"/>
    <x v="22"/>
    <s v="Consumer"/>
    <s v="Marketplace"/>
    <x v="9"/>
    <s v="Phones"/>
    <n v="6.9667668457473395E-4"/>
    <s v="PHN-3803"/>
    <n v="7.02"/>
    <n v="6.28"/>
    <s v="Loss"/>
    <n v="0.13400000000000001"/>
    <n v="14"/>
    <x v="286"/>
    <n v="98.28"/>
    <x v="286"/>
    <n v="-0.29080184169106066"/>
  </r>
  <r>
    <s v="ORD-2024-862371"/>
    <x v="255"/>
    <d v="2024-09-07T00:00:00"/>
    <d v="2024-09-07T00:00:00"/>
    <n v="0"/>
    <s v="Q3-2024"/>
    <x v="1"/>
    <x v="4"/>
    <x v="29"/>
    <s v="Education"/>
    <s v="Distributor"/>
    <x v="5"/>
    <s v="Networking"/>
    <n v="0.18326535024427351"/>
    <s v="NET-9835"/>
    <n v="1066.6500000000001"/>
    <n v="2569.77"/>
    <s v="Profit"/>
    <n v="0.13400000000000001"/>
    <n v="9"/>
    <x v="287"/>
    <n v="9599.85"/>
    <x v="287"/>
    <n v="0.52069739331368348"/>
  </r>
  <r>
    <s v="ORD-2024-277241"/>
    <x v="10"/>
    <d v="2024-01-30T00:00:00"/>
    <d v="2024-01-30T00:00:00"/>
    <n v="2"/>
    <s v="Q1-2024"/>
    <x v="0"/>
    <x v="11"/>
    <x v="33"/>
    <s v="Consumer"/>
    <s v="Direct"/>
    <x v="9"/>
    <s v="Accessories"/>
    <n v="0.24490271831352747"/>
    <s v="ACC-6223"/>
    <n v="798.45"/>
    <n v="1592.02"/>
    <s v="Profit"/>
    <n v="6.6000000000000003E-2"/>
    <n v="18"/>
    <x v="288"/>
    <n v="14372.1"/>
    <x v="288"/>
    <n v="0.46302714768494585"/>
  </r>
  <r>
    <s v="ORD-2023-369150"/>
    <x v="256"/>
    <d v="2023-08-10T00:00:00"/>
    <d v="2023-08-10T00:00:00"/>
    <n v="23"/>
    <s v="Q3-2023"/>
    <x v="0"/>
    <x v="11"/>
    <x v="20"/>
    <s v="Small Business"/>
    <s v="Retail"/>
    <x v="4"/>
    <s v="Components"/>
    <n v="9.5677230251436901E-2"/>
    <s v="CMP-8659"/>
    <n v="1271.56"/>
    <n v="995.47"/>
    <s v="Loss"/>
    <n v="0.192"/>
    <n v="13"/>
    <x v="289"/>
    <n v="16530.28"/>
    <x v="289"/>
    <n v="-0.58087423155607754"/>
  </r>
  <r>
    <s v="ORD-2025-922513"/>
    <x v="257"/>
    <d v="2025-08-26T00:00:00"/>
    <d v="2025-09-04T00:00:00"/>
    <n v="7"/>
    <s v="Q3-2025"/>
    <x v="0"/>
    <x v="1"/>
    <x v="1"/>
    <s v="Small Business"/>
    <s v="Retail"/>
    <x v="8"/>
    <s v="Accessories"/>
    <n v="0.17445616686869991"/>
    <s v="ACC-4483"/>
    <n v="521.05999999999995"/>
    <n v="1240.31"/>
    <s v="Profit"/>
    <n v="0.14599999999999999"/>
    <n v="18"/>
    <x v="290"/>
    <n v="9379.0799999999981"/>
    <x v="290"/>
    <n v="0.50807417885650974"/>
  </r>
  <r>
    <s v="ORD-2025-752845"/>
    <x v="258"/>
    <d v="2025-04-07T00:00:00"/>
    <d v="2025-04-07T00:00:00"/>
    <n v="8"/>
    <s v="Q1-2025"/>
    <x v="2"/>
    <x v="5"/>
    <x v="8"/>
    <s v="Non-Profit"/>
    <s v="Direct"/>
    <x v="4"/>
    <s v="Printers"/>
    <n v="1.005547254035115E-2"/>
    <s v="PRN-8763"/>
    <n v="71.62"/>
    <n v="118.37"/>
    <s v="Profit"/>
    <n v="0.156"/>
    <n v="11"/>
    <x v="291"/>
    <n v="787.82"/>
    <x v="291"/>
    <n v="0.28311379652603474"/>
  </r>
  <r>
    <s v="ORD-2023-667815"/>
    <x v="259"/>
    <d v="2023-11-09T00:00:00"/>
    <d v="2023-11-09T00:00:00"/>
    <n v="19"/>
    <s v="Q4-2023"/>
    <x v="3"/>
    <x v="8"/>
    <x v="21"/>
    <s v="Non-Profit"/>
    <s v="Direct"/>
    <x v="8"/>
    <s v="Accessories"/>
    <n v="0.21388895649527132"/>
    <s v="ACC-8557"/>
    <n v="1142.48"/>
    <n v="2105.5300000000002"/>
    <s v="Profit"/>
    <n v="0.20699999999999999"/>
    <n v="14"/>
    <x v="292"/>
    <n v="15994.720000000001"/>
    <x v="292"/>
    <n v="0.31575129346680658"/>
  </r>
  <r>
    <s v="ORD-2023-375011"/>
    <x v="260"/>
    <d v="2023-09-22T00:00:00"/>
    <d v="2023-09-22T00:00:00"/>
    <n v="30"/>
    <s v="Q3-2023"/>
    <x v="3"/>
    <x v="8"/>
    <x v="21"/>
    <s v="Consumer"/>
    <s v="Distributor"/>
    <x v="7"/>
    <s v="Accessories"/>
    <n v="6.7547343896114206E-2"/>
    <s v="ACC-1492"/>
    <n v="209.81"/>
    <n v="523"/>
    <s v="Profit"/>
    <n v="5.8999999999999997E-2"/>
    <n v="15"/>
    <x v="293"/>
    <n v="3147.15"/>
    <x v="293"/>
    <n v="0.57368082041195356"/>
  </r>
  <r>
    <s v="ORD-2025-487025"/>
    <x v="261"/>
    <d v="2025-05-04T00:00:00"/>
    <d v="2025-05-04T00:00:00"/>
    <n v="23"/>
    <s v="Q2-2025"/>
    <x v="1"/>
    <x v="2"/>
    <x v="4"/>
    <s v="Small Business"/>
    <s v="Online"/>
    <x v="12"/>
    <s v="Components"/>
    <n v="8.1467743538165452E-2"/>
    <s v="CMP-3743"/>
    <n v="786.2"/>
    <n v="1075.3"/>
    <s v="Profit"/>
    <n v="0.08"/>
    <n v="9"/>
    <x v="294"/>
    <n v="7075.8"/>
    <x v="294"/>
    <n v="0.20527739478163815"/>
  </r>
  <r>
    <s v="ORD-2025-398335"/>
    <x v="262"/>
    <d v="2025-06-27T00:00:00"/>
    <d v="2025-06-27T00:00:00"/>
    <n v="26"/>
    <s v="Q2-2025"/>
    <x v="3"/>
    <x v="6"/>
    <x v="22"/>
    <s v="Consumer"/>
    <s v="Distributor"/>
    <x v="6"/>
    <s v="Laptops"/>
    <n v="0.18717425115734093"/>
    <s v="LAP-1619"/>
    <n v="1362.31"/>
    <n v="3294.57"/>
    <s v="Profit"/>
    <n v="0.113"/>
    <n v="7"/>
    <x v="295"/>
    <n v="9536.17"/>
    <x v="295"/>
    <n v="0.5338200561157721"/>
  </r>
  <r>
    <s v="ORD-2024-792137"/>
    <x v="263"/>
    <d v="2024-03-16T00:00:00"/>
    <d v="2024-03-16T00:00:00"/>
    <n v="14"/>
    <s v="Q1-2024"/>
    <x v="2"/>
    <x v="3"/>
    <x v="26"/>
    <s v="Non-Profit"/>
    <s v="Direct"/>
    <x v="7"/>
    <s v="Printers"/>
    <n v="3.8813623689423607E-2"/>
    <s v="PRN-7976"/>
    <n v="248.24"/>
    <n v="464.05"/>
    <s v="Profit"/>
    <n v="0.16900000000000001"/>
    <n v="11"/>
    <x v="296"/>
    <n v="2730.6400000000003"/>
    <x v="296"/>
    <n v="0.3562667203975462"/>
  </r>
  <r>
    <s v="ORD-2023-602648"/>
    <x v="264"/>
    <d v="2023-07-08T00:00:00"/>
    <d v="2023-07-08T00:00:00"/>
    <n v="18"/>
    <s v="Q2-2023"/>
    <x v="2"/>
    <x v="10"/>
    <x v="36"/>
    <s v="Non-Profit"/>
    <s v="Direct"/>
    <x v="9"/>
    <s v="Monitors"/>
    <n v="2.9196782558495924E-2"/>
    <s v="MON-4326"/>
    <n v="337"/>
    <n v="511.03"/>
    <s v="Profit"/>
    <n v="0.108"/>
    <n v="7"/>
    <x v="297"/>
    <n v="2359"/>
    <x v="297"/>
    <n v="0.26070349963219458"/>
  </r>
  <r>
    <s v="ORD-2024-207096"/>
    <x v="265"/>
    <d v="2024-04-05T00:00:00"/>
    <d v="2024-04-05T00:00:00"/>
    <n v="10"/>
    <s v="Q1-2024"/>
    <x v="2"/>
    <x v="10"/>
    <x v="36"/>
    <s v="Consumer"/>
    <s v="Direct"/>
    <x v="1"/>
    <s v="Monitors"/>
    <n v="6.1233145508647201E-4"/>
    <s v="MON-5444"/>
    <n v="5.66"/>
    <n v="4.22"/>
    <s v="Loss"/>
    <n v="0.11899999999999999"/>
    <n v="18"/>
    <x v="298"/>
    <n v="101.88"/>
    <x v="298"/>
    <n v="-0.52239753403876454"/>
  </r>
  <r>
    <s v="ORD-2025-939953"/>
    <x v="266"/>
    <d v="2025-01-22T00:00:00"/>
    <d v="2025-01-22T00:00:00"/>
    <n v="0"/>
    <s v="Q1-2025"/>
    <x v="3"/>
    <x v="7"/>
    <x v="17"/>
    <s v="Small Business"/>
    <s v="Online"/>
    <x v="5"/>
    <s v="Accessories"/>
    <n v="0.11619964568469535"/>
    <s v="ACC-5422"/>
    <n v="591.72"/>
    <n v="577.24"/>
    <s v="Loss"/>
    <n v="0"/>
    <n v="22"/>
    <x v="299"/>
    <n v="13017.84"/>
    <x v="299"/>
    <n v="-2.5084886702238195E-2"/>
  </r>
  <r>
    <s v="ORD-2025-191328"/>
    <x v="267"/>
    <d v="2025-05-27T00:00:00"/>
    <d v="2025-05-27T00:00:00"/>
    <n v="17"/>
    <s v="Q2-2025"/>
    <x v="2"/>
    <x v="3"/>
    <x v="26"/>
    <s v="Education"/>
    <s v="Direct"/>
    <x v="0"/>
    <s v="Components"/>
    <n v="0.23403454256275485"/>
    <s v="CMP-9307"/>
    <n v="862.89"/>
    <n v="1426.03"/>
    <s v="Profit"/>
    <n v="5.6000000000000001E-2"/>
    <n v="19"/>
    <x v="300"/>
    <n v="16394.91"/>
    <x v="300"/>
    <n v="0.35900479665188778"/>
  </r>
  <r>
    <s v="ORD-2023-166668"/>
    <x v="231"/>
    <d v="2023-10-31T00:00:00"/>
    <d v="2023-10-31T00:00:00"/>
    <n v="26"/>
    <s v="Q4-2023"/>
    <x v="1"/>
    <x v="9"/>
    <x v="23"/>
    <s v="Consumer"/>
    <s v="not provided"/>
    <x v="1"/>
    <s v="Printers"/>
    <n v="9.0277699364940067E-2"/>
    <s v="PRN-6520"/>
    <n v="649.91"/>
    <n v="1360.12"/>
    <s v="Profit"/>
    <n v="0.19400000000000001"/>
    <n v="9"/>
    <x v="301"/>
    <n v="5849.19"/>
    <x v="301"/>
    <n v="0.40715528749506769"/>
  </r>
  <r>
    <s v="ORD-2023-594700"/>
    <x v="256"/>
    <d v="2023-07-22T00:00:00"/>
    <d v="2023-07-22T00:00:00"/>
    <n v="4"/>
    <s v="Q3-2023"/>
    <x v="2"/>
    <x v="5"/>
    <x v="8"/>
    <s v="Consumer"/>
    <s v="Direct"/>
    <x v="9"/>
    <s v="Networking"/>
    <n v="0.36313458190815895"/>
    <s v="NET-1699"/>
    <n v="1269.55"/>
    <n v="2071.1"/>
    <s v="Profit"/>
    <n v="0.129"/>
    <n v="22"/>
    <x v="302"/>
    <n v="27930.1"/>
    <x v="302"/>
    <n v="0.29623026549672354"/>
  </r>
  <r>
    <s v="ORD-2025-278048"/>
    <x v="268"/>
    <d v="2025-07-08T00:00:00"/>
    <d v="2025-07-08T00:00:00"/>
    <n v="16"/>
    <s v="Q2-2025"/>
    <x v="3"/>
    <x v="8"/>
    <x v="21"/>
    <s v="Education"/>
    <s v="Direct"/>
    <x v="8"/>
    <s v="Phones"/>
    <n v="7.4056113609333354E-2"/>
    <s v="PHN-5316"/>
    <n v="892.73"/>
    <n v="979.84"/>
    <s v="Profit"/>
    <n v="0.17399999999999999"/>
    <n v="10"/>
    <x v="303"/>
    <n v="8927.2999999999993"/>
    <x v="303"/>
    <n v="-0.10302388649112838"/>
  </r>
  <r>
    <s v="ORD-2024-878493"/>
    <x v="269"/>
    <d v="2024-06-20T00:00:00"/>
    <d v="2024-06-20T00:00:00"/>
    <n v="1"/>
    <s v="Q2-2024"/>
    <x v="0"/>
    <x v="0"/>
    <x v="0"/>
    <s v="Small Business"/>
    <s v="Direct"/>
    <x v="1"/>
    <s v="Laptops"/>
    <n v="5.4285564586595669E-2"/>
    <s v="LAP-4607"/>
    <n v="231.63"/>
    <n v="537.39"/>
    <s v="Profit"/>
    <n v="0.08"/>
    <n v="12"/>
    <x v="304"/>
    <n v="2779.56"/>
    <x v="304"/>
    <n v="0.53149158129024587"/>
  </r>
  <r>
    <s v="ORD-2025-138578"/>
    <x v="69"/>
    <d v="2025-04-12T00:00:00"/>
    <d v="2025-04-12T00:00:00"/>
    <n v="3"/>
    <s v="Q2-2025"/>
    <x v="3"/>
    <x v="7"/>
    <x v="17"/>
    <s v="Small Business"/>
    <s v="Distributor"/>
    <x v="10"/>
    <s v="Monitors"/>
    <n v="1.5021812573686542E-2"/>
    <s v="MON-5276"/>
    <n v="86.68"/>
    <n v="213.32"/>
    <s v="Profit"/>
    <n v="3.7999999999999999E-2"/>
    <n v="8"/>
    <x v="305"/>
    <n v="693.44"/>
    <x v="305"/>
    <n v="0.57761133459614611"/>
  </r>
  <r>
    <s v="ORD-2025-944081"/>
    <x v="80"/>
    <d v="2025-03-26T00:00:00"/>
    <d v="2025-03-26T00:00:00"/>
    <n v="1"/>
    <s v="Q1-2025"/>
    <x v="0"/>
    <x v="1"/>
    <x v="3"/>
    <s v="Education"/>
    <s v="Distributor"/>
    <x v="3"/>
    <s v="Accessories"/>
    <n v="0.39423076432446968"/>
    <s v="ACC-9533"/>
    <n v="1450.43"/>
    <n v="1994.67"/>
    <s v="Profit"/>
    <n v="0.1"/>
    <n v="24"/>
    <x v="306"/>
    <n v="34810.32"/>
    <x v="306"/>
    <n v="0.19205237513529116"/>
  </r>
  <r>
    <s v="ORD-2025-364852"/>
    <x v="270"/>
    <d v="2025-06-09T00:00:00"/>
    <d v="2025-06-09T00:00:00"/>
    <n v="22"/>
    <s v="Q2-2025"/>
    <x v="2"/>
    <x v="10"/>
    <x v="39"/>
    <s v="Consumer"/>
    <s v="Retail"/>
    <x v="10"/>
    <s v="Networking"/>
    <n v="3.3345893743361471E-2"/>
    <s v="NET-3749"/>
    <n v="382.96"/>
    <n v="552.84"/>
    <s v="Profit"/>
    <n v="0.17599999999999999"/>
    <n v="8"/>
    <x v="307"/>
    <n v="3063.68"/>
    <x v="307"/>
    <n v="0.15932768693763483"/>
  </r>
  <r>
    <s v="ORD-2025-415018"/>
    <x v="266"/>
    <d v="2025-02-04T00:00:00"/>
    <d v="2025-02-04T00:00:00"/>
    <n v="13"/>
    <s v="Q1-2025"/>
    <x v="1"/>
    <x v="2"/>
    <x v="27"/>
    <s v="Small Business"/>
    <s v="Distributor"/>
    <x v="4"/>
    <s v="Printers"/>
    <n v="4.8814983195759901E-2"/>
    <s v="PRN-2991"/>
    <n v="122.29"/>
    <n v="224.95"/>
    <s v="Profit"/>
    <n v="0.153"/>
    <n v="28"/>
    <x v="308"/>
    <n v="3424.1200000000003"/>
    <x v="308"/>
    <n v="0.3581677471026618"/>
  </r>
  <r>
    <s v="ORD-2023-884192"/>
    <x v="271"/>
    <d v="2023-01-29T00:00:00"/>
    <d v="2023-01-29T00:00:00"/>
    <n v="19"/>
    <s v="Q1-2023"/>
    <x v="3"/>
    <x v="7"/>
    <x v="17"/>
    <s v="Non-Profit"/>
    <s v="Direct"/>
    <x v="14"/>
    <s v="Laptops"/>
    <n v="9.0103164738916386E-2"/>
    <s v="LAP-4551"/>
    <n v="401.66"/>
    <n v="772.09"/>
    <s v="Profit"/>
    <n v="8.8999999999999996E-2"/>
    <n v="14"/>
    <x v="309"/>
    <n v="5623.2400000000007"/>
    <x v="309"/>
    <n v="0.42895244107619046"/>
  </r>
  <r>
    <s v="ORD-2024-165942"/>
    <x v="272"/>
    <d v="2025-01-12T00:00:00"/>
    <d v="2025-01-12T00:00:00"/>
    <n v="14"/>
    <s v="Q4-2024"/>
    <x v="3"/>
    <x v="8"/>
    <x v="31"/>
    <s v="Corporate"/>
    <s v="Direct"/>
    <x v="5"/>
    <s v="Monitors"/>
    <n v="0.2818163472973208"/>
    <s v="MON-6310"/>
    <n v="1399.72"/>
    <n v="3149.21"/>
    <s v="Profit"/>
    <n v="0.185"/>
    <n v="12"/>
    <x v="310"/>
    <n v="16796.64"/>
    <x v="310"/>
    <n v="0.45464168703873797"/>
  </r>
  <r>
    <s v="ORD-2024-403664"/>
    <x v="154"/>
    <d v="2024-06-06T00:00:00"/>
    <d v="2024-06-06T00:00:00"/>
    <n v="14"/>
    <s v="Q2-2024"/>
    <x v="2"/>
    <x v="5"/>
    <x v="30"/>
    <s v="Non-Profit"/>
    <s v="Online"/>
    <x v="2"/>
    <s v="Networking"/>
    <n v="8.0434697570378154E-3"/>
    <s v="NET-1166"/>
    <n v="51.13"/>
    <n v="57.53"/>
    <s v="Profit"/>
    <n v="4.4999999999999998E-2"/>
    <n v="16"/>
    <x v="311"/>
    <n v="818.08"/>
    <x v="311"/>
    <n v="6.9367859973808302E-2"/>
  </r>
  <r>
    <s v="ORD-2023-890605"/>
    <x v="87"/>
    <d v="2023-06-22T00:00:00"/>
    <d v="2023-07-01T00:00:00"/>
    <n v="7"/>
    <s v="Q2-2023"/>
    <x v="2"/>
    <x v="3"/>
    <x v="5"/>
    <s v="Non-Profit"/>
    <s v="Retail"/>
    <x v="12"/>
    <s v="Accessories"/>
    <n v="0.10324421345764545"/>
    <s v="ACC-2903"/>
    <n v="471.42"/>
    <n v="824.81"/>
    <s v="Profit"/>
    <n v="8.7999999999999995E-2"/>
    <n v="15"/>
    <x v="312"/>
    <n v="7071.3"/>
    <x v="312"/>
    <n v="0.37330064531608231"/>
  </r>
  <r>
    <s v="ORD-2024-925626"/>
    <x v="273"/>
    <d v="2024-11-05T00:00:00"/>
    <d v="2024-11-05T00:00:00"/>
    <n v="1"/>
    <s v="Q4-2024"/>
    <x v="3"/>
    <x v="8"/>
    <x v="21"/>
    <s v="Corporate"/>
    <s v="Retail"/>
    <x v="12"/>
    <s v="Printers"/>
    <n v="0.36898050394396387"/>
    <s v="PRN-2293"/>
    <n v="840.68"/>
    <n v="1493.53"/>
    <s v="Profit"/>
    <n v="0"/>
    <n v="27"/>
    <x v="313"/>
    <n v="22698.359999999997"/>
    <x v="313"/>
    <n v="0.43711877230454027"/>
  </r>
  <r>
    <s v="ORD-2024-427031"/>
    <x v="274"/>
    <d v="2024-06-24T00:00:00"/>
    <d v="2024-06-24T00:00:00"/>
    <n v="16"/>
    <s v="Q2-2024"/>
    <x v="0"/>
    <x v="11"/>
    <x v="25"/>
    <s v="Education"/>
    <s v="Distributor"/>
    <x v="10"/>
    <s v="Monitors"/>
    <n v="4.604734562591719E-2"/>
    <s v="MON-1389"/>
    <n v="597.85"/>
    <n v="741.92"/>
    <s v="Profit"/>
    <n v="3.1E-2"/>
    <n v="7"/>
    <x v="314"/>
    <n v="4184.95"/>
    <x v="314"/>
    <n v="0.16840594108544515"/>
  </r>
  <r>
    <s v="ORD-2025-231184"/>
    <x v="262"/>
    <d v="2025-06-06T00:00:00"/>
    <d v="2025-06-06T00:00:00"/>
    <n v="5"/>
    <s v="Q2-2025"/>
    <x v="3"/>
    <x v="7"/>
    <x v="28"/>
    <s v="Consumer"/>
    <s v="Distributor"/>
    <x v="3"/>
    <s v="Components"/>
    <n v="8.034316823361666E-2"/>
    <s v="CMP-4093"/>
    <n v="379.45"/>
    <n v="742.23"/>
    <s v="Profit"/>
    <n v="0.09"/>
    <n v="13"/>
    <x v="315"/>
    <n v="4932.8499999999995"/>
    <x v="315"/>
    <n v="0.43820915083192286"/>
  </r>
  <r>
    <s v="ORD-2023-363031"/>
    <x v="275"/>
    <d v="2023-05-14T00:00:00"/>
    <d v="2023-05-14T00:00:00"/>
    <n v="8"/>
    <s v="Q2-2023"/>
    <x v="1"/>
    <x v="2"/>
    <x v="4"/>
    <s v="Enterprise"/>
    <s v="Marketplace"/>
    <x v="5"/>
    <s v="Phones"/>
    <n v="8.2921354689068208E-2"/>
    <s v="PHN-6131"/>
    <n v="291.18"/>
    <n v="479.54"/>
    <s v="Profit"/>
    <n v="0.14099999999999999"/>
    <n v="22"/>
    <x v="316"/>
    <n v="6405.96"/>
    <x v="316"/>
    <n v="0.29312350801066001"/>
  </r>
  <r>
    <s v="ORD-2023-619570"/>
    <x v="276"/>
    <d v="2023-11-30T00:00:00"/>
    <d v="2023-11-30T00:00:00"/>
    <n v="16"/>
    <s v="Q4-2023"/>
    <x v="2"/>
    <x v="5"/>
    <x v="8"/>
    <s v="Enterprise"/>
    <s v="Direct"/>
    <x v="11"/>
    <s v="Networking"/>
    <n v="0.149206916933422"/>
    <s v="NET-4104"/>
    <n v="1017.92"/>
    <n v="1175.25"/>
    <s v="Profit"/>
    <n v="7.4999999999999997E-2"/>
    <n v="15"/>
    <x v="317"/>
    <n v="15268.8"/>
    <x v="317"/>
    <n v="6.3642583234159542E-2"/>
  </r>
  <r>
    <s v="ORD-2025-861401"/>
    <x v="277"/>
    <d v="2025-04-27T00:00:00"/>
    <d v="2025-04-27T00:00:00"/>
    <n v="26"/>
    <s v="Q2-2025"/>
    <x v="2"/>
    <x v="10"/>
    <x v="24"/>
    <s v="Corporate"/>
    <s v="Direct"/>
    <x v="2"/>
    <s v="Monitors"/>
    <n v="2.6676688239805114E-2"/>
    <s v="MON-9319"/>
    <n v="156.55000000000001"/>
    <n v="227.45"/>
    <s v="Profit"/>
    <n v="1.4E-2"/>
    <n v="13"/>
    <x v="318"/>
    <n v="2035.15"/>
    <x v="318"/>
    <n v="0.3019440779396938"/>
  </r>
  <r>
    <s v="ORD-2023-835010"/>
    <x v="278"/>
    <d v="2023-04-15T00:00:00"/>
    <d v="2023-04-15T00:00:00"/>
    <n v="23"/>
    <s v="Q1-2023"/>
    <x v="0"/>
    <x v="0"/>
    <x v="13"/>
    <s v="Small Business"/>
    <s v="Retail"/>
    <x v="0"/>
    <s v="Accessories"/>
    <n v="0.48526958395917802"/>
    <s v="ACC-2988"/>
    <n v="875.36"/>
    <n v="1178.6199999999999"/>
    <s v="Profit"/>
    <n v="0.151"/>
    <n v="53"/>
    <x v="319"/>
    <n v="46394.080000000002"/>
    <x v="319"/>
    <n v="0.12520719815685888"/>
  </r>
  <r>
    <s v="ORD-2024-819979"/>
    <x v="91"/>
    <d v="2024-06-18T00:00:00"/>
    <d v="2024-06-18T00:00:00"/>
    <n v="21"/>
    <s v="Q2-2024"/>
    <x v="3"/>
    <x v="6"/>
    <x v="37"/>
    <s v="Small Business"/>
    <s v="Online"/>
    <x v="6"/>
    <s v="Phones"/>
    <n v="0.20478104074807402"/>
    <s v="PHN-9399"/>
    <n v="986.85"/>
    <n v="2422.1"/>
    <s v="Profit"/>
    <n v="7.5999999999999998E-2"/>
    <n v="10"/>
    <x v="320"/>
    <n v="9868.5"/>
    <x v="320"/>
    <n v="0.55905227673527913"/>
  </r>
  <r>
    <s v="ORD-2024-719055"/>
    <x v="279"/>
    <d v="2024-01-01T00:00:00"/>
    <d v="2024-01-09T00:00:00"/>
    <n v="7"/>
    <s v="Q1-2024"/>
    <x v="2"/>
    <x v="10"/>
    <x v="15"/>
    <s v="Education"/>
    <s v="Marketplace"/>
    <x v="5"/>
    <s v="Networking"/>
    <n v="6.8562662465690802E-2"/>
    <s v="NET-4554"/>
    <n v="404.77"/>
    <n v="433.88"/>
    <s v="Profit"/>
    <n v="0.215"/>
    <n v="22"/>
    <x v="321"/>
    <n v="8904.9399999999987"/>
    <x v="321"/>
    <n v="-0.18841747314558746"/>
  </r>
  <r>
    <s v="ORD-2023-888245"/>
    <x v="2"/>
    <d v="2023-02-27T00:00:00"/>
    <d v="2023-03-07T00:00:00"/>
    <n v="7"/>
    <s v="Q1-2023"/>
    <x v="3"/>
    <x v="7"/>
    <x v="11"/>
    <s v="Corporate"/>
    <s v="Retail"/>
    <x v="11"/>
    <s v="Networking"/>
    <n v="0.36185682885333104"/>
    <s v="NET-5195"/>
    <n v="1299.81"/>
    <n v="3149.13"/>
    <s v="Profit"/>
    <n v="0.10299999999999999"/>
    <n v="14"/>
    <x v="322"/>
    <n v="18197.34"/>
    <x v="322"/>
    <n v="0.53985273864511729"/>
  </r>
  <r>
    <s v="ORD-2024-206121"/>
    <x v="142"/>
    <d v="2024-03-11T00:00:00"/>
    <d v="2024-03-11T00:00:00"/>
    <n v="22"/>
    <s v="Q1-2024"/>
    <x v="2"/>
    <x v="5"/>
    <x v="8"/>
    <s v="Consumer"/>
    <s v="Online"/>
    <x v="8"/>
    <s v="Components"/>
    <n v="6.4347399372494413E-3"/>
    <s v="CMP-9801"/>
    <n v="80.48"/>
    <n v="65.650000000000006"/>
    <s v="Loss"/>
    <n v="0.17599999999999999"/>
    <n v="13"/>
    <x v="323"/>
    <n v="1046.24"/>
    <x v="323"/>
    <n v="-0.48773652570634191"/>
  </r>
  <r>
    <s v="ORD-2024-500890"/>
    <x v="191"/>
    <d v="2024-10-08T00:00:00"/>
    <d v="2024-10-08T00:00:00"/>
    <n v="29"/>
    <s v="Q3-2024"/>
    <x v="2"/>
    <x v="5"/>
    <x v="8"/>
    <s v="Education"/>
    <s v="Direct"/>
    <x v="1"/>
    <s v="Components"/>
    <n v="0.23804388985675548"/>
    <s v="CMP-3093"/>
    <n v="1010.33"/>
    <n v="2492.14"/>
    <s v="Profit"/>
    <n v="5.0999999999999997E-2"/>
    <n v="11"/>
    <x v="324"/>
    <n v="11113.630000000001"/>
    <x v="324"/>
    <n v="0.57280653493656752"/>
  </r>
  <r>
    <s v="ORD-2023-144816"/>
    <x v="239"/>
    <d v="2023-05-29T00:00:00"/>
    <d v="2023-05-29T00:00:00"/>
    <n v="22"/>
    <s v="Q2-2023"/>
    <x v="0"/>
    <x v="11"/>
    <x v="25"/>
    <s v="Education"/>
    <s v="Distributor"/>
    <x v="11"/>
    <s v="Accessories"/>
    <n v="8.9936746981069002E-2"/>
    <s v="ACC-2364"/>
    <n v="653.86"/>
    <n v="931.84"/>
    <s v="Profit"/>
    <n v="0.121"/>
    <n v="12"/>
    <x v="325"/>
    <n v="7846.32"/>
    <x v="325"/>
    <n v="0.20172129136506273"/>
  </r>
  <r>
    <s v="ORD-2024-153053"/>
    <x v="182"/>
    <d v="2024-01-29T00:00:00"/>
    <d v="2024-01-29T00:00:00"/>
    <n v="17"/>
    <s v="Q1-2024"/>
    <x v="1"/>
    <x v="4"/>
    <x v="34"/>
    <s v="Small Business"/>
    <s v="Direct"/>
    <x v="5"/>
    <s v="Components"/>
    <n v="2.1721985849025877E-2"/>
    <s v="CMP-5138"/>
    <n v="310.02"/>
    <n v="619.51"/>
    <s v="Profit"/>
    <n v="4.2000000000000003E-2"/>
    <n v="4"/>
    <x v="326"/>
    <n v="1240.08"/>
    <x v="326"/>
    <n v="0.47763282106347843"/>
  </r>
  <r>
    <s v="ORD-2023-536542"/>
    <x v="280"/>
    <d v="2023-06-18T00:00:00"/>
    <d v="2023-06-18T00:00:00"/>
    <n v="8"/>
    <s v="Q2-2023"/>
    <x v="0"/>
    <x v="0"/>
    <x v="16"/>
    <s v="Enterprise"/>
    <s v="Direct"/>
    <x v="10"/>
    <s v="Phones"/>
    <n v="3.4768567958308599E-2"/>
    <s v="PHN-2337"/>
    <n v="894.23"/>
    <n v="1421.55"/>
    <s v="Profit"/>
    <n v="0.109"/>
    <n v="3"/>
    <x v="327"/>
    <n v="2682.69"/>
    <x v="327"/>
    <n v="0.29399237431549574"/>
  </r>
  <r>
    <s v="ORD-2025-779530"/>
    <x v="281"/>
    <d v="2025-05-17T00:00:00"/>
    <d v="2025-05-26T00:00:00"/>
    <n v="7"/>
    <s v="Q2-2025"/>
    <x v="2"/>
    <x v="5"/>
    <x v="8"/>
    <s v="Small Business"/>
    <s v="Distributor"/>
    <x v="4"/>
    <s v="Monitors"/>
    <n v="5.700274815477125E-2"/>
    <s v="MON-2993"/>
    <n v="383.77"/>
    <n v="952.56"/>
    <s v="Profit"/>
    <n v="0.34599999999999997"/>
    <n v="10"/>
    <x v="328"/>
    <n v="3837.7"/>
    <x v="328"/>
    <n v="0.38397131797937578"/>
  </r>
  <r>
    <s v="ORD-2023-163610"/>
    <x v="282"/>
    <d v="2023-11-16T00:00:00"/>
    <d v="2023-11-16T00:00:00"/>
    <n v="25"/>
    <s v="Q4-2023"/>
    <x v="2"/>
    <x v="3"/>
    <x v="5"/>
    <s v="Small Business"/>
    <s v="Marketplace"/>
    <x v="2"/>
    <s v="Laptops"/>
    <n v="0.25397404922730576"/>
    <s v="LAP-9024"/>
    <n v="1373.31"/>
    <n v="3154.14"/>
    <s v="Profit"/>
    <n v="0.2"/>
    <n v="11"/>
    <x v="329"/>
    <n v="15106.41"/>
    <x v="329"/>
    <n v="0.45575101295440279"/>
  </r>
  <r>
    <s v="ORD-2025-653781"/>
    <x v="283"/>
    <d v="2025-01-23T00:00:00"/>
    <d v="2025-01-23T00:00:00"/>
    <n v="12"/>
    <s v="Q1-2025"/>
    <x v="2"/>
    <x v="10"/>
    <x v="36"/>
    <s v="Consumer"/>
    <s v="Distributor"/>
    <x v="10"/>
    <s v="Phones"/>
    <n v="2.3216457307740062E-2"/>
    <s v="PHN-6307"/>
    <n v="100.69"/>
    <n v="226.14"/>
    <s v="Profit"/>
    <n v="6.5000000000000002E-2"/>
    <n v="12"/>
    <x v="330"/>
    <n v="1208.28"/>
    <x v="330"/>
    <n v="0.52379128162999689"/>
  </r>
  <r>
    <s v="ORD-2025-737787"/>
    <x v="284"/>
    <d v="2025-09-26T00:00:00"/>
    <d v="2025-09-26T00:00:00"/>
    <n v="12"/>
    <s v="Q3-2025"/>
    <x v="3"/>
    <x v="8"/>
    <x v="21"/>
    <s v="Small Business"/>
    <s v="Direct"/>
    <x v="13"/>
    <s v="Networking"/>
    <n v="8.0195171451343653E-2"/>
    <s v="NET-9003"/>
    <n v="425.15"/>
    <n v="885.92"/>
    <s v="Profit"/>
    <n v="0.23899999999999999"/>
    <n v="13"/>
    <x v="331"/>
    <n v="5526.95"/>
    <x v="331"/>
    <n v="0.3693868532725848"/>
  </r>
  <r>
    <s v="ORD-2023-944052"/>
    <x v="52"/>
    <d v="2023-09-03T00:00:00"/>
    <d v="2023-09-03T00:00:00"/>
    <n v="4"/>
    <s v="Q3-2023"/>
    <x v="1"/>
    <x v="4"/>
    <x v="18"/>
    <s v="Small Business"/>
    <s v="Marketplace"/>
    <x v="4"/>
    <s v="Accessories"/>
    <n v="6.5014668376849549E-2"/>
    <s v="ACC-3068"/>
    <n v="1082.25"/>
    <n v="2433.34"/>
    <s v="Profit"/>
    <n v="0.27"/>
    <n v="4"/>
    <x v="332"/>
    <n v="4329"/>
    <x v="332"/>
    <n v="0.3907410199251472"/>
  </r>
  <r>
    <s v="ORD-2023-181257"/>
    <x v="285"/>
    <d v="2023-12-06T00:00:00"/>
    <d v="2023-12-06T00:00:00"/>
    <n v="21"/>
    <s v="Q4-2023"/>
    <x v="3"/>
    <x v="8"/>
    <x v="31"/>
    <s v="Education"/>
    <s v="Direct"/>
    <x v="10"/>
    <s v="Accessories"/>
    <n v="5.1332890458230862E-2"/>
    <s v="ACC-1060"/>
    <n v="1184.99"/>
    <n v="1154.3399999999999"/>
    <s v="Loss"/>
    <n v="2.8000000000000001E-2"/>
    <n v="5"/>
    <x v="333"/>
    <n v="5924.95"/>
    <x v="333"/>
    <n v="-5.6123424990290764E-2"/>
  </r>
  <r>
    <s v="ORD-2025-323492"/>
    <x v="60"/>
    <d v="2025-05-27T00:00:00"/>
    <d v="2025-05-27T00:00:00"/>
    <n v="30"/>
    <s v="Q2-2025"/>
    <x v="1"/>
    <x v="4"/>
    <x v="35"/>
    <s v="Enterprise"/>
    <s v="Marketplace"/>
    <x v="10"/>
    <s v="Phones"/>
    <n v="4.4436140613349842E-2"/>
    <s v="PHN-3854"/>
    <n v="481.32"/>
    <n v="1135.99"/>
    <s v="Profit"/>
    <n v="0.14499999999999999"/>
    <n v="5"/>
    <x v="334"/>
    <n v="2406.6"/>
    <x v="334"/>
    <n v="0.50444337677175621"/>
  </r>
  <r>
    <s v="ORD-2024-332076"/>
    <x v="286"/>
    <d v="2024-04-18T00:00:00"/>
    <d v="2024-04-18T00:00:00"/>
    <n v="9"/>
    <s v="Q2-2024"/>
    <x v="3"/>
    <x v="7"/>
    <x v="17"/>
    <s v="Consumer"/>
    <s v="Online"/>
    <x v="6"/>
    <s v="Printers"/>
    <n v="0.14840858202904803"/>
    <s v="PRN-1086"/>
    <n v="1288.8499999999999"/>
    <n v="2751.84"/>
    <s v="Profit"/>
    <n v="0.158"/>
    <n v="7"/>
    <x v="335"/>
    <n v="9021.9499999999989"/>
    <x v="335"/>
    <n v="0.44375373837538756"/>
  </r>
  <r>
    <s v="ORD-2024-571797"/>
    <x v="287"/>
    <d v="2024-07-31T00:00:00"/>
    <d v="2024-07-31T00:00:00"/>
    <n v="20"/>
    <s v="Q3-2024"/>
    <x v="1"/>
    <x v="9"/>
    <x v="14"/>
    <s v="Consumer"/>
    <s v="Online"/>
    <x v="3"/>
    <s v="Phones"/>
    <n v="0.25846962518056704"/>
    <s v="PHN-7815"/>
    <n v="647.26"/>
    <n v="1374.72"/>
    <s v="Profit"/>
    <n v="6.6000000000000003E-2"/>
    <n v="22"/>
    <x v="336"/>
    <n v="14239.72"/>
    <x v="336"/>
    <n v="0.49589890401508901"/>
  </r>
  <r>
    <s v="ORD-2024-129345"/>
    <x v="142"/>
    <d v="2024-03-03T00:00:00"/>
    <d v="2024-03-03T00:00:00"/>
    <n v="14"/>
    <s v="Q1-2024"/>
    <x v="2"/>
    <x v="5"/>
    <x v="35"/>
    <s v="Enterprise"/>
    <s v="Distributor"/>
    <x v="8"/>
    <s v="Printers"/>
    <n v="0.35260773278023066"/>
    <s v="PRN-5384"/>
    <n v="624.23"/>
    <n v="1318.37"/>
    <s v="Profit"/>
    <n v="0.21"/>
    <n v="37"/>
    <x v="337"/>
    <n v="23096.510000000002"/>
    <x v="337"/>
    <n v="0.40065038118128793"/>
  </r>
  <r>
    <s v="ORD-2023-660608"/>
    <x v="288"/>
    <d v="2023-08-10T00:00:00"/>
    <d v="2023-08-10T00:00:00"/>
    <n v="16"/>
    <s v="Q3-2023"/>
    <x v="0"/>
    <x v="1"/>
    <x v="1"/>
    <s v="Corporate"/>
    <s v="Distributor"/>
    <x v="2"/>
    <s v="Accessories"/>
    <n v="2.7647033166899232E-2"/>
    <s v="ACC-8178"/>
    <n v="506.83"/>
    <n v="441.74"/>
    <s v="Loss"/>
    <n v="0.24"/>
    <n v="9"/>
    <x v="338"/>
    <n v="4561.47"/>
    <x v="338"/>
    <n v="-0.50966989393618067"/>
  </r>
  <r>
    <s v="ORD-2023-825084"/>
    <x v="289"/>
    <d v="2023-07-21T00:00:00"/>
    <d v="2023-07-21T00:00:00"/>
    <n v="7"/>
    <s v="Q3-2023"/>
    <x v="0"/>
    <x v="11"/>
    <x v="25"/>
    <s v="Enterprise"/>
    <s v="Marketplace"/>
    <x v="15"/>
    <s v="Monitors"/>
    <n v="0.23887805388802524"/>
    <s v="MON-1018"/>
    <n v="620.74"/>
    <n v="1330.07"/>
    <s v="Profit"/>
    <n v="0.29899999999999999"/>
    <n v="28"/>
    <x v="339"/>
    <n v="17380.72"/>
    <x v="339"/>
    <n v="0.33424073965967516"/>
  </r>
  <r>
    <s v="ORD-2023-261081"/>
    <x v="245"/>
    <d v="2023-08-19T00:00:00"/>
    <d v="2023-08-19T00:00:00"/>
    <n v="26"/>
    <s v="Q3-2023"/>
    <x v="0"/>
    <x v="0"/>
    <x v="2"/>
    <s v="Enterprise"/>
    <s v="Distributor"/>
    <x v="12"/>
    <s v="Accessories"/>
    <n v="0.1561732944425358"/>
    <s v="ACC-1238"/>
    <n v="661.45"/>
    <n v="1634.86"/>
    <s v="Profit"/>
    <n v="0.56499999999999995"/>
    <n v="24"/>
    <x v="340"/>
    <n v="15874.800000000001"/>
    <x v="340"/>
    <n v="6.9905244092045793E-2"/>
  </r>
  <r>
    <s v="ORD-2023-766015"/>
    <x v="290"/>
    <d v="2023-04-11T00:00:00"/>
    <d v="2023-04-20T00:00:00"/>
    <n v="7"/>
    <s v="Q2-2023"/>
    <x v="2"/>
    <x v="10"/>
    <x v="24"/>
    <s v="Education"/>
    <s v="Marketplace"/>
    <x v="3"/>
    <s v="Networking"/>
    <n v="1.0204166377024726E-2"/>
    <s v="NET-1816"/>
    <n v="32.1"/>
    <n v="70.599999999999994"/>
    <s v="Profit"/>
    <n v="0.28199999999999997"/>
    <n v="22"/>
    <x v="341"/>
    <n v="706.2"/>
    <x v="341"/>
    <n v="0.36674899587301818"/>
  </r>
  <r>
    <s v="ORD-2024-333192"/>
    <x v="291"/>
    <d v="2024-11-04T00:00:00"/>
    <d v="2024-11-04T00:00:00"/>
    <n v="6"/>
    <s v="Q4-2024"/>
    <x v="0"/>
    <x v="0"/>
    <x v="2"/>
    <s v="Corporate"/>
    <s v="Distributor"/>
    <x v="12"/>
    <s v="Printers"/>
    <n v="0.18349092411217774"/>
    <s v="PRN-4893"/>
    <n v="805.81"/>
    <n v="1823.04"/>
    <s v="Profit"/>
    <n v="0"/>
    <n v="11"/>
    <x v="342"/>
    <n v="8863.91"/>
    <x v="342"/>
    <n v="0.55798556257679477"/>
  </r>
  <r>
    <s v="ORD-2024-647473"/>
    <x v="292"/>
    <d v="2024-03-04T00:00:00"/>
    <d v="2024-03-04T00:00:00"/>
    <n v="16"/>
    <s v="Q1-2024"/>
    <x v="1"/>
    <x v="4"/>
    <x v="18"/>
    <s v="Small Business"/>
    <s v="Marketplace"/>
    <x v="9"/>
    <s v="Phones"/>
    <n v="8.1791800267656409E-2"/>
    <s v="PHN-1717"/>
    <n v="1231.8"/>
    <n v="2015.99"/>
    <s v="Profit"/>
    <n v="0.26100000000000001"/>
    <n v="6"/>
    <x v="343"/>
    <n v="7390.7999999999993"/>
    <x v="343"/>
    <n v="0.17318682599464391"/>
  </r>
  <r>
    <s v="ORD-2024-892908"/>
    <x v="293"/>
    <d v="2024-07-12T00:00:00"/>
    <d v="2024-07-20T00:00:00"/>
    <n v="7"/>
    <s v="Q3-2024"/>
    <x v="1"/>
    <x v="2"/>
    <x v="32"/>
    <s v="Small Business"/>
    <s v="Marketplace"/>
    <x v="9"/>
    <s v="Networking"/>
    <n v="2.9052974690696384E-2"/>
    <s v="NET-9575"/>
    <n v="105.13"/>
    <n v="244.13"/>
    <s v="Profit"/>
    <n v="7.0999999999999994E-2"/>
    <n v="14"/>
    <x v="344"/>
    <n v="1471.82"/>
    <x v="344"/>
    <n v="0.53645724319618837"/>
  </r>
  <r>
    <s v="ORD-2023-573146"/>
    <x v="294"/>
    <d v="2023-12-18T00:00:00"/>
    <d v="2023-12-18T00:00:00"/>
    <n v="17"/>
    <s v="Q4-2023"/>
    <x v="1"/>
    <x v="2"/>
    <x v="32"/>
    <s v="Small Business"/>
    <s v="Direct"/>
    <x v="13"/>
    <s v="Laptops"/>
    <n v="0.12478251000845303"/>
    <s v="LAP-3604"/>
    <n v="1495.79"/>
    <n v="2783.12"/>
    <s v="Profit"/>
    <n v="0.02"/>
    <n v="5"/>
    <x v="345"/>
    <n v="7478.95"/>
    <x v="345"/>
    <n v="0.45158084217331185"/>
  </r>
  <r>
    <s v="ORD-2024-901115"/>
    <x v="19"/>
    <d v="2024-08-02T00:00:00"/>
    <d v="2024-08-02T00:00:00"/>
    <n v="8"/>
    <s v="Q3-2024"/>
    <x v="2"/>
    <x v="3"/>
    <x v="19"/>
    <s v="Consumer"/>
    <s v="Direct"/>
    <x v="1"/>
    <s v="Accessories"/>
    <n v="0.72361262169346885"/>
    <s v="ACC-6626"/>
    <n v="986.81"/>
    <n v="2050.31"/>
    <s v="Profit"/>
    <n v="0.10299999999999999"/>
    <n v="43"/>
    <x v="346"/>
    <n v="42432.829999999994"/>
    <x v="346"/>
    <n v="0.46343595310358138"/>
  </r>
  <r>
    <s v="ORD-2023-898009"/>
    <x v="177"/>
    <d v="2023-05-16T00:00:00"/>
    <d v="2023-05-16T00:00:00"/>
    <n v="12"/>
    <s v="Q2-2023"/>
    <x v="0"/>
    <x v="1"/>
    <x v="7"/>
    <s v="Small Business"/>
    <s v="Marketplace"/>
    <x v="1"/>
    <s v="Phones"/>
    <n v="2.019243438186934E-2"/>
    <s v="PHN-1670"/>
    <n v="77.739999999999995"/>
    <n v="147.12"/>
    <s v="Profit"/>
    <n v="0"/>
    <n v="15"/>
    <x v="347"/>
    <n v="1166.0999999999999"/>
    <x v="347"/>
    <n v="0.47158781946710177"/>
  </r>
  <r>
    <s v="ORD-2023-208944"/>
    <x v="295"/>
    <d v="2024-01-06T00:00:00"/>
    <d v="2024-01-06T00:00:00"/>
    <n v="16"/>
    <s v="Q4-2023"/>
    <x v="0"/>
    <x v="1"/>
    <x v="35"/>
    <s v="Corporate"/>
    <s v="Marketplace"/>
    <x v="11"/>
    <s v="Components"/>
    <n v="0.24850651921086625"/>
    <s v="CMP-4792"/>
    <n v="932.61"/>
    <n v="1982.98"/>
    <s v="Profit"/>
    <n v="0.14399999999999999"/>
    <n v="16"/>
    <x v="348"/>
    <n v="14921.76"/>
    <x v="348"/>
    <n v="0.45057556629345635"/>
  </r>
  <r>
    <s v="ORD-2025-480172"/>
    <x v="296"/>
    <d v="2025-07-05T00:00:00"/>
    <d v="2025-07-05T00:00:00"/>
    <n v="18"/>
    <s v="Q2-2025"/>
    <x v="1"/>
    <x v="4"/>
    <x v="18"/>
    <s v="Consumer"/>
    <s v="Marketplace"/>
    <x v="4"/>
    <s v="Laptops"/>
    <n v="0.11196859135384432"/>
    <s v="LAP-1990"/>
    <n v="982.93"/>
    <n v="2299.3000000000002"/>
    <s v="Profit"/>
    <n v="0.113"/>
    <n v="6"/>
    <x v="349"/>
    <n v="5897.58"/>
    <x v="349"/>
    <n v="0.51804850562087157"/>
  </r>
  <r>
    <s v="ORD-2023-735274"/>
    <x v="29"/>
    <d v="2023-03-08T00:00:00"/>
    <d v="2023-03-08T00:00:00"/>
    <n v="13"/>
    <s v="Q1-2023"/>
    <x v="3"/>
    <x v="8"/>
    <x v="31"/>
    <s v="Small Business"/>
    <s v="Direct"/>
    <x v="0"/>
    <s v="Printers"/>
    <n v="3.7808498968574508E-2"/>
    <s v="PRN-7410"/>
    <n v="307.37"/>
    <n v="462.61"/>
    <s v="Profit"/>
    <n v="0.188"/>
    <n v="11"/>
    <x v="350"/>
    <n v="3381.07"/>
    <x v="350"/>
    <n v="0.18174167709599739"/>
  </r>
  <r>
    <s v="ORD-2023-212701"/>
    <x v="297"/>
    <d v="2023-12-16T00:00:00"/>
    <d v="2023-12-16T00:00:00"/>
    <n v="14"/>
    <s v="Q4-2023"/>
    <x v="3"/>
    <x v="6"/>
    <x v="37"/>
    <s v="Education"/>
    <s v="Direct"/>
    <x v="13"/>
    <s v="Monitors"/>
    <n v="0.15085973613030468"/>
    <s v="MON-4278"/>
    <n v="879.08"/>
    <n v="1093.3900000000001"/>
    <s v="Profit"/>
    <n v="0.113"/>
    <n v="17"/>
    <x v="351"/>
    <n v="14944.36"/>
    <x v="351"/>
    <n v="9.3579577341935186E-2"/>
  </r>
  <r>
    <s v="ORD-2023-479747"/>
    <x v="289"/>
    <d v="2023-07-14T00:00:00"/>
    <d v="2023-07-14T00:00:00"/>
    <n v="0"/>
    <s v="Q3-2023"/>
    <x v="0"/>
    <x v="1"/>
    <x v="3"/>
    <s v="Education"/>
    <s v="Retail"/>
    <x v="2"/>
    <s v="Accessories"/>
    <n v="0.24295889674709001"/>
    <s v="ACC-5334"/>
    <n v="956.38"/>
    <n v="1454.22"/>
    <s v="Profit"/>
    <n v="3.9E-2"/>
    <n v="19"/>
    <x v="352"/>
    <n v="18171.22"/>
    <x v="352"/>
    <n v="0.31565202802576603"/>
  </r>
  <r>
    <s v="ORD-2024-915495"/>
    <x v="298"/>
    <d v="2024-08-20T00:00:00"/>
    <d v="2024-08-20T00:00:00"/>
    <n v="12"/>
    <s v="Q3-2024"/>
    <x v="1"/>
    <x v="2"/>
    <x v="4"/>
    <s v="Small Business"/>
    <s v="Retail"/>
    <x v="10"/>
    <s v="Networking"/>
    <n v="0.3185786395303809"/>
    <s v="NET-8957"/>
    <n v="1233.3599999999999"/>
    <n v="2120.4"/>
    <s v="Profit"/>
    <n v="0.17899999999999999"/>
    <n v="20"/>
    <x v="353"/>
    <n v="24667.199999999997"/>
    <x v="353"/>
    <n v="0.29151785991244278"/>
  </r>
  <r>
    <s v="ORD-2024-225829"/>
    <x v="299"/>
    <d v="2024-11-26T00:00:00"/>
    <d v="2024-11-26T00:00:00"/>
    <n v="19"/>
    <s v="Q4-2024"/>
    <x v="2"/>
    <x v="5"/>
    <x v="30"/>
    <s v="Non-Profit"/>
    <s v="Distributor"/>
    <x v="1"/>
    <s v="Printers"/>
    <n v="1.0267228846555202E-2"/>
    <s v="PRN-9960"/>
    <n v="55.35"/>
    <n v="128.68"/>
    <s v="Profit"/>
    <n v="0.128"/>
    <n v="10"/>
    <x v="354"/>
    <n v="553.5"/>
    <x v="354"/>
    <n v="0.50672388372550647"/>
  </r>
  <r>
    <s v="ORD-2024-921935"/>
    <x v="300"/>
    <d v="2024-01-27T00:00:00"/>
    <d v="2024-01-27T00:00:00"/>
    <n v="26"/>
    <s v="Q1-2024"/>
    <x v="3"/>
    <x v="8"/>
    <x v="31"/>
    <s v="Education"/>
    <s v="Distributor"/>
    <x v="14"/>
    <s v="Accessories"/>
    <n v="0.21223667056605033"/>
    <s v="ACC-3103"/>
    <n v="657.45"/>
    <n v="1325.96"/>
    <s v="Profit"/>
    <n v="0.16700000000000001"/>
    <n v="21"/>
    <x v="355"/>
    <n v="13806.45"/>
    <x v="355"/>
    <n v="0.40476658249048808"/>
  </r>
  <r>
    <s v="ORD-2025-949776"/>
    <x v="301"/>
    <d v="2025-09-11T00:00:00"/>
    <d v="2025-09-11T00:00:00"/>
    <n v="28"/>
    <s v="Q3-2025"/>
    <x v="2"/>
    <x v="5"/>
    <x v="8"/>
    <s v="Non-Profit"/>
    <s v="Direct"/>
    <x v="9"/>
    <s v="Printers"/>
    <n v="0.40176191648226217"/>
    <s v="PRN-9490"/>
    <n v="1203.02"/>
    <n v="2439.33"/>
    <s v="Profit"/>
    <n v="0"/>
    <n v="18"/>
    <x v="356"/>
    <n v="21654.36"/>
    <x v="356"/>
    <n v="0.50682359500354612"/>
  </r>
  <r>
    <s v="ORD-2024-510591"/>
    <x v="149"/>
    <d v="2024-04-21T00:00:00"/>
    <d v="2024-04-21T00:00:00"/>
    <n v="18"/>
    <s v="Q2-2024"/>
    <x v="2"/>
    <x v="5"/>
    <x v="10"/>
    <s v="Small Business"/>
    <s v="Distributor"/>
    <x v="5"/>
    <s v="Networking"/>
    <n v="0.45143387215644765"/>
    <s v="NET-3850"/>
    <n v="1176.69"/>
    <n v="2201.54"/>
    <s v="Profit"/>
    <n v="0.17"/>
    <n v="27"/>
    <x v="357"/>
    <n v="31770.63"/>
    <x v="357"/>
    <n v="0.35604222717701106"/>
  </r>
  <r>
    <s v="ORD-2024-961756"/>
    <x v="302"/>
    <d v="2024-12-07T00:00:00"/>
    <d v="2024-12-07T00:00:00"/>
    <n v="12"/>
    <s v="Q4-2024"/>
    <x v="1"/>
    <x v="9"/>
    <x v="23"/>
    <s v="Corporate"/>
    <s v="Distributor"/>
    <x v="8"/>
    <s v="Accessories"/>
    <n v="3.7257365559224022E-2"/>
    <s v="ACC-7047"/>
    <n v="769.9"/>
    <n v="814.36"/>
    <s v="Profit"/>
    <n v="0"/>
    <n v="5"/>
    <x v="358"/>
    <n v="3849.5"/>
    <x v="358"/>
    <n v="5.4595019401738831E-2"/>
  </r>
  <r>
    <s v="ORD-2024-892173"/>
    <x v="303"/>
    <d v="2024-02-03T00:00:00"/>
    <d v="2024-02-03T00:00:00"/>
    <n v="16"/>
    <s v="Q1-2024"/>
    <x v="0"/>
    <x v="11"/>
    <x v="33"/>
    <s v="Non-Profit"/>
    <s v="Distributor"/>
    <x v="4"/>
    <s v="Printers"/>
    <n v="0.1355470861633149"/>
    <s v="PRN-6660"/>
    <n v="666.23"/>
    <n v="1382.91"/>
    <s v="Profit"/>
    <n v="0.17599999999999999"/>
    <n v="13"/>
    <x v="359"/>
    <n v="8660.99"/>
    <x v="359"/>
    <n v="0.41534043907553048"/>
  </r>
  <r>
    <s v="ORD-2024-704056"/>
    <x v="304"/>
    <d v="2024-06-25T00:00:00"/>
    <d v="2024-06-25T00:00:00"/>
    <n v="2"/>
    <s v="Q2-2024"/>
    <x v="3"/>
    <x v="8"/>
    <x v="12"/>
    <s v="Small Business"/>
    <s v="Marketplace"/>
    <x v="4"/>
    <s v="Accessories"/>
    <n v="0.32178828132695608"/>
    <s v="ACC-7838"/>
    <n v="951.44"/>
    <n v="1646.43"/>
    <s v="Profit"/>
    <n v="0.11"/>
    <n v="24"/>
    <x v="360"/>
    <n v="22834.560000000001"/>
    <x v="360"/>
    <n v="0.35069592520473475"/>
  </r>
  <r>
    <s v="ORD-2025-591006"/>
    <x v="305"/>
    <d v="2025-07-10T00:00:00"/>
    <d v="2025-07-10T00:00:00"/>
    <n v="15"/>
    <s v="Q2-2025"/>
    <x v="3"/>
    <x v="8"/>
    <x v="12"/>
    <s v="Non-Profit"/>
    <s v="Marketplace"/>
    <x v="14"/>
    <s v="Phones"/>
    <n v="4.396135113103828E-2"/>
    <s v="PHN-5383"/>
    <n v="546.83000000000004"/>
    <n v="400.84"/>
    <s v="Loss"/>
    <n v="7.8E-2"/>
    <n v="13"/>
    <x v="361"/>
    <n v="7108.7900000000009"/>
    <x v="361"/>
    <n v="-0.47962056254533608"/>
  </r>
  <r>
    <s v="ORD-2023-159821"/>
    <x v="306"/>
    <d v="2023-07-08T00:00:00"/>
    <d v="2023-07-08T00:00:00"/>
    <n v="7"/>
    <s v="Q3-2023"/>
    <x v="0"/>
    <x v="1"/>
    <x v="1"/>
    <s v="Corporate"/>
    <s v="Retail"/>
    <x v="8"/>
    <s v="Laptops"/>
    <n v="0.75501762638502723"/>
    <s v="LAP-3904"/>
    <n v="834.26"/>
    <n v="1780.56"/>
    <s v="Profit"/>
    <n v="1.4E-2"/>
    <n v="47"/>
    <x v="362"/>
    <n v="39210.22"/>
    <x v="362"/>
    <n v="0.5248093427497933"/>
  </r>
  <r>
    <s v="ORD-2024-343877"/>
    <x v="307"/>
    <d v="2024-03-26T00:00:00"/>
    <d v="2024-03-26T00:00:00"/>
    <n v="17"/>
    <s v="Q1-2024"/>
    <x v="1"/>
    <x v="9"/>
    <x v="14"/>
    <s v="Enterprise"/>
    <s v="Online"/>
    <x v="11"/>
    <s v="Monitors"/>
    <n v="6.7051485125611265E-2"/>
    <s v="MON-5749"/>
    <n v="1029.67"/>
    <n v="1118.43"/>
    <s v="Profit"/>
    <n v="0.27200000000000002"/>
    <n v="9"/>
    <x v="363"/>
    <n v="9267.0300000000007"/>
    <x v="363"/>
    <n v="-0.26461367106736061"/>
  </r>
  <r>
    <s v="ORD-2023-386663"/>
    <x v="308"/>
    <d v="2023-06-28T00:00:00"/>
    <d v="2023-06-28T00:00:00"/>
    <n v="23"/>
    <s v="Q2-2023"/>
    <x v="3"/>
    <x v="8"/>
    <x v="12"/>
    <s v="Corporate"/>
    <s v="Direct"/>
    <x v="11"/>
    <s v="Printers"/>
    <n v="0.11636463145233938"/>
    <s v="PRN-3690"/>
    <n v="605.82000000000005"/>
    <n v="771.12"/>
    <s v="Profit"/>
    <n v="0.13200000000000001"/>
    <n v="19"/>
    <x v="364"/>
    <n v="11510.580000000002"/>
    <x v="364"/>
    <n v="9.4888851597986767E-2"/>
  </r>
  <r>
    <s v="ORD-2025-125517"/>
    <x v="309"/>
    <d v="2025-04-09T00:00:00"/>
    <d v="2025-04-09T00:00:00"/>
    <n v="19"/>
    <s v="Q1-2025"/>
    <x v="1"/>
    <x v="2"/>
    <x v="27"/>
    <s v="Small Business"/>
    <s v="Distributor"/>
    <x v="6"/>
    <s v="Components"/>
    <n v="0.19750204257538534"/>
    <s v="CMP-7055"/>
    <n v="1055.45"/>
    <n v="1210.04"/>
    <s v="Profit"/>
    <n v="8.9999999999999993E-3"/>
    <n v="18"/>
    <x v="365"/>
    <n v="18998.100000000002"/>
    <x v="365"/>
    <n v="0.1198346188053727"/>
  </r>
  <r>
    <s v="ORD-2024-819778"/>
    <x v="101"/>
    <d v="2024-06-15T00:00:00"/>
    <d v="2024-06-15T00:00:00"/>
    <n v="13"/>
    <s v="Q2-2024"/>
    <x v="0"/>
    <x v="0"/>
    <x v="13"/>
    <s v="Education"/>
    <s v="Online"/>
    <x v="7"/>
    <s v="Phones"/>
    <n v="0.17885996771359042"/>
    <s v="PHN-6866"/>
    <n v="1295.18"/>
    <n v="3024.03"/>
    <s v="Profit"/>
    <n v="0.192"/>
    <n v="8"/>
    <x v="366"/>
    <n v="10361.44"/>
    <x v="366"/>
    <n v="0.46993067378483178"/>
  </r>
  <r>
    <s v="ORD-2025-624006"/>
    <x v="310"/>
    <d v="2025-03-29T00:00:00"/>
    <d v="2025-03-29T00:00:00"/>
    <n v="14"/>
    <s v="Q1-2025"/>
    <x v="1"/>
    <x v="4"/>
    <x v="29"/>
    <s v="Enterprise"/>
    <s v="Direct"/>
    <x v="0"/>
    <s v="Components"/>
    <n v="0.16977429072850067"/>
    <s v="CMP-3259"/>
    <n v="935.83"/>
    <n v="2303.46"/>
    <s v="Profit"/>
    <n v="0.105"/>
    <n v="9"/>
    <x v="367"/>
    <n v="8422.4700000000012"/>
    <x v="367"/>
    <n v="0.54606543559174292"/>
  </r>
  <r>
    <s v="ORD-2023-132101"/>
    <x v="199"/>
    <d v="2023-10-09T00:00:00"/>
    <d v="2023-10-09T00:00:00"/>
    <n v="14"/>
    <s v="Q3-2023"/>
    <x v="2"/>
    <x v="10"/>
    <x v="39"/>
    <s v="Small Business"/>
    <s v="Marketplace"/>
    <x v="1"/>
    <s v="Laptops"/>
    <n v="0.12613030101786968"/>
    <s v="LAP-6750"/>
    <n v="1279.56"/>
    <n v="3083.8"/>
    <s v="Profit"/>
    <n v="0.106"/>
    <n v="5"/>
    <x v="368"/>
    <n v="6397.7999999999993"/>
    <x v="368"/>
    <n v="0.53587289455047848"/>
  </r>
  <r>
    <s v="ORD-2025-306903"/>
    <x v="35"/>
    <d v="2025-07-23T00:00:00"/>
    <d v="2025-07-23T00:00:00"/>
    <n v="29"/>
    <s v="Q2-2025"/>
    <x v="2"/>
    <x v="3"/>
    <x v="26"/>
    <s v="Non-Profit"/>
    <s v="Marketplace"/>
    <x v="2"/>
    <s v="Printers"/>
    <n v="4.1812042355955432E-2"/>
    <s v="PRN-3775"/>
    <n v="255.4"/>
    <n v="322.70999999999998"/>
    <s v="Profit"/>
    <n v="0.115"/>
    <n v="16"/>
    <x v="369"/>
    <n v="4086.4"/>
    <x v="369"/>
    <n v="0.10573713048412212"/>
  </r>
  <r>
    <s v="ORD-2023-813340"/>
    <x v="311"/>
    <d v="2024-01-03T00:00:00"/>
    <d v="2024-01-03T00:00:00"/>
    <n v="8"/>
    <s v="Q4-2023"/>
    <x v="3"/>
    <x v="7"/>
    <x v="17"/>
    <s v="Small Business"/>
    <s v="Retail"/>
    <x v="12"/>
    <s v="Laptops"/>
    <n v="3.7819648910952776E-2"/>
    <s v="LAP-2942"/>
    <n v="492.75"/>
    <n v="731.29"/>
    <s v="Profit"/>
    <n v="5.8000000000000003E-2"/>
    <n v="6"/>
    <x v="370"/>
    <n v="2956.5"/>
    <x v="370"/>
    <n v="0.28470350753528384"/>
  </r>
  <r>
    <s v="ORD-2023-855675"/>
    <x v="312"/>
    <d v="2023-02-28T00:00:00"/>
    <d v="2023-02-28T00:00:00"/>
    <n v="23"/>
    <s v="Q1-2023"/>
    <x v="2"/>
    <x v="10"/>
    <x v="36"/>
    <s v="Non-Profit"/>
    <s v="Distributor"/>
    <x v="4"/>
    <s v="Phones"/>
    <n v="0.15439370668875893"/>
    <s v="PHN-2036"/>
    <n v="1214.49"/>
    <n v="1533.95"/>
    <s v="Profit"/>
    <n v="0"/>
    <n v="11"/>
    <x v="371"/>
    <n v="13359.39"/>
    <x v="371"/>
    <n v="0.20825972163369086"/>
  </r>
  <r>
    <s v="ORD-2023-545150"/>
    <x v="89"/>
    <d v="2023-04-08T00:00:00"/>
    <d v="2023-04-08T00:00:00"/>
    <n v="2"/>
    <s v="Q2-2023"/>
    <x v="0"/>
    <x v="1"/>
    <x v="7"/>
    <s v="Small Business"/>
    <s v="Marketplace"/>
    <x v="11"/>
    <s v="Monitors"/>
    <n v="0.29536810727654678"/>
    <s v="MON-4373"/>
    <n v="720.35"/>
    <n v="1571.66"/>
    <s v="Profit"/>
    <n v="0.107"/>
    <n v="23"/>
    <x v="372"/>
    <n v="16568.05"/>
    <x v="372"/>
    <n v="0.4867446305622265"/>
  </r>
  <r>
    <s v="ORD-2025-269934"/>
    <x v="254"/>
    <d v="2025-04-10T00:00:00"/>
    <d v="2025-04-10T00:00:00"/>
    <n v="6"/>
    <s v="Q2-2025"/>
    <x v="3"/>
    <x v="8"/>
    <x v="12"/>
    <s v="Non-Profit"/>
    <s v="Direct"/>
    <x v="13"/>
    <s v="Printers"/>
    <n v="3.767541574663788E-2"/>
    <s v="PRN-8657"/>
    <n v="290.14"/>
    <n v="250.73"/>
    <s v="Loss"/>
    <n v="3.4000000000000002E-2"/>
    <n v="17"/>
    <x v="373"/>
    <n v="4932.38"/>
    <x v="373"/>
    <n v="-0.19790997038131072"/>
  </r>
  <r>
    <s v="ORD-2024-690270"/>
    <x v="313"/>
    <d v="2024-05-27T00:00:00"/>
    <d v="2024-05-27T00:00:00"/>
    <n v="10"/>
    <s v="Q2-2024"/>
    <x v="2"/>
    <x v="10"/>
    <x v="36"/>
    <s v="Non-Profit"/>
    <s v="Online"/>
    <x v="0"/>
    <s v="Phones"/>
    <n v="0.28370102830886651"/>
    <s v="PHN-7974"/>
    <n v="1484.23"/>
    <n v="3472.81"/>
    <s v="Profit"/>
    <n v="0.25600000000000001"/>
    <n v="12"/>
    <x v="374"/>
    <n v="17810.760000000002"/>
    <x v="374"/>
    <n v="0.42555659661803413"/>
  </r>
  <r>
    <s v="ORD-2024-868223"/>
    <x v="314"/>
    <d v="2024-03-19T00:00:00"/>
    <d v="2024-03-19T00:00:00"/>
    <n v="16"/>
    <s v="Q1-2024"/>
    <x v="1"/>
    <x v="9"/>
    <x v="38"/>
    <s v="Consumer"/>
    <s v="Distributor"/>
    <x v="3"/>
    <s v="Phones"/>
    <n v="0.35156523677511292"/>
    <s v="PHN-4915"/>
    <n v="988.83"/>
    <n v="1206.04"/>
    <s v="Profit"/>
    <n v="6.3E-2"/>
    <n v="34"/>
    <x v="375"/>
    <n v="33620.22"/>
    <x v="375"/>
    <n v="0.12497526236406606"/>
  </r>
  <r>
    <s v="ORD-2025-188059"/>
    <x v="232"/>
    <d v="2025-07-11T00:00:00"/>
    <d v="2025-07-11T00:00:00"/>
    <n v="14"/>
    <s v="Q2-2025"/>
    <x v="1"/>
    <x v="9"/>
    <x v="23"/>
    <s v="Small Business"/>
    <s v="Marketplace"/>
    <x v="4"/>
    <s v="Networking"/>
    <n v="0.39851869254814742"/>
    <s v="NET-3535"/>
    <n v="1227.7"/>
    <n v="2197.23"/>
    <s v="Profit"/>
    <n v="9.9000000000000005E-2"/>
    <n v="22"/>
    <x v="376"/>
    <n v="27009.4"/>
    <x v="376"/>
    <n v="0.37985685871873898"/>
  </r>
  <r>
    <s v="ORD-2023-281890"/>
    <x v="315"/>
    <d v="2023-04-04T00:00:00"/>
    <d v="2023-04-04T00:00:00"/>
    <n v="22"/>
    <s v="Q1-2023"/>
    <x v="0"/>
    <x v="11"/>
    <x v="25"/>
    <s v="Small Business"/>
    <s v="Retail"/>
    <x v="8"/>
    <s v="Components"/>
    <n v="0.1404421198555951"/>
    <s v="CMP-2574"/>
    <n v="1113.7"/>
    <n v="1620.6"/>
    <s v="Profit"/>
    <n v="0.13900000000000001"/>
    <n v="11"/>
    <x v="377"/>
    <n v="12250.7"/>
    <x v="377"/>
    <n v="0.20184133348182787"/>
  </r>
  <r>
    <s v="ORD-2025-636162"/>
    <x v="316"/>
    <d v="2025-01-20T00:00:00"/>
    <d v="2025-01-20T00:00:00"/>
    <n v="13"/>
    <s v="Q1-2025"/>
    <x v="0"/>
    <x v="11"/>
    <x v="33"/>
    <s v="Corporate"/>
    <s v="Direct"/>
    <x v="11"/>
    <s v="Networking"/>
    <n v="6.0173774345366859E-2"/>
    <s v="NET-7901"/>
    <n v="432.13"/>
    <n v="1034.6600000000001"/>
    <s v="Profit"/>
    <n v="9.1999999999999998E-2"/>
    <n v="7"/>
    <x v="378"/>
    <n v="3024.91"/>
    <x v="378"/>
    <n v="0.54002851476204794"/>
  </r>
  <r>
    <s v="ORD-2025-915869"/>
    <x v="317"/>
    <d v="2025-02-15T00:00:00"/>
    <d v="2025-02-15T00:00:00"/>
    <n v="9"/>
    <s v="Q1-2025"/>
    <x v="2"/>
    <x v="5"/>
    <x v="8"/>
    <s v="Non-Profit"/>
    <s v="Distributor"/>
    <x v="9"/>
    <s v="Networking"/>
    <n v="0.30378357368405079"/>
    <s v="NET-5482"/>
    <n v="837.39"/>
    <n v="1905.42"/>
    <s v="Profit"/>
    <n v="3.2000000000000001E-2"/>
    <n v="18"/>
    <x v="379"/>
    <n v="15073.02"/>
    <x v="379"/>
    <n v="0.54599389423350919"/>
  </r>
  <r>
    <s v="ORD-2025-192876"/>
    <x v="318"/>
    <d v="2025-02-17T00:00:00"/>
    <d v="2025-02-17T00:00:00"/>
    <n v="17"/>
    <s v="Q1-2025"/>
    <x v="3"/>
    <x v="8"/>
    <x v="21"/>
    <s v="Enterprise"/>
    <s v="Retail"/>
    <x v="10"/>
    <s v="Components"/>
    <n v="0.10369020932275691"/>
    <s v="CMP-5820"/>
    <n v="378.26"/>
    <n v="541.55999999999995"/>
    <s v="Profit"/>
    <n v="0.16300000000000001"/>
    <n v="25"/>
    <x v="380"/>
    <n v="9456.5"/>
    <x v="380"/>
    <n v="0.16551529573885526"/>
  </r>
  <r>
    <s v="ORD-2025-822030"/>
    <x v="83"/>
    <d v="2025-09-06T00:00:00"/>
    <d v="2025-09-06T00:00:00"/>
    <n v="30"/>
    <s v="Q3-2025"/>
    <x v="2"/>
    <x v="3"/>
    <x v="19"/>
    <s v="Education"/>
    <s v="Direct"/>
    <x v="12"/>
    <s v="Networking"/>
    <n v="0.11786329438755419"/>
    <s v="NET-1336"/>
    <n v="833.73"/>
    <n v="1116.5999999999999"/>
    <s v="Profit"/>
    <n v="0.17599999999999999"/>
    <n v="14"/>
    <x v="381"/>
    <n v="11672.220000000001"/>
    <x v="381"/>
    <n v="9.3848958958279924E-2"/>
  </r>
  <r>
    <s v="ORD-2025-789245"/>
    <x v="319"/>
    <d v="2025-08-17T00:00:00"/>
    <d v="2025-08-17T00:00:00"/>
    <n v="25"/>
    <s v="Q3-2025"/>
    <x v="3"/>
    <x v="8"/>
    <x v="12"/>
    <s v="Education"/>
    <s v="Online"/>
    <x v="2"/>
    <s v="Printers"/>
    <n v="0.34369851102655569"/>
    <s v="PRN-5876"/>
    <n v="1142.06"/>
    <n v="1455"/>
    <s v="Profit"/>
    <n v="7.8E-2"/>
    <n v="28"/>
    <x v="382"/>
    <n v="31977.68"/>
    <x v="382"/>
    <n v="0.1486757459877302"/>
  </r>
  <r>
    <s v="ORD-2023-594955"/>
    <x v="264"/>
    <d v="2023-07-08T00:00:00"/>
    <d v="2023-07-08T00:00:00"/>
    <n v="18"/>
    <s v="Q2-2023"/>
    <x v="2"/>
    <x v="10"/>
    <x v="39"/>
    <s v="Consumer"/>
    <s v="Marketplace"/>
    <x v="7"/>
    <s v="Networking"/>
    <n v="0.43639899617206768"/>
    <s v="NET-3828"/>
    <n v="1145.53"/>
    <n v="1278.3"/>
    <s v="Profit"/>
    <n v="0.09"/>
    <n v="41"/>
    <x v="383"/>
    <n v="46966.729999999996"/>
    <x v="383"/>
    <n v="1.5235722581416158E-2"/>
  </r>
  <r>
    <s v="ORD-2024-398783"/>
    <x v="320"/>
    <d v="2024-08-07T00:00:00"/>
    <d v="2024-08-07T00:00:00"/>
    <n v="20"/>
    <s v="Q3-2024"/>
    <x v="3"/>
    <x v="7"/>
    <x v="11"/>
    <s v="Corporate"/>
    <s v="Retail"/>
    <x v="9"/>
    <s v="Monitors"/>
    <n v="0.1396077671493223"/>
    <s v="MON-7622"/>
    <n v="941.35"/>
    <n v="899.83"/>
    <s v="Loss"/>
    <n v="5.8000000000000003E-2"/>
    <n v="18"/>
    <x v="384"/>
    <n v="16944.3"/>
    <x v="384"/>
    <n v="-0.11055419220139073"/>
  </r>
  <r>
    <s v="ORD-2023-676553"/>
    <x v="72"/>
    <d v="2023-06-19T00:00:00"/>
    <d v="2023-06-19T00:00:00"/>
    <n v="30"/>
    <s v="Q2-2023"/>
    <x v="1"/>
    <x v="4"/>
    <x v="18"/>
    <s v="Non-Profit"/>
    <s v="Marketplace"/>
    <x v="10"/>
    <s v="Laptops"/>
    <n v="0.2018960727635413"/>
    <s v="LAP-2806"/>
    <n v="1161.2"/>
    <n v="878.73"/>
    <s v="Loss"/>
    <n v="0.19"/>
    <n v="31"/>
    <x v="385"/>
    <n v="35997.200000000004"/>
    <x v="385"/>
    <n v="-0.63142290227212028"/>
  </r>
  <r>
    <s v="ORD-2025-866565"/>
    <x v="321"/>
    <d v="2025-05-26T00:00:00"/>
    <d v="2025-05-26T00:00:00"/>
    <n v="14"/>
    <s v="Q2-2025"/>
    <x v="1"/>
    <x v="4"/>
    <x v="34"/>
    <s v="Corporate"/>
    <s v="Marketplace"/>
    <x v="3"/>
    <s v="Printers"/>
    <n v="8.7720204024164861E-2"/>
    <s v="PRN-8850"/>
    <n v="320.12"/>
    <n v="594.41999999999996"/>
    <s v="Profit"/>
    <n v="0.104"/>
    <n v="18"/>
    <x v="386"/>
    <n v="5762.16"/>
    <x v="386"/>
    <n v="0.39894891538931104"/>
  </r>
  <r>
    <s v="ORD-2024-527858"/>
    <x v="322"/>
    <d v="2024-05-12T00:00:00"/>
    <d v="2024-05-12T00:00:00"/>
    <n v="5"/>
    <s v="Q2-2024"/>
    <x v="0"/>
    <x v="1"/>
    <x v="7"/>
    <s v="Non-Profit"/>
    <s v="Distributor"/>
    <x v="4"/>
    <s v="Laptops"/>
    <n v="0.18092818960877866"/>
    <s v="LAP-9100"/>
    <n v="1163.99"/>
    <n v="1617.85"/>
    <s v="Profit"/>
    <n v="0.127"/>
    <n v="14"/>
    <x v="387"/>
    <n v="16295.86"/>
    <x v="387"/>
    <n v="0.17586804797749436"/>
  </r>
  <r>
    <s v="ORD-2023-619385"/>
    <x v="323"/>
    <d v="2023-10-03T00:00:00"/>
    <d v="2023-10-03T00:00:00"/>
    <n v="3"/>
    <s v="Q3-2023"/>
    <x v="1"/>
    <x v="9"/>
    <x v="38"/>
    <s v="Non-Profit"/>
    <s v="Retail"/>
    <x v="1"/>
    <s v="Laptops"/>
    <n v="0.12909110692906911"/>
    <s v="LAP-5763"/>
    <n v="1019.36"/>
    <n v="972.91"/>
    <s v="Loss"/>
    <n v="0.14699999999999999"/>
    <n v="17"/>
    <x v="388"/>
    <n v="17329.12"/>
    <x v="388"/>
    <n v="-0.22830406545678819"/>
  </r>
  <r>
    <s v="ORD-2023-835226"/>
    <x v="324"/>
    <d v="2023-11-05T00:00:00"/>
    <d v="2023-11-05T00:00:00"/>
    <n v="10"/>
    <s v="Q4-2023"/>
    <x v="0"/>
    <x v="11"/>
    <x v="33"/>
    <s v="Non-Profit"/>
    <s v="Online"/>
    <x v="2"/>
    <s v="Laptops"/>
    <n v="3.9752823973356905E-3"/>
    <s v="LAP-7320"/>
    <n v="20.38"/>
    <n v="42.56"/>
    <s v="Profit"/>
    <n v="7.1999999999999995E-2"/>
    <n v="11"/>
    <x v="389"/>
    <n v="224.17999999999998"/>
    <x v="389"/>
    <n v="0.48399419885921713"/>
  </r>
  <r>
    <s v="ORD-2025-485946"/>
    <x v="325"/>
    <d v="2025-06-30T00:00:00"/>
    <d v="2025-06-30T00:00:00"/>
    <n v="15"/>
    <s v="Q2-2025"/>
    <x v="0"/>
    <x v="11"/>
    <x v="20"/>
    <s v="Small Business"/>
    <s v="Direct"/>
    <x v="0"/>
    <s v="Monitors"/>
    <n v="0.14770569782706844"/>
    <s v="MON-5891"/>
    <n v="1487.59"/>
    <n v="1480.83"/>
    <s v="Loss"/>
    <n v="8.9999999999999993E-3"/>
    <n v="11"/>
    <x v="390"/>
    <n v="16363.49"/>
    <x v="390"/>
    <n v="-1.3688201273492908E-2"/>
  </r>
  <r>
    <s v="ORD-2024-307849"/>
    <x v="326"/>
    <d v="2024-09-07T00:00:00"/>
    <d v="2024-09-07T00:00:00"/>
    <n v="28"/>
    <s v="Q3-2024"/>
    <x v="3"/>
    <x v="7"/>
    <x v="11"/>
    <s v="Non-Profit"/>
    <s v="Direct"/>
    <x v="9"/>
    <s v="Printers"/>
    <n v="2.310457632490635E-2"/>
    <s v="PRN-1183"/>
    <n v="229.96"/>
    <n v="564.26"/>
    <s v="Profit"/>
    <n v="0.105"/>
    <n v="5"/>
    <x v="391"/>
    <n v="1149.8"/>
    <x v="391"/>
    <n v="0.54464511486542821"/>
  </r>
  <r>
    <s v="ORD-2023-368449"/>
    <x v="327"/>
    <d v="2023-10-26T00:00:00"/>
    <d v="2023-10-26T00:00:00"/>
    <n v="17"/>
    <s v="Q4-2023"/>
    <x v="1"/>
    <x v="9"/>
    <x v="23"/>
    <s v="Consumer"/>
    <s v="Marketplace"/>
    <x v="0"/>
    <s v="Components"/>
    <n v="0.44010055862883507"/>
    <s v="CMP-2096"/>
    <n v="1132.03"/>
    <n v="2137.21"/>
    <s v="Profit"/>
    <n v="0.35699999999999998"/>
    <n v="35"/>
    <x v="392"/>
    <n v="39621.049999999996"/>
    <x v="392"/>
    <n v="0.17624177152284051"/>
  </r>
  <r>
    <s v="ORD-2024-251426"/>
    <x v="307"/>
    <d v="2024-03-26T00:00:00"/>
    <d v="2024-03-26T00:00:00"/>
    <n v="17"/>
    <s v="Q1-2024"/>
    <x v="2"/>
    <x v="10"/>
    <x v="24"/>
    <s v="Education"/>
    <s v="Direct"/>
    <x v="2"/>
    <s v="Phones"/>
    <n v="0.10326583715022293"/>
    <s v="PHN-3398"/>
    <n v="1137.4100000000001"/>
    <n v="1680.93"/>
    <s v="Profit"/>
    <n v="0.254"/>
    <n v="9"/>
    <x v="393"/>
    <n v="10236.69"/>
    <x v="393"/>
    <n v="9.2955516183121464E-2"/>
  </r>
  <r>
    <s v="ORD-2023-927385"/>
    <x v="328"/>
    <d v="2023-06-20T00:00:00"/>
    <d v="2023-06-20T00:00:00"/>
    <n v="22"/>
    <s v="Q2-2023"/>
    <x v="3"/>
    <x v="8"/>
    <x v="21"/>
    <s v="Small Business"/>
    <s v="Direct"/>
    <x v="11"/>
    <s v="Components"/>
    <n v="0.18118005756184566"/>
    <s v="CMP-8545"/>
    <n v="1295.3900000000001"/>
    <n v="2905.06"/>
    <s v="Profit"/>
    <n v="0.14799999999999999"/>
    <n v="8"/>
    <x v="394"/>
    <n v="10363.120000000001"/>
    <x v="394"/>
    <n v="0.47663359857556614"/>
  </r>
  <r>
    <s v="ORD-2025-486350"/>
    <x v="329"/>
    <d v="2025-06-08T00:00:00"/>
    <d v="2025-06-08T00:00:00"/>
    <n v="12"/>
    <s v="Q2-2025"/>
    <x v="1"/>
    <x v="2"/>
    <x v="4"/>
    <s v="Corporate"/>
    <s v="Retail"/>
    <x v="10"/>
    <s v="Accessories"/>
    <n v="0.13205180852916112"/>
    <s v="ACC-1249"/>
    <n v="653.6"/>
    <n v="842.09"/>
    <s v="Profit"/>
    <n v="9.8000000000000004E-2"/>
    <n v="19"/>
    <x v="395"/>
    <n v="12418.4"/>
    <x v="395"/>
    <n v="0.13950768517324622"/>
  </r>
  <r>
    <s v="ORD-2025-677880"/>
    <x v="164"/>
    <d v="2025-09-14T00:00:00"/>
    <d v="2025-09-14T00:00:00"/>
    <n v="24"/>
    <s v="Q3-2025"/>
    <x v="3"/>
    <x v="6"/>
    <x v="9"/>
    <s v="Non-Profit"/>
    <s v="Online"/>
    <x v="8"/>
    <s v="Monitors"/>
    <n v="0.51402297422120447"/>
    <s v="MON-9662"/>
    <n v="1397.67"/>
    <n v="3131.37"/>
    <s v="Profit"/>
    <n v="0.10299999999999999"/>
    <n v="20"/>
    <x v="396"/>
    <n v="27953.4"/>
    <x v="396"/>
    <n v="0.50240293062874808"/>
  </r>
  <r>
    <s v="ORD-2024-102866"/>
    <x v="330"/>
    <d v="2024-12-20T00:00:00"/>
    <d v="2024-12-20T00:00:00"/>
    <n v="8"/>
    <s v="Q4-2024"/>
    <x v="1"/>
    <x v="2"/>
    <x v="27"/>
    <s v="Corporate"/>
    <s v="Retail"/>
    <x v="5"/>
    <s v="Laptops"/>
    <n v="0.17056899368481451"/>
    <s v="LAP-8347"/>
    <n v="1202.47"/>
    <n v="1444.72"/>
    <s v="Profit"/>
    <n v="0.24099999999999999"/>
    <n v="17"/>
    <x v="397"/>
    <n v="20441.990000000002"/>
    <x v="397"/>
    <n v="-9.6601382921343834E-2"/>
  </r>
  <r>
    <s v="ORD-2025-588029"/>
    <x v="284"/>
    <d v="2025-09-23T00:00:00"/>
    <d v="2025-09-23T00:00:00"/>
    <n v="9"/>
    <s v="Q3-2025"/>
    <x v="0"/>
    <x v="11"/>
    <x v="25"/>
    <s v="Non-Profit"/>
    <s v="Online"/>
    <x v="14"/>
    <s v="Components"/>
    <n v="0.1206489993732176"/>
    <s v="CMP-6898"/>
    <n v="1310.3"/>
    <n v="2875.8"/>
    <s v="Profit"/>
    <n v="8.3000000000000004E-2"/>
    <n v="5"/>
    <x v="398"/>
    <n v="6551.5"/>
    <x v="398"/>
    <n v="0.50313005691157353"/>
  </r>
  <r>
    <s v="ORD-2024-972999"/>
    <x v="331"/>
    <d v="2024-10-04T00:00:00"/>
    <d v="2024-10-04T00:00:00"/>
    <n v="28"/>
    <s v="Q3-2024"/>
    <x v="0"/>
    <x v="11"/>
    <x v="33"/>
    <s v="Corporate"/>
    <s v="Marketplace"/>
    <x v="14"/>
    <s v="Monitors"/>
    <n v="0.11869508049157758"/>
    <s v="MON-3504"/>
    <n v="1174.17"/>
    <n v="1641.61"/>
    <s v="Profit"/>
    <n v="0.122"/>
    <n v="9"/>
    <x v="399"/>
    <n v="10567.53"/>
    <x v="399"/>
    <n v="0.18535860380079394"/>
  </r>
  <r>
    <s v="ORD-2025-608069"/>
    <x v="332"/>
    <d v="2025-04-30T00:00:00"/>
    <d v="2025-04-30T00:00:00"/>
    <n v="18"/>
    <s v="Q2-2025"/>
    <x v="0"/>
    <x v="0"/>
    <x v="0"/>
    <s v="Corporate"/>
    <s v="Marketplace"/>
    <x v="9"/>
    <s v="Networking"/>
    <n v="0.16224607300686295"/>
    <s v="NET-3432"/>
    <n v="1119.04"/>
    <n v="1299.02"/>
    <s v="Profit"/>
    <n v="2.5000000000000001E-2"/>
    <n v="14"/>
    <x v="400"/>
    <n v="15666.56"/>
    <x v="400"/>
    <n v="0.11646215352085933"/>
  </r>
  <r>
    <s v="ORD-2024-626750"/>
    <x v="175"/>
    <d v="2024-08-15T00:00:00"/>
    <d v="2024-08-15T00:00:00"/>
    <n v="3"/>
    <s v="Q3-2024"/>
    <x v="2"/>
    <x v="10"/>
    <x v="15"/>
    <s v="Corporate"/>
    <s v="Marketplace"/>
    <x v="14"/>
    <s v="Printers"/>
    <n v="0.15946025089995611"/>
    <s v="PRN-5591"/>
    <n v="850.7"/>
    <n v="1118.56"/>
    <s v="Profit"/>
    <n v="0.18"/>
    <n v="19"/>
    <x v="401"/>
    <n v="16163.300000000001"/>
    <x v="401"/>
    <n v="7.2522685962090688E-2"/>
  </r>
  <r>
    <s v="ORD-2024-170021"/>
    <x v="333"/>
    <d v="2024-11-08T00:00:00"/>
    <d v="2024-11-08T00:00:00"/>
    <n v="3"/>
    <s v="Q4-2024"/>
    <x v="2"/>
    <x v="3"/>
    <x v="5"/>
    <s v="Education"/>
    <s v="Marketplace"/>
    <x v="7"/>
    <s v="Components"/>
    <n v="0.15505838658162566"/>
    <s v="CMP-2015"/>
    <n v="1020.4"/>
    <n v="1184.71"/>
    <s v="Profit"/>
    <n v="0.106"/>
    <n v="16"/>
    <x v="402"/>
    <n v="16326.4"/>
    <x v="402"/>
    <n v="3.6568422138328345E-2"/>
  </r>
  <r>
    <s v="ORD-2024-678110"/>
    <x v="334"/>
    <d v="2024-08-08T00:00:00"/>
    <d v="2024-08-08T00:00:00"/>
    <n v="15"/>
    <s v="Q3-2024"/>
    <x v="3"/>
    <x v="7"/>
    <x v="11"/>
    <s v="Enterprise"/>
    <s v="Marketplace"/>
    <x v="10"/>
    <s v="Laptops"/>
    <n v="4.8041888742862297E-2"/>
    <s v="LAP-9901"/>
    <n v="501.5"/>
    <n v="1201.47"/>
    <s v="Profit"/>
    <n v="0.126"/>
    <n v="5"/>
    <x v="403"/>
    <n v="2507.5"/>
    <x v="403"/>
    <n v="0.52241951359394057"/>
  </r>
  <r>
    <s v="ORD-2025-909340"/>
    <x v="335"/>
    <d v="2025-02-03T00:00:00"/>
    <d v="2025-02-03T00:00:00"/>
    <n v="14"/>
    <s v="Q1-2025"/>
    <x v="2"/>
    <x v="5"/>
    <x v="10"/>
    <s v="Enterprise"/>
    <s v="Marketplace"/>
    <x v="9"/>
    <s v="Components"/>
    <n v="7.1663570912850486E-2"/>
    <s v="CMP-8658"/>
    <n v="974.11"/>
    <n v="880.99"/>
    <s v="Loss"/>
    <n v="0.111"/>
    <n v="10"/>
    <x v="404"/>
    <n v="9741.1"/>
    <x v="404"/>
    <n v="-0.2437562093805121"/>
  </r>
  <r>
    <s v="ORD-2023-854471"/>
    <x v="336"/>
    <d v="2023-04-04T00:00:00"/>
    <d v="2023-04-04T00:00:00"/>
    <n v="29"/>
    <s v="Q1-2023"/>
    <x v="1"/>
    <x v="9"/>
    <x v="38"/>
    <s v="Small Business"/>
    <s v="Direct"/>
    <x v="0"/>
    <s v="Monitors"/>
    <n v="0.12295260257643514"/>
    <s v="MON-2073"/>
    <n v="1126.29"/>
    <n v="2050.87"/>
    <s v="Profit"/>
    <n v="6.4000000000000001E-2"/>
    <n v="7"/>
    <x v="405"/>
    <n v="7884.03"/>
    <x v="405"/>
    <n v="0.41327276616690373"/>
  </r>
  <r>
    <s v="ORD-2024-390951"/>
    <x v="337"/>
    <d v="2025-01-14T00:00:00"/>
    <d v="2025-01-14T00:00:00"/>
    <n v="25"/>
    <s v="Q4-2024"/>
    <x v="1"/>
    <x v="4"/>
    <x v="18"/>
    <s v="Small Business"/>
    <s v="Retail"/>
    <x v="12"/>
    <s v="Printers"/>
    <n v="0.2054850473924705"/>
    <s v="PRN-9378"/>
    <n v="1361.34"/>
    <n v="1737.9"/>
    <s v="Profit"/>
    <n v="7.6999999999999999E-2"/>
    <n v="14"/>
    <x v="406"/>
    <n v="19058.759999999998"/>
    <x v="406"/>
    <n v="0.15132751654731813"/>
  </r>
  <r>
    <s v="ORD-2025-881624"/>
    <x v="338"/>
    <d v="2025-03-21T00:00:00"/>
    <d v="2025-03-21T00:00:00"/>
    <n v="28"/>
    <s v="Q1-2025"/>
    <x v="0"/>
    <x v="1"/>
    <x v="7"/>
    <s v="Enterprise"/>
    <s v="Marketplace"/>
    <x v="2"/>
    <s v="Phones"/>
    <n v="0.19710240695847786"/>
    <s v="PHN-5887"/>
    <n v="1437.39"/>
    <n v="1388.31"/>
    <s v="Loss"/>
    <n v="0.13800000000000001"/>
    <n v="18"/>
    <x v="407"/>
    <n v="25873.02"/>
    <x v="407"/>
    <n v="-0.20110479681341872"/>
  </r>
  <r>
    <s v="ORD-2025-512310"/>
    <x v="339"/>
    <d v="2025-03-15T00:00:00"/>
    <d v="2025-03-15T00:00:00"/>
    <n v="7"/>
    <s v="Q1-2025"/>
    <x v="1"/>
    <x v="4"/>
    <x v="6"/>
    <s v="Corporate"/>
    <s v="Distributor"/>
    <x v="11"/>
    <s v="Laptops"/>
    <n v="4.28198391796741E-2"/>
    <s v="LAP-8119"/>
    <n v="475.66"/>
    <n v="529.14"/>
    <s v="Profit"/>
    <n v="0.19600000000000001"/>
    <n v="11"/>
    <x v="408"/>
    <n v="5232.26"/>
    <x v="408"/>
    <n v="-0.11807256193613323"/>
  </r>
  <r>
    <s v="ORD-2023-674887"/>
    <x v="340"/>
    <d v="2023-12-19T00:00:00"/>
    <d v="2023-12-19T00:00:00"/>
    <n v="3"/>
    <s v="Q4-2023"/>
    <x v="1"/>
    <x v="9"/>
    <x v="38"/>
    <s v="Education"/>
    <s v="Retail"/>
    <x v="8"/>
    <s v="Accessories"/>
    <n v="0.21656962330675067"/>
    <s v="ACC-9644"/>
    <n v="1415.05"/>
    <n v="1972.38"/>
    <s v="Profit"/>
    <n v="0"/>
    <n v="12"/>
    <x v="409"/>
    <n v="16980.599999999999"/>
    <x v="409"/>
    <n v="0.28256725377462771"/>
  </r>
  <r>
    <s v="ORD-2024-542244"/>
    <x v="341"/>
    <d v="2024-09-05T00:00:00"/>
    <d v="2024-09-05T00:00:00"/>
    <n v="6"/>
    <s v="Q3-2024"/>
    <x v="1"/>
    <x v="2"/>
    <x v="32"/>
    <s v="Education"/>
    <s v="Online"/>
    <x v="13"/>
    <s v="Laptops"/>
    <n v="4.8715028632548278E-2"/>
    <s v="LAP-7009"/>
    <n v="466.16"/>
    <n v="876.81"/>
    <s v="Profit"/>
    <n v="0.24099999999999999"/>
    <n v="8"/>
    <x v="410"/>
    <n v="3729.28"/>
    <x v="410"/>
    <n v="0.29953291124691594"/>
  </r>
  <r>
    <s v="ORD-2024-375848"/>
    <x v="22"/>
    <d v="2024-05-21T00:00:00"/>
    <d v="2024-05-21T00:00:00"/>
    <n v="3"/>
    <s v="Q2-2024"/>
    <x v="3"/>
    <x v="7"/>
    <x v="11"/>
    <s v="Non-Profit"/>
    <s v="Marketplace"/>
    <x v="14"/>
    <s v="Printers"/>
    <n v="6.3134576505026491E-2"/>
    <s v="PRN-1725"/>
    <n v="663.66"/>
    <n v="824.26"/>
    <s v="Profit"/>
    <n v="0.23899999999999999"/>
    <n v="11"/>
    <x v="411"/>
    <n v="7300.2599999999993"/>
    <x v="411"/>
    <n v="-5.8027025587048933E-2"/>
  </r>
  <r>
    <s v="ORD-2023-933238"/>
    <x v="342"/>
    <d v="2023-04-06T00:00:00"/>
    <d v="2023-04-06T00:00:00"/>
    <n v="20"/>
    <s v="Q1-2023"/>
    <x v="3"/>
    <x v="6"/>
    <x v="22"/>
    <s v="Consumer"/>
    <s v="Retail"/>
    <x v="7"/>
    <s v="Phones"/>
    <n v="1.8840101264229431E-2"/>
    <s v="PHN-8483"/>
    <n v="692.18"/>
    <n v="1159.3499999999999"/>
    <s v="Profit"/>
    <n v="0.112"/>
    <n v="2"/>
    <x v="412"/>
    <n v="1384.36"/>
    <x v="412"/>
    <n v="0.32765602968734037"/>
  </r>
  <r>
    <s v="ORD-2023-732585"/>
    <x v="343"/>
    <d v="2023-09-16T00:00:00"/>
    <d v="2023-09-16T00:00:00"/>
    <n v="22"/>
    <s v="Q3-2023"/>
    <x v="0"/>
    <x v="1"/>
    <x v="7"/>
    <s v="Corporate"/>
    <s v="Marketplace"/>
    <x v="4"/>
    <s v="Phones"/>
    <n v="0.14762968668906273"/>
    <s v="PHN-3971"/>
    <n v="1196.83"/>
    <n v="2513.5100000000002"/>
    <s v="Profit"/>
    <n v="8.3000000000000004E-2"/>
    <n v="7"/>
    <x v="413"/>
    <n v="8377.81"/>
    <x v="413"/>
    <n v="0.48074281609445374"/>
  </r>
  <r>
    <s v="ORD-2024-465898"/>
    <x v="344"/>
    <d v="2024-06-24T00:00:00"/>
    <d v="2024-06-24T00:00:00"/>
    <n v="18"/>
    <s v="Q2-2024"/>
    <x v="1"/>
    <x v="4"/>
    <x v="6"/>
    <s v="Small Business"/>
    <s v="Direct"/>
    <x v="10"/>
    <s v="Networking"/>
    <n v="0.28835088222008765"/>
    <s v="NET-6578"/>
    <n v="1253.25"/>
    <n v="3087.13"/>
    <s v="Profit"/>
    <n v="7.1999999999999995E-2"/>
    <n v="11"/>
    <x v="414"/>
    <n v="13785.75"/>
    <x v="414"/>
    <n v="0.562543555408064"/>
  </r>
  <r>
    <s v="ORD-2023-987081"/>
    <x v="345"/>
    <d v="2023-09-13T00:00:00"/>
    <d v="2023-09-13T00:00:00"/>
    <n v="15"/>
    <s v="Q3-2023"/>
    <x v="2"/>
    <x v="3"/>
    <x v="26"/>
    <s v="Small Business"/>
    <s v="Marketplace"/>
    <x v="7"/>
    <s v="Printers"/>
    <n v="0.168466175455319"/>
    <s v="PRN-9975"/>
    <n v="1287.6400000000001"/>
    <n v="2717.15"/>
    <s v="Profit"/>
    <n v="3.2000000000000001E-2"/>
    <n v="7"/>
    <x v="415"/>
    <n v="9013.4800000000014"/>
    <x v="415"/>
    <n v="0.51044049405802105"/>
  </r>
  <r>
    <s v="ORD-2024-655710"/>
    <x v="25"/>
    <d v="2024-12-10T00:00:00"/>
    <d v="2024-12-10T00:00:00"/>
    <n v="10"/>
    <s v="Q4-2024"/>
    <x v="1"/>
    <x v="4"/>
    <x v="34"/>
    <s v="Small Business"/>
    <s v="Retail"/>
    <x v="9"/>
    <s v="Accessories"/>
    <n v="9.9677710552297225E-2"/>
    <s v="ACC-1075"/>
    <n v="851.49"/>
    <n v="901.79"/>
    <s v="Profit"/>
    <n v="0.245"/>
    <n v="16"/>
    <x v="416"/>
    <n v="13623.84"/>
    <x v="416"/>
    <n v="-0.25062522816100341"/>
  </r>
  <r>
    <s v="ORD-2025-411385"/>
    <x v="346"/>
    <d v="2025-06-14T00:00:00"/>
    <d v="2025-06-14T00:00:00"/>
    <n v="9"/>
    <s v="Q2-2025"/>
    <x v="1"/>
    <x v="4"/>
    <x v="18"/>
    <s v="Non-Profit"/>
    <s v="Retail"/>
    <x v="8"/>
    <s v="Accessories"/>
    <n v="7.2921346926583294E-2"/>
    <s v="ACC-2902"/>
    <n v="618.69000000000005"/>
    <n v="796.15"/>
    <s v="Profit"/>
    <n v="0.09"/>
    <n v="11"/>
    <x v="417"/>
    <n v="6805.59"/>
    <x v="417"/>
    <n v="0.14604142325049191"/>
  </r>
  <r>
    <s v="ORD-2025-222035"/>
    <x v="252"/>
    <d v="2025-04-08T00:00:00"/>
    <d v="2025-04-08T00:00:00"/>
    <n v="25"/>
    <s v="Q1-2025"/>
    <x v="1"/>
    <x v="9"/>
    <x v="35"/>
    <s v="Corporate"/>
    <s v="Distributor"/>
    <x v="14"/>
    <s v="Printers"/>
    <n v="6.7842330217966363E-3"/>
    <s v="PRN-5815"/>
    <n v="80.59"/>
    <n v="157.82"/>
    <s v="Profit"/>
    <n v="0.217"/>
    <n v="6"/>
    <x v="418"/>
    <n v="483.54"/>
    <x v="418"/>
    <n v="0.34783519967863541"/>
  </r>
  <r>
    <s v="ORD-2024-749242"/>
    <x v="347"/>
    <d v="2024-02-11T00:00:00"/>
    <d v="2024-02-11T00:00:00"/>
    <n v="26"/>
    <s v="Q1-2024"/>
    <x v="3"/>
    <x v="6"/>
    <x v="37"/>
    <s v="Non-Profit"/>
    <s v="Distributor"/>
    <x v="6"/>
    <s v="Monitors"/>
    <n v="8.7010896179485861E-2"/>
    <s v="MON-4195"/>
    <n v="504.93"/>
    <n v="819.06"/>
    <s v="Profit"/>
    <n v="0.22600000000000001"/>
    <n v="15"/>
    <x v="419"/>
    <n v="7573.95"/>
    <x v="419"/>
    <n v="0.20352069312959814"/>
  </r>
  <r>
    <s v="ORD-2023-623293"/>
    <x v="348"/>
    <d v="2023-10-29T00:00:00"/>
    <d v="2023-10-29T00:00:00"/>
    <n v="17"/>
    <s v="Q4-2023"/>
    <x v="1"/>
    <x v="2"/>
    <x v="32"/>
    <s v="Non-Profit"/>
    <s v="Direct"/>
    <x v="10"/>
    <s v="Phones"/>
    <n v="0.13293030917314996"/>
    <s v="PHN-8478"/>
    <n v="1102.19"/>
    <n v="1711.16"/>
    <s v="Profit"/>
    <n v="0.151"/>
    <n v="10"/>
    <x v="420"/>
    <n v="11021.900000000001"/>
    <x v="420"/>
    <n v="0.24132083675127525"/>
  </r>
  <r>
    <s v="ORD-2025-276968"/>
    <x v="349"/>
    <d v="2025-03-17T00:00:00"/>
    <d v="2025-03-17T00:00:00"/>
    <n v="20"/>
    <s v="Q1-2025"/>
    <x v="2"/>
    <x v="10"/>
    <x v="24"/>
    <s v="Non-Profit"/>
    <s v="Marketplace"/>
    <x v="10"/>
    <s v="Phones"/>
    <n v="9.1361122290576538E-2"/>
    <s v="PHN-1044"/>
    <n v="1205.26"/>
    <n v="1696.35"/>
    <s v="Profit"/>
    <n v="1.9E-2"/>
    <n v="6"/>
    <x v="421"/>
    <n v="7231.5599999999995"/>
    <x v="421"/>
    <n v="0.27573704374028213"/>
  </r>
  <r>
    <s v="ORD-2025-650841"/>
    <x v="350"/>
    <d v="2025-07-06T00:00:00"/>
    <d v="2025-07-06T00:00:00"/>
    <n v="3"/>
    <s v="Q3-2025"/>
    <x v="0"/>
    <x v="1"/>
    <x v="3"/>
    <s v="Consumer"/>
    <s v="Online"/>
    <x v="15"/>
    <s v="Laptops"/>
    <n v="0.93443484050486936"/>
    <s v="LAP-8910"/>
    <n v="1313.3"/>
    <n v="2884.34"/>
    <s v="Profit"/>
    <n v="0.157"/>
    <n v="42"/>
    <x v="422"/>
    <n v="55158.6"/>
    <x v="422"/>
    <n v="0.45988042551305253"/>
  </r>
  <r>
    <s v="ORD-2025-831576"/>
    <x v="165"/>
    <d v="2025-09-25T00:00:00"/>
    <d v="2025-09-25T00:00:00"/>
    <n v="10"/>
    <s v="Q3-2025"/>
    <x v="1"/>
    <x v="4"/>
    <x v="18"/>
    <s v="Consumer"/>
    <s v="Retail"/>
    <x v="8"/>
    <s v="Phones"/>
    <n v="0.27109285910468739"/>
    <s v="PHN-2859"/>
    <n v="1488.91"/>
    <n v="1483.74"/>
    <s v="Loss"/>
    <n v="0.16800000000000001"/>
    <n v="24"/>
    <x v="423"/>
    <n v="35733.840000000004"/>
    <x v="423"/>
    <n v="-0.20611110333450519"/>
  </r>
  <r>
    <s v="ORD-2024-468655"/>
    <x v="351"/>
    <d v="2024-03-06T00:00:00"/>
    <d v="2024-03-06T00:00:00"/>
    <n v="16"/>
    <s v="Q1-2024"/>
    <x v="1"/>
    <x v="9"/>
    <x v="38"/>
    <s v="Education"/>
    <s v="Marketplace"/>
    <x v="7"/>
    <s v="Printers"/>
    <n v="0.53154410325598467"/>
    <s v="PRN-6308"/>
    <n v="1477.84"/>
    <n v="3197.47"/>
    <s v="Profit"/>
    <n v="0.24299999999999999"/>
    <n v="24"/>
    <x v="424"/>
    <n v="35468.159999999996"/>
    <x v="424"/>
    <n v="0.38944462443823091"/>
  </r>
  <r>
    <s v="ORD-2024-515105"/>
    <x v="352"/>
    <d v="2024-03-26T00:00:00"/>
    <d v="2024-03-26T00:00:00"/>
    <n v="28"/>
    <s v="Q1-2024"/>
    <x v="1"/>
    <x v="4"/>
    <x v="29"/>
    <s v="Education"/>
    <s v="Marketplace"/>
    <x v="3"/>
    <s v="Laptops"/>
    <n v="0.14060938912148291"/>
    <s v="LAP-8469"/>
    <n v="1035.19"/>
    <n v="2322.6999999999998"/>
    <s v="Profit"/>
    <n v="0.17299999999999999"/>
    <n v="8"/>
    <x v="425"/>
    <n v="8281.52"/>
    <x v="425"/>
    <n v="0.46108355217047409"/>
  </r>
  <r>
    <s v="ORD-2025-803803"/>
    <x v="257"/>
    <d v="2025-09-05T00:00:00"/>
    <d v="2025-09-05T00:00:00"/>
    <n v="8"/>
    <s v="Q3-2025"/>
    <x v="0"/>
    <x v="1"/>
    <x v="1"/>
    <s v="Small Business"/>
    <s v="Marketplace"/>
    <x v="6"/>
    <s v="Laptops"/>
    <n v="0.2784888339493104"/>
    <s v="LAP-7553"/>
    <n v="1271.0999999999999"/>
    <n v="1932.42"/>
    <s v="Profit"/>
    <n v="0.25"/>
    <n v="21"/>
    <x v="426"/>
    <n v="26693.1"/>
    <x v="426"/>
    <n v="0.12296498690760807"/>
  </r>
  <r>
    <s v="ORD-2024-993481"/>
    <x v="353"/>
    <d v="2024-09-12T00:00:00"/>
    <d v="2024-09-12T00:00:00"/>
    <n v="25"/>
    <s v="Q3-2024"/>
    <x v="1"/>
    <x v="4"/>
    <x v="29"/>
    <s v="Consumer"/>
    <s v="Marketplace"/>
    <x v="0"/>
    <s v="Phones"/>
    <n v="0.17968746004302699"/>
    <s v="PHN-3077"/>
    <n v="1154.03"/>
    <n v="1590.36"/>
    <s v="Profit"/>
    <n v="0.314"/>
    <n v="18"/>
    <x v="427"/>
    <n v="20772.54"/>
    <x v="427"/>
    <n v="-5.7785328616576745E-2"/>
  </r>
  <r>
    <s v="ORD-2024-811752"/>
    <x v="354"/>
    <d v="2024-03-09T00:00:00"/>
    <d v="2024-03-09T00:00:00"/>
    <n v="13"/>
    <s v="Q1-2024"/>
    <x v="3"/>
    <x v="7"/>
    <x v="11"/>
    <s v="Small Business"/>
    <s v="Distributor"/>
    <x v="6"/>
    <s v="Monitors"/>
    <n v="0.12307557768605455"/>
    <s v="MON-3350"/>
    <n v="322.44"/>
    <n v="395.61"/>
    <s v="Profit"/>
    <n v="0"/>
    <n v="34"/>
    <x v="428"/>
    <n v="10962.96"/>
    <x v="428"/>
    <n v="0.18495487980586947"/>
  </r>
  <r>
    <s v="ORD-2025-673091"/>
    <x v="355"/>
    <d v="2025-05-13T00:00:00"/>
    <d v="2025-05-13T00:00:00"/>
    <n v="6"/>
    <s v="Q2-2025"/>
    <x v="1"/>
    <x v="4"/>
    <x v="6"/>
    <s v="Enterprise"/>
    <s v="Direct"/>
    <x v="1"/>
    <s v="Phones"/>
    <n v="0.37641909371902704"/>
    <s v="PHN-5683"/>
    <n v="935.98"/>
    <n v="2077.69"/>
    <s v="Profit"/>
    <n v="0.17499999999999999"/>
    <n v="24"/>
    <x v="429"/>
    <n v="22463.52"/>
    <x v="429"/>
    <n v="0.45395067978321491"/>
  </r>
  <r>
    <s v="ORD-2024-381197"/>
    <x v="356"/>
    <d v="2024-11-12T00:00:00"/>
    <d v="2024-11-12T00:00:00"/>
    <n v="11"/>
    <s v="Q4-2024"/>
    <x v="3"/>
    <x v="6"/>
    <x v="37"/>
    <s v="Consumer"/>
    <s v="Online"/>
    <x v="5"/>
    <s v="Printers"/>
    <n v="0.11854705506950049"/>
    <s v="PRN-2409"/>
    <n v="599.84"/>
    <n v="1330.85"/>
    <s v="Profit"/>
    <n v="0.115"/>
    <n v="11"/>
    <x v="430"/>
    <n v="6598.2400000000007"/>
    <x v="430"/>
    <n v="0.49071246892252063"/>
  </r>
  <r>
    <s v="ORD-2024-651852"/>
    <x v="357"/>
    <d v="2025-01-08T00:00:00"/>
    <d v="2025-01-08T00:00:00"/>
    <n v="11"/>
    <s v="Q4-2024"/>
    <x v="1"/>
    <x v="9"/>
    <x v="14"/>
    <s v="Enterprise"/>
    <s v="Online"/>
    <x v="11"/>
    <s v="Laptops"/>
    <n v="0.53123313757048063"/>
    <s v="LAP-8825"/>
    <n v="1201.31"/>
    <n v="2764.65"/>
    <s v="Profit"/>
    <n v="0"/>
    <n v="21"/>
    <x v="431"/>
    <n v="25227.51"/>
    <x v="431"/>
    <n v="0.56547483406579491"/>
  </r>
  <r>
    <s v="ORD-2023-659070"/>
    <x v="259"/>
    <d v="2023-10-21T00:00:00"/>
    <d v="2023-10-21T00:00:00"/>
    <n v="0"/>
    <s v="Q4-2023"/>
    <x v="3"/>
    <x v="8"/>
    <x v="31"/>
    <s v="Enterprise"/>
    <s v="Distributor"/>
    <x v="1"/>
    <s v="Monitors"/>
    <n v="2.4043014863252235E-2"/>
    <s v="MON-8697"/>
    <n v="384.19"/>
    <n v="278.35000000000002"/>
    <s v="Loss"/>
    <n v="5.6000000000000001E-2"/>
    <n v="10"/>
    <x v="432"/>
    <n v="3841.9"/>
    <x v="432"/>
    <n v="-0.46211938998882657"/>
  </r>
  <r>
    <s v="ORD-2024-837651"/>
    <x v="16"/>
    <d v="2024-12-19T00:00:00"/>
    <d v="2024-12-19T00:00:00"/>
    <n v="9"/>
    <s v="Q4-2024"/>
    <x v="0"/>
    <x v="1"/>
    <x v="3"/>
    <s v="Corporate"/>
    <s v="Retail"/>
    <x v="7"/>
    <s v="Monitors"/>
    <n v="0.11865808134175983"/>
    <s v="MON-4789"/>
    <n v="488.68"/>
    <n v="984.36"/>
    <s v="Profit"/>
    <n v="5.8999999999999997E-2"/>
    <n v="14"/>
    <x v="433"/>
    <n v="6841.52"/>
    <x v="433"/>
    <n v="0.47242891576649876"/>
  </r>
  <r>
    <s v="ORD-2024-581530"/>
    <x v="255"/>
    <d v="2024-09-18T00:00:00"/>
    <d v="2024-09-18T00:00:00"/>
    <n v="11"/>
    <s v="Q3-2024"/>
    <x v="1"/>
    <x v="9"/>
    <x v="38"/>
    <s v="Consumer"/>
    <s v="Distributor"/>
    <x v="7"/>
    <s v="Networking"/>
    <n v="1.784271798307073E-2"/>
    <s v="NET-7998"/>
    <n v="181.74"/>
    <n v="190.84"/>
    <s v="Profit"/>
    <n v="0.214"/>
    <n v="13"/>
    <x v="434"/>
    <n v="2362.62"/>
    <x v="434"/>
    <n v="-0.21159806144310159"/>
  </r>
  <r>
    <s v="ORD-2023-378104"/>
    <x v="358"/>
    <d v="2023-10-20T00:00:00"/>
    <d v="2023-10-20T00:00:00"/>
    <n v="2"/>
    <s v="Q4-2023"/>
    <x v="0"/>
    <x v="0"/>
    <x v="0"/>
    <s v="Consumer"/>
    <s v="Retail"/>
    <x v="1"/>
    <s v="Phones"/>
    <n v="0.24933099713229909"/>
    <s v="PHN-8891"/>
    <n v="774.12"/>
    <n v="908.3"/>
    <s v="Profit"/>
    <n v="0"/>
    <n v="30"/>
    <x v="435"/>
    <n v="23223.599999999999"/>
    <x v="435"/>
    <n v="0.14772652207420461"/>
  </r>
  <r>
    <s v="ORD-2024-972318"/>
    <x v="359"/>
    <d v="2025-01-13T00:00:00"/>
    <d v="2025-01-13T00:00:00"/>
    <n v="20"/>
    <s v="Q4-2024"/>
    <x v="1"/>
    <x v="4"/>
    <x v="6"/>
    <s v="Corporate"/>
    <s v="Marketplace"/>
    <x v="14"/>
    <s v="Networking"/>
    <n v="5.0750686430005493E-2"/>
    <s v="NET-9832"/>
    <n v="126.15"/>
    <n v="284.23"/>
    <s v="Profit"/>
    <n v="0.113"/>
    <n v="22"/>
    <x v="436"/>
    <n v="2775.3"/>
    <x v="436"/>
    <n v="0.49962716968541088"/>
  </r>
  <r>
    <s v="ORD-2023-752962"/>
    <x v="67"/>
    <d v="2023-04-19T00:00:00"/>
    <d v="2023-04-28T00:00:00"/>
    <n v="7"/>
    <s v="Q2-2023"/>
    <x v="1"/>
    <x v="2"/>
    <x v="32"/>
    <s v="Small Business"/>
    <s v="Direct"/>
    <x v="12"/>
    <s v="Components"/>
    <n v="6.7165273720697985E-2"/>
    <s v="CMP-8604"/>
    <n v="607.04"/>
    <n v="1229.3399999999999"/>
    <s v="Profit"/>
    <n v="0.14699999999999999"/>
    <n v="7"/>
    <x v="437"/>
    <n v="4249.28"/>
    <x v="437"/>
    <n v="0.42110970972310058"/>
  </r>
  <r>
    <s v="ORD-2023-808024"/>
    <x v="360"/>
    <d v="2024-01-08T00:00:00"/>
    <d v="2024-01-08T00:00:00"/>
    <n v="9"/>
    <s v="Q4-2023"/>
    <x v="3"/>
    <x v="7"/>
    <x v="11"/>
    <s v="Consumer"/>
    <s v="Marketplace"/>
    <x v="4"/>
    <s v="Accessories"/>
    <n v="0.22215382950593424"/>
    <s v="ACC-6594"/>
    <n v="861.1"/>
    <n v="1224.72"/>
    <s v="Profit"/>
    <n v="0.17399999999999999"/>
    <n v="24"/>
    <x v="438"/>
    <n v="20666.400000000001"/>
    <x v="438"/>
    <n v="0.14878997098827909"/>
  </r>
  <r>
    <s v="ORD-2023-156396"/>
    <x v="361"/>
    <d v="2023-03-12T00:00:00"/>
    <d v="2023-03-12T00:00:00"/>
    <n v="19"/>
    <s v="Q1-2023"/>
    <x v="0"/>
    <x v="0"/>
    <x v="16"/>
    <s v="Corporate"/>
    <s v="Online"/>
    <x v="9"/>
    <s v="Networking"/>
    <n v="2.5580363311188851E-2"/>
    <s v="NET-2499"/>
    <n v="352.65"/>
    <n v="485.86"/>
    <s v="Profit"/>
    <n v="4.1000000000000002E-2"/>
    <n v="6"/>
    <x v="439"/>
    <n v="2115.8999999999996"/>
    <x v="439"/>
    <n v="0.24314247159943908"/>
  </r>
  <r>
    <s v="ORD-2023-184577"/>
    <x v="362"/>
    <d v="2023-06-03T00:00:00"/>
    <d v="2023-06-03T00:00:00"/>
    <n v="17"/>
    <s v="Q2-2023"/>
    <x v="1"/>
    <x v="9"/>
    <x v="38"/>
    <s v="Non-Profit"/>
    <s v="Distributor"/>
    <x v="12"/>
    <s v="Printers"/>
    <n v="0.18915345258090419"/>
    <s v="PRN-1923"/>
    <n v="979.59"/>
    <n v="2210.94"/>
    <s v="Profit"/>
    <n v="0.15"/>
    <n v="11"/>
    <x v="440"/>
    <n v="10775.49"/>
    <x v="440"/>
    <n v="0.47874712858358359"/>
  </r>
  <r>
    <s v="ORD-2024-446030"/>
    <x v="363"/>
    <d v="2024-03-26T00:00:00"/>
    <d v="2024-03-26T00:00:00"/>
    <n v="3"/>
    <s v="Q1-2024"/>
    <x v="1"/>
    <x v="4"/>
    <x v="6"/>
    <s v="Education"/>
    <s v="Direct"/>
    <x v="3"/>
    <s v="Phones"/>
    <n v="0.11591807230724761"/>
    <s v="PHN-4346"/>
    <n v="382.21"/>
    <n v="571.89"/>
    <s v="Profit"/>
    <n v="0.14799999999999999"/>
    <n v="26"/>
    <x v="441"/>
    <n v="9937.4599999999991"/>
    <x v="441"/>
    <n v="0.2155776698578809"/>
  </r>
  <r>
    <s v="ORD-2023-842820"/>
    <x v="364"/>
    <d v="2023-09-28T00:00:00"/>
    <d v="2023-09-28T00:00:00"/>
    <n v="8"/>
    <s v="Q3-2023"/>
    <x v="1"/>
    <x v="4"/>
    <x v="35"/>
    <s v="Corporate"/>
    <s v="not provided"/>
    <x v="5"/>
    <s v="Accessories"/>
    <n v="0.28834778921274934"/>
    <s v="ACC-1375"/>
    <n v="1362.06"/>
    <n v="3398.37"/>
    <s v="Profit"/>
    <n v="0.157"/>
    <n v="11"/>
    <x v="442"/>
    <n v="14982.66"/>
    <x v="442"/>
    <n v="0.52455749745714919"/>
  </r>
  <r>
    <s v="ORD-2024-745424"/>
    <x v="365"/>
    <d v="2024-09-04T00:00:00"/>
    <d v="2024-09-04T00:00:00"/>
    <n v="13"/>
    <s v="Q3-2024"/>
    <x v="3"/>
    <x v="6"/>
    <x v="37"/>
    <s v="Non-Profit"/>
    <s v="Retail"/>
    <x v="4"/>
    <s v="Printers"/>
    <n v="5.4534971346532339E-2"/>
    <s v="PRN-4892"/>
    <n v="90.04"/>
    <n v="194.62"/>
    <s v="Profit"/>
    <n v="4.2999999999999997E-2"/>
    <n v="32"/>
    <x v="443"/>
    <n v="2881.28"/>
    <x v="443"/>
    <n v="0.51656723650954672"/>
  </r>
  <r>
    <s v="ORD-2024-510520"/>
    <x v="366"/>
    <d v="2024-10-03T00:00:00"/>
    <d v="2024-10-03T00:00:00"/>
    <n v="8"/>
    <s v="Q3-2024"/>
    <x v="2"/>
    <x v="3"/>
    <x v="5"/>
    <s v="Consumer"/>
    <s v="Online"/>
    <x v="6"/>
    <s v="Printers"/>
    <n v="0.19823173061443966"/>
    <s v="PRN-9557"/>
    <n v="558.19000000000005"/>
    <n v="1031.6400000000001"/>
    <s v="Profit"/>
    <n v="0"/>
    <n v="21"/>
    <x v="444"/>
    <n v="11721.990000000002"/>
    <x v="444"/>
    <n v="0.45892947152107322"/>
  </r>
  <r>
    <s v="ORD-2023-769774"/>
    <x v="367"/>
    <d v="2023-06-24T00:00:00"/>
    <d v="2023-06-24T00:00:00"/>
    <n v="11"/>
    <s v="Q2-2023"/>
    <x v="2"/>
    <x v="3"/>
    <x v="5"/>
    <s v="Corporate"/>
    <s v="Online"/>
    <x v="0"/>
    <s v="Printers"/>
    <n v="1.7616670323136227E-2"/>
    <s v="PRN-8008"/>
    <n v="247.07"/>
    <n v="495.19"/>
    <s v="Profit"/>
    <n v="2.8000000000000001E-2"/>
    <n v="4"/>
    <x v="445"/>
    <n v="988.28"/>
    <x v="445"/>
    <n v="0.48668744764968214"/>
  </r>
  <r>
    <s v="ORD-2023-580751"/>
    <x v="240"/>
    <d v="2024-01-13T00:00:00"/>
    <d v="2024-01-13T00:00:00"/>
    <n v="20"/>
    <s v="Q4-2023"/>
    <x v="1"/>
    <x v="2"/>
    <x v="32"/>
    <s v="Education"/>
    <s v="Direct"/>
    <x v="5"/>
    <s v="Laptops"/>
    <n v="8.9409701385457396E-2"/>
    <s v="LAP-1946"/>
    <n v="625.37"/>
    <n v="1319.04"/>
    <s v="Profit"/>
    <n v="7.3999999999999996E-2"/>
    <n v="8"/>
    <x v="446"/>
    <n v="5002.96"/>
    <x v="446"/>
    <n v="0.48800220436513547"/>
  </r>
  <r>
    <s v="ORD-2025-473192"/>
    <x v="258"/>
    <d v="2025-04-29T00:00:00"/>
    <d v="2025-04-29T00:00:00"/>
    <n v="30"/>
    <s v="Q1-2025"/>
    <x v="0"/>
    <x v="11"/>
    <x v="25"/>
    <s v="Consumer"/>
    <s v="Marketplace"/>
    <x v="1"/>
    <s v="Monitors"/>
    <n v="5.092328498697405E-2"/>
    <s v="MON-7106"/>
    <n v="194.6"/>
    <n v="314.87"/>
    <s v="Profit"/>
    <n v="0.29299999999999998"/>
    <n v="25"/>
    <x v="447"/>
    <n v="4865"/>
    <x v="447"/>
    <n v="0.1258375686712763"/>
  </r>
  <r>
    <s v="ORD-2024-886939"/>
    <x v="368"/>
    <d v="2024-06-24T00:00:00"/>
    <d v="2024-06-24T00:00:00"/>
    <n v="21"/>
    <s v="Q2-2024"/>
    <x v="2"/>
    <x v="3"/>
    <x v="5"/>
    <s v="Small Business"/>
    <s v="Direct"/>
    <x v="3"/>
    <s v="Monitors"/>
    <n v="0.41676115247225448"/>
    <s v="MON-5386"/>
    <n v="1205.5"/>
    <n v="2210.17"/>
    <s v="Profit"/>
    <n v="0.104"/>
    <n v="23"/>
    <x v="448"/>
    <n v="27726.5"/>
    <x v="448"/>
    <n v="0.39125763758314652"/>
  </r>
  <r>
    <s v="ORD-2024-566589"/>
    <x v="369"/>
    <d v="2024-07-09T00:00:00"/>
    <d v="2024-07-09T00:00:00"/>
    <n v="28"/>
    <s v="Q2-2024"/>
    <x v="0"/>
    <x v="1"/>
    <x v="1"/>
    <s v="Corporate"/>
    <s v="Marketplace"/>
    <x v="2"/>
    <s v="Phones"/>
    <n v="0.11244737384704943"/>
    <s v="PHN-2436"/>
    <n v="895.54"/>
    <n v="1045"/>
    <s v="Profit"/>
    <n v="0.216"/>
    <n v="15"/>
    <x v="449"/>
    <n v="13433.099999999999"/>
    <x v="449"/>
    <n v="-9.3081730299775234E-2"/>
  </r>
  <r>
    <s v="ORD-2023-109927"/>
    <x v="370"/>
    <d v="2023-07-21T00:00:00"/>
    <d v="2023-07-29T00:00:00"/>
    <n v="7"/>
    <s v="Q3-2023"/>
    <x v="1"/>
    <x v="4"/>
    <x v="18"/>
    <s v="Small Business"/>
    <s v="Distributor"/>
    <x v="6"/>
    <s v="Printers"/>
    <n v="0.11403446322958259"/>
    <s v="PRN-2301"/>
    <n v="946.99"/>
    <n v="2132.19"/>
    <s v="Profit"/>
    <n v="0.16500000000000001"/>
    <n v="7"/>
    <x v="450"/>
    <n v="6628.93"/>
    <x v="450"/>
    <n v="0.46809629513362228"/>
  </r>
  <r>
    <s v="ORD-2023-780206"/>
    <x v="371"/>
    <d v="2023-02-03T00:00:00"/>
    <d v="2023-02-03T00:00:00"/>
    <n v="15"/>
    <s v="Q1-2023"/>
    <x v="3"/>
    <x v="8"/>
    <x v="21"/>
    <s v="Enterprise"/>
    <s v="Distributor"/>
    <x v="3"/>
    <s v="Accessories"/>
    <n v="0.17960247137870741"/>
    <s v="ACC-3645"/>
    <n v="873.06"/>
    <n v="2101.5500000000002"/>
    <s v="Profit"/>
    <n v="6.6000000000000003E-2"/>
    <n v="10"/>
    <x v="451"/>
    <n v="8730.5999999999985"/>
    <x v="451"/>
    <n v="0.55520746719167269"/>
  </r>
  <r>
    <s v="ORD-2024-851993"/>
    <x v="372"/>
    <d v="2024-05-16T00:00:00"/>
    <d v="2024-05-16T00:00:00"/>
    <n v="15"/>
    <s v="Q2-2024"/>
    <x v="1"/>
    <x v="4"/>
    <x v="6"/>
    <s v="Small Business"/>
    <s v="Retail"/>
    <x v="4"/>
    <s v="Components"/>
    <n v="0.2168061086655016"/>
    <s v="CMP-6811"/>
    <n v="901.19"/>
    <n v="2125.44"/>
    <s v="Profit"/>
    <n v="7.0999999999999994E-2"/>
    <n v="12"/>
    <x v="452"/>
    <n v="10814.28"/>
    <x v="452"/>
    <n v="0.54359352154100415"/>
  </r>
  <r>
    <s v="ORD-2025-417942"/>
    <x v="56"/>
    <d v="2025-06-24T00:00:00"/>
    <d v="2025-06-24T00:00:00"/>
    <n v="15"/>
    <s v="Q2-2025"/>
    <x v="1"/>
    <x v="2"/>
    <x v="32"/>
    <s v="Corporate"/>
    <s v="Direct"/>
    <x v="5"/>
    <s v="Phones"/>
    <n v="0.10966291922216106"/>
    <s v="PHN-5675"/>
    <n v="400.39"/>
    <n v="712.75"/>
    <s v="Profit"/>
    <n v="0.115"/>
    <n v="19"/>
    <x v="453"/>
    <n v="7607.41"/>
    <x v="453"/>
    <n v="0.36524997671547504"/>
  </r>
  <r>
    <s v="ORD-2023-172095"/>
    <x v="373"/>
    <d v="2023-06-21T00:00:00"/>
    <d v="2023-06-21T00:00:00"/>
    <n v="28"/>
    <s v="Q2-2023"/>
    <x v="2"/>
    <x v="10"/>
    <x v="36"/>
    <s v="Small Business"/>
    <s v="Marketplace"/>
    <x v="3"/>
    <s v="Monitors"/>
    <n v="0.21166369212327235"/>
    <s v="MON-6882"/>
    <n v="813.97"/>
    <n v="1568.83"/>
    <s v="Profit"/>
    <n v="1.7000000000000001E-2"/>
    <n v="15"/>
    <x v="454"/>
    <n v="12209.550000000001"/>
    <x v="454"/>
    <n v="0.4721883215364911"/>
  </r>
  <r>
    <s v="ORD-2024-257550"/>
    <x v="6"/>
    <d v="2024-12-29T00:00:00"/>
    <d v="2024-12-29T00:00:00"/>
    <n v="2"/>
    <s v="Q4-2024"/>
    <x v="2"/>
    <x v="3"/>
    <x v="26"/>
    <s v="Enterprise"/>
    <s v="Marketplace"/>
    <x v="0"/>
    <s v="Accessories"/>
    <n v="0.13498869379889653"/>
    <s v="ACC-8620"/>
    <n v="1146.72"/>
    <n v="2074.34"/>
    <s v="Profit"/>
    <n v="0.111"/>
    <n v="8"/>
    <x v="455"/>
    <n v="9173.76"/>
    <x v="455"/>
    <n v="0.37816425337472737"/>
  </r>
  <r>
    <s v="ORD-2023-581799"/>
    <x v="374"/>
    <d v="2023-12-12T00:00:00"/>
    <d v="2023-12-12T00:00:00"/>
    <n v="7"/>
    <s v="Q4-2023"/>
    <x v="2"/>
    <x v="5"/>
    <x v="10"/>
    <s v="Corporate"/>
    <s v="Direct"/>
    <x v="9"/>
    <s v="Phones"/>
    <n v="0.19030353744128642"/>
    <s v="PHN-6506"/>
    <n v="307.43"/>
    <n v="495.19"/>
    <s v="Profit"/>
    <n v="0"/>
    <n v="42"/>
    <x v="456"/>
    <n v="12912.06"/>
    <x v="456"/>
    <n v="0.37916759223732305"/>
  </r>
  <r>
    <s v="ORD-2023-880296"/>
    <x v="129"/>
    <d v="2023-05-19T00:00:00"/>
    <d v="2023-05-19T00:00:00"/>
    <n v="17"/>
    <s v="Q2-2023"/>
    <x v="1"/>
    <x v="9"/>
    <x v="23"/>
    <s v="Non-Profit"/>
    <s v="Direct"/>
    <x v="1"/>
    <s v="Monitors"/>
    <n v="7.1871205100290256E-2"/>
    <s v="MON-5086"/>
    <n v="714.28"/>
    <n v="757.59"/>
    <s v="Profit"/>
    <n v="0.13600000000000001"/>
    <n v="12"/>
    <x v="457"/>
    <n v="8571.36"/>
    <x v="457"/>
    <n v="-9.1240595787910383E-2"/>
  </r>
  <r>
    <s v="ORD-2023-191563"/>
    <x v="134"/>
    <d v="2023-12-10T00:00:00"/>
    <d v="2023-12-10T00:00:00"/>
    <n v="10"/>
    <s v="Q4-2023"/>
    <x v="3"/>
    <x v="6"/>
    <x v="22"/>
    <s v="Small Business"/>
    <s v="Direct"/>
    <x v="9"/>
    <s v="Laptops"/>
    <n v="6.9936617262886774E-2"/>
    <s v="LAP-4899"/>
    <n v="174.74"/>
    <n v="415.96"/>
    <s v="Profit"/>
    <n v="0.125"/>
    <n v="21"/>
    <x v="458"/>
    <n v="3669.54"/>
    <x v="458"/>
    <n v="0.51989889137691803"/>
  </r>
  <r>
    <s v="ORD-2024-202166"/>
    <x v="375"/>
    <d v="2024-05-18T00:00:00"/>
    <d v="2024-05-18T00:00:00"/>
    <n v="13"/>
    <s v="Q2-2024"/>
    <x v="3"/>
    <x v="7"/>
    <x v="11"/>
    <s v="Corporate"/>
    <s v="Marketplace"/>
    <x v="8"/>
    <s v="Components"/>
    <n v="0.22254472824408278"/>
    <s v="CMP-3313"/>
    <n v="1264.04"/>
    <n v="1870.89"/>
    <s v="Profit"/>
    <n v="0"/>
    <n v="13"/>
    <x v="459"/>
    <n v="16432.52"/>
    <x v="459"/>
    <n v="0.32436433996653996"/>
  </r>
  <r>
    <s v="ORD-2023-539967"/>
    <x v="376"/>
    <d v="2023-07-19T00:00:00"/>
    <d v="2023-07-19T00:00:00"/>
    <n v="10"/>
    <s v="Q3-2023"/>
    <x v="1"/>
    <x v="2"/>
    <x v="27"/>
    <s v="Enterprise"/>
    <s v="Distributor"/>
    <x v="13"/>
    <s v="Components"/>
    <n v="1.5213816748183394E-2"/>
    <s v="CMP-6649"/>
    <n v="141.26"/>
    <n v="206.88"/>
    <s v="Profit"/>
    <n v="0.107"/>
    <n v="9"/>
    <x v="460"/>
    <n v="1271.3399999999999"/>
    <x v="460"/>
    <n v="0.23537369365062469"/>
  </r>
  <r>
    <s v="ORD-2023-704111"/>
    <x v="362"/>
    <d v="2023-06-15T00:00:00"/>
    <d v="2023-06-15T00:00:00"/>
    <n v="29"/>
    <s v="Q2-2023"/>
    <x v="0"/>
    <x v="11"/>
    <x v="25"/>
    <s v="Enterprise"/>
    <s v="Retail"/>
    <x v="11"/>
    <s v="Accessories"/>
    <n v="8.5111983838846994E-3"/>
    <s v="ACC-5206"/>
    <n v="40.89"/>
    <n v="62.82"/>
    <s v="Profit"/>
    <n v="0.129"/>
    <n v="17"/>
    <x v="461"/>
    <n v="695.13"/>
    <x v="461"/>
    <n v="0.25268960465470752"/>
  </r>
  <r>
    <s v="ORD-2024-356812"/>
    <x v="34"/>
    <d v="2024-04-03T00:00:00"/>
    <d v="2024-04-03T00:00:00"/>
    <n v="27"/>
    <s v="Q1-2024"/>
    <x v="3"/>
    <x v="6"/>
    <x v="37"/>
    <s v="Corporate"/>
    <s v="Direct"/>
    <x v="12"/>
    <s v="Printers"/>
    <n v="3.7108380017453424E-2"/>
    <s v="PRN-6911"/>
    <n v="738.16"/>
    <n v="956.49"/>
    <s v="Profit"/>
    <n v="0.152"/>
    <n v="5"/>
    <x v="462"/>
    <n v="3690.7999999999997"/>
    <x v="462"/>
    <n v="8.9931208780847108E-2"/>
  </r>
  <r>
    <s v="ORD-2025-306251"/>
    <x v="377"/>
    <d v="2025-04-19T00:00:00"/>
    <d v="2025-04-19T00:00:00"/>
    <n v="9"/>
    <s v="Q2-2025"/>
    <x v="0"/>
    <x v="11"/>
    <x v="25"/>
    <s v="Enterprise"/>
    <s v="not provided"/>
    <x v="3"/>
    <s v="Networking"/>
    <n v="1.726615645375142E-2"/>
    <s v="NET-5270"/>
    <n v="113.74"/>
    <n v="165.7"/>
    <s v="Profit"/>
    <n v="0.124"/>
    <n v="13"/>
    <x v="463"/>
    <n v="1478.62"/>
    <x v="463"/>
    <n v="0.21641410592394794"/>
  </r>
  <r>
    <s v="ORD-2025-496178"/>
    <x v="378"/>
    <d v="2025-08-15T00:00:00"/>
    <d v="2025-08-15T00:00:00"/>
    <n v="19"/>
    <s v="Q3-2025"/>
    <x v="1"/>
    <x v="2"/>
    <x v="27"/>
    <s v="Small Business"/>
    <s v="Marketplace"/>
    <x v="1"/>
    <s v="Components"/>
    <n v="1.6543795812491654E-2"/>
    <s v="CMP-5658"/>
    <n v="275.43"/>
    <n v="608.36"/>
    <s v="Profit"/>
    <n v="0.25700000000000001"/>
    <n v="4"/>
    <x v="464"/>
    <n v="1101.72"/>
    <x v="464"/>
    <n v="0.39065706915231446"/>
  </r>
  <r>
    <s v="ORD-2024-508213"/>
    <x v="379"/>
    <d v="2024-12-15T00:00:00"/>
    <d v="2024-12-15T00:00:00"/>
    <n v="23"/>
    <s v="Q4-2024"/>
    <x v="0"/>
    <x v="0"/>
    <x v="13"/>
    <s v="Non-Profit"/>
    <s v="Distributor"/>
    <x v="0"/>
    <s v="Components"/>
    <n v="0.76985366783039288"/>
    <s v="CMP-3938"/>
    <n v="1335.76"/>
    <n v="2665.91"/>
    <s v="Profit"/>
    <n v="0.21099999999999999"/>
    <n v="40"/>
    <x v="465"/>
    <n v="53430.400000000001"/>
    <x v="465"/>
    <n v="0.36495288522909253"/>
  </r>
  <r>
    <s v="ORD-2024-787018"/>
    <x v="304"/>
    <d v="2024-06-28T00:00:00"/>
    <d v="2024-06-28T00:00:00"/>
    <n v="5"/>
    <s v="Q2-2024"/>
    <x v="0"/>
    <x v="1"/>
    <x v="1"/>
    <s v="Non-Profit"/>
    <s v="Direct"/>
    <x v="12"/>
    <s v="Accessories"/>
    <n v="2.4886953028293315E-2"/>
    <s v="ACC-7671"/>
    <n v="242.31"/>
    <n v="587.95000000000005"/>
    <s v="Profit"/>
    <n v="0.22900000000000001"/>
    <n v="6"/>
    <x v="466"/>
    <n v="1453.8600000000001"/>
    <x v="466"/>
    <n v="0.46546448568411714"/>
  </r>
  <r>
    <s v="ORD-2023-728177"/>
    <x v="380"/>
    <d v="2024-01-14T00:00:00"/>
    <d v="2024-01-14T00:00:00"/>
    <n v="27"/>
    <s v="Q4-2023"/>
    <x v="1"/>
    <x v="4"/>
    <x v="29"/>
    <s v="Consumer"/>
    <s v="Distributor"/>
    <x v="14"/>
    <s v="Networking"/>
    <n v="0.13049799365790143"/>
    <s v="NET-6014"/>
    <n v="1408.3"/>
    <n v="2193.13"/>
    <s v="Profit"/>
    <n v="7.0999999999999994E-2"/>
    <n v="7"/>
    <x v="467"/>
    <n v="9858.1"/>
    <x v="467"/>
    <n v="0.30878191957656281"/>
  </r>
  <r>
    <s v="ORD-2025-795385"/>
    <x v="262"/>
    <d v="2025-06-05T00:00:00"/>
    <d v="2025-06-05T00:00:00"/>
    <n v="4"/>
    <s v="Q2-2025"/>
    <x v="3"/>
    <x v="6"/>
    <x v="22"/>
    <s v="Enterprise"/>
    <s v="Direct"/>
    <x v="12"/>
    <s v="Components"/>
    <n v="0.23121462829189354"/>
    <s v="CMP-4159"/>
    <n v="1171.42"/>
    <n v="2187.8000000000002"/>
    <s v="Profit"/>
    <n v="0.23"/>
    <n v="15"/>
    <x v="468"/>
    <n v="17571.300000000003"/>
    <x v="468"/>
    <n v="0.30463265594447592"/>
  </r>
  <r>
    <s v="ORD-2025-947929"/>
    <x v="381"/>
    <d v="2025-04-02T00:00:00"/>
    <d v="2025-04-02T00:00:00"/>
    <n v="10"/>
    <s v="Q1-2025"/>
    <x v="3"/>
    <x v="6"/>
    <x v="9"/>
    <s v="Enterprise"/>
    <s v="Online"/>
    <x v="6"/>
    <s v="Printers"/>
    <n v="0.14870939165572583"/>
    <s v="PRN-3159"/>
    <n v="663.61"/>
    <n v="1002.11"/>
    <s v="Profit"/>
    <n v="4.5999999999999999E-2"/>
    <n v="17"/>
    <x v="469"/>
    <n v="11281.37"/>
    <x v="469"/>
    <n v="0.30585667595670812"/>
  </r>
  <r>
    <s v="ORD-2023-931633"/>
    <x v="382"/>
    <d v="2023-05-22T00:00:00"/>
    <d v="2023-05-22T00:00:00"/>
    <n v="8"/>
    <s v="Q2-2023"/>
    <x v="0"/>
    <x v="0"/>
    <x v="13"/>
    <s v="Small Business"/>
    <s v="Distributor"/>
    <x v="9"/>
    <s v="Printers"/>
    <n v="9.5417737888421991E-2"/>
    <s v="PRN-9488"/>
    <n v="432.01"/>
    <n v="913.78"/>
    <s v="Profit"/>
    <n v="4.9000000000000002E-2"/>
    <n v="12"/>
    <x v="470"/>
    <n v="5184.12"/>
    <x v="470"/>
    <n v="0.50286809699711899"/>
  </r>
  <r>
    <s v="ORD-2023-243704"/>
    <x v="345"/>
    <d v="2023-09-19T00:00:00"/>
    <d v="2023-09-19T00:00:00"/>
    <n v="21"/>
    <s v="Q3-2023"/>
    <x v="3"/>
    <x v="7"/>
    <x v="17"/>
    <s v="Small Business"/>
    <s v="Direct"/>
    <x v="5"/>
    <s v="Printers"/>
    <n v="0.33443082836112259"/>
    <s v="PRN-7079"/>
    <n v="784.46"/>
    <n v="1843.51"/>
    <s v="Profit"/>
    <n v="0.13800000000000001"/>
    <n v="23"/>
    <x v="471"/>
    <n v="18042.580000000002"/>
    <x v="471"/>
    <n v="0.50635125184441798"/>
  </r>
  <r>
    <s v="ORD-2025-779659"/>
    <x v="350"/>
    <d v="2025-07-23T00:00:00"/>
    <d v="2025-07-23T00:00:00"/>
    <n v="20"/>
    <s v="Q3-2025"/>
    <x v="1"/>
    <x v="9"/>
    <x v="38"/>
    <s v="Small Business"/>
    <s v="Online"/>
    <x v="12"/>
    <s v="Components"/>
    <n v="0.14067874685784987"/>
    <s v="CMP-1220"/>
    <n v="647.36"/>
    <n v="1383.6"/>
    <s v="Profit"/>
    <n v="7.3999999999999996E-2"/>
    <n v="12"/>
    <x v="472"/>
    <n v="7768.32"/>
    <x v="472"/>
    <n v="0.49472906000997802"/>
  </r>
  <r>
    <s v="ORD-2024-647571"/>
    <x v="383"/>
    <d v="2024-02-28T00:00:00"/>
    <d v="2024-02-28T00:00:00"/>
    <n v="22"/>
    <s v="Q1-2024"/>
    <x v="0"/>
    <x v="0"/>
    <x v="0"/>
    <s v="Non-Profit"/>
    <s v="Online"/>
    <x v="11"/>
    <s v="Monitors"/>
    <n v="7.6222608828883653E-2"/>
    <s v="MON-2462"/>
    <n v="834.93"/>
    <n v="1588.53"/>
    <s v="Profit"/>
    <n v="0.126"/>
    <n v="6"/>
    <x v="473"/>
    <n v="5009.58"/>
    <x v="473"/>
    <n v="0.39862798761274343"/>
  </r>
  <r>
    <s v="ORD-2025-683043"/>
    <x v="384"/>
    <d v="2025-09-03T00:00:00"/>
    <d v="2025-09-03T00:00:00"/>
    <n v="21"/>
    <s v="Q3-2025"/>
    <x v="3"/>
    <x v="7"/>
    <x v="28"/>
    <s v="Education"/>
    <s v="Retail"/>
    <x v="2"/>
    <s v="Phones"/>
    <n v="0.17598707126922047"/>
    <s v="PHN-9465"/>
    <n v="603.47"/>
    <n v="1344.05"/>
    <s v="Profit"/>
    <n v="0.20499999999999999"/>
    <n v="18"/>
    <x v="474"/>
    <n v="10862.460000000001"/>
    <x v="474"/>
    <n v="0.43522803392262976"/>
  </r>
  <r>
    <s v="ORD-2023-588455"/>
    <x v="207"/>
    <d v="2023-05-25T00:00:00"/>
    <d v="2023-05-25T00:00:00"/>
    <n v="2"/>
    <s v="Q2-2023"/>
    <x v="2"/>
    <x v="5"/>
    <x v="30"/>
    <s v="Enterprise"/>
    <s v="Retail"/>
    <x v="12"/>
    <s v="Printers"/>
    <n v="0.24882913297003725"/>
    <s v="PRN-1271"/>
    <n v="690.49"/>
    <n v="1290.29"/>
    <s v="Profit"/>
    <n v="4.2000000000000003E-2"/>
    <n v="22"/>
    <x v="475"/>
    <n v="15190.78"/>
    <x v="475"/>
    <n v="0.44139534199647718"/>
  </r>
  <r>
    <s v="ORD-2024-641220"/>
    <x v="385"/>
    <d v="2024-05-16T00:00:00"/>
    <d v="2024-05-16T00:00:00"/>
    <n v="6"/>
    <s v="Q2-2024"/>
    <x v="3"/>
    <x v="8"/>
    <x v="12"/>
    <s v="Non-Profit"/>
    <s v="Direct"/>
    <x v="3"/>
    <s v="Laptops"/>
    <n v="9.2351646841916553E-3"/>
    <s v="LAP-1066"/>
    <n v="210.76"/>
    <n v="221.58"/>
    <s v="Profit"/>
    <n v="8.8999999999999996E-2"/>
    <n v="5"/>
    <x v="476"/>
    <n v="1053.8"/>
    <x v="476"/>
    <n v="-4.4093170205912434E-2"/>
  </r>
  <r>
    <s v="ORD-2023-799597"/>
    <x v="211"/>
    <d v="2023-03-18T00:00:00"/>
    <d v="2023-03-18T00:00:00"/>
    <n v="4"/>
    <s v="Q1-2023"/>
    <x v="3"/>
    <x v="6"/>
    <x v="37"/>
    <s v="Enterprise"/>
    <s v="Direct"/>
    <x v="8"/>
    <s v="Components"/>
    <n v="3.8543636805488987E-2"/>
    <s v="CMP-8675"/>
    <n v="472.33"/>
    <n v="360.34"/>
    <s v="Loss"/>
    <n v="0.16500000000000001"/>
    <n v="14"/>
    <x v="477"/>
    <n v="6612.62"/>
    <x v="477"/>
    <n v="-0.56980815523861561"/>
  </r>
  <r>
    <s v="ORD-2023-569862"/>
    <x v="386"/>
    <d v="2023-08-13T00:00:00"/>
    <d v="2023-08-13T00:00:00"/>
    <n v="28"/>
    <s v="Q3-2023"/>
    <x v="3"/>
    <x v="8"/>
    <x v="31"/>
    <s v="Non-Profit"/>
    <s v="Online"/>
    <x v="1"/>
    <s v="Laptops"/>
    <n v="0.38351914673586579"/>
    <s v="LAP-1178"/>
    <n v="1039.03"/>
    <n v="2545.81"/>
    <s v="Profit"/>
    <n v="0.216"/>
    <n v="21"/>
    <x v="478"/>
    <n v="21819.63"/>
    <x v="478"/>
    <n v="0.47942172929364774"/>
  </r>
  <r>
    <s v="ORD-2023-609394"/>
    <x v="387"/>
    <d v="2023-04-19T00:00:00"/>
    <d v="2023-04-19T00:00:00"/>
    <n v="3"/>
    <s v="Q2-2023"/>
    <x v="3"/>
    <x v="6"/>
    <x v="22"/>
    <s v="Corporate"/>
    <s v="Direct"/>
    <x v="5"/>
    <s v="Accessories"/>
    <n v="0.2069830646968307"/>
    <s v="ACC-1731"/>
    <n v="553.61"/>
    <n v="699.47"/>
    <s v="Profit"/>
    <n v="0.02"/>
    <n v="33"/>
    <x v="479"/>
    <n v="18269.13"/>
    <x v="479"/>
    <n v="0.19237685209472014"/>
  </r>
  <r>
    <s v="ORD-2024-105586"/>
    <x v="279"/>
    <d v="2024-01-15T00:00:00"/>
    <d v="2024-01-15T00:00:00"/>
    <n v="13"/>
    <s v="Q1-2024"/>
    <x v="1"/>
    <x v="2"/>
    <x v="32"/>
    <s v="Small Business"/>
    <s v="Marketplace"/>
    <x v="3"/>
    <s v="Networking"/>
    <n v="0.37047638890968526"/>
    <s v="NET-1893"/>
    <n v="1219.06"/>
    <n v="2738.69"/>
    <s v="Profit"/>
    <n v="7.5999999999999998E-2"/>
    <n v="16"/>
    <x v="480"/>
    <n v="19504.96"/>
    <x v="480"/>
    <n v="0.51826274447673737"/>
  </r>
  <r>
    <s v="ORD-2024-207792"/>
    <x v="209"/>
    <d v="2024-09-07T00:00:00"/>
    <d v="2024-09-07T00:00:00"/>
    <n v="4"/>
    <s v="Q3-2024"/>
    <x v="1"/>
    <x v="2"/>
    <x v="27"/>
    <s v="Small Business"/>
    <s v="Distributor"/>
    <x v="13"/>
    <s v="Printers"/>
    <n v="4.3357974144020858E-2"/>
    <s v="PRN-3917"/>
    <n v="43.23"/>
    <n v="94.78"/>
    <s v="Profit"/>
    <n v="9.0999999999999998E-2"/>
    <n v="55"/>
    <x v="481"/>
    <n v="2377.6499999999996"/>
    <x v="481"/>
    <n v="0.49823005090127082"/>
  </r>
  <r>
    <s v="ORD-2025-417336"/>
    <x v="388"/>
    <d v="2025-09-03T00:00:00"/>
    <d v="2025-09-03T00:00:00"/>
    <n v="4"/>
    <s v="Q3-2025"/>
    <x v="3"/>
    <x v="7"/>
    <x v="11"/>
    <s v="Small Business"/>
    <s v="Marketplace"/>
    <x v="1"/>
    <s v="Laptops"/>
    <n v="0.33087755045718337"/>
    <s v="LAP-3220"/>
    <n v="1286.56"/>
    <n v="2777.35"/>
    <s v="Profit"/>
    <n v="0.13200000000000001"/>
    <n v="15"/>
    <x v="482"/>
    <n v="19298.399999999998"/>
    <x v="482"/>
    <n v="0.46632150014696744"/>
  </r>
  <r>
    <s v="ORD-2025-252117"/>
    <x v="86"/>
    <d v="2025-05-19T00:00:00"/>
    <d v="2025-05-19T00:00:00"/>
    <n v="21"/>
    <s v="Q2-2025"/>
    <x v="3"/>
    <x v="6"/>
    <x v="9"/>
    <s v="Corporate"/>
    <s v="Distributor"/>
    <x v="5"/>
    <s v="Phones"/>
    <n v="4.6912905470514348E-2"/>
    <s v="PHN-2462"/>
    <n v="350.76"/>
    <n v="492.18"/>
    <s v="Profit"/>
    <n v="5.2999999999999999E-2"/>
    <n v="11"/>
    <x v="483"/>
    <n v="3858.3599999999997"/>
    <x v="483"/>
    <n v="0.24744868239798437"/>
  </r>
  <r>
    <s v="ORD-2023-867175"/>
    <x v="389"/>
    <d v="2023-08-15T00:00:00"/>
    <d v="2023-08-15T00:00:00"/>
    <n v="5"/>
    <s v="Q3-2023"/>
    <x v="2"/>
    <x v="5"/>
    <x v="8"/>
    <s v="Education"/>
    <s v="Direct"/>
    <x v="3"/>
    <s v="Networking"/>
    <n v="0.20046702294390478"/>
    <s v="NET-2894"/>
    <n v="1307.52"/>
    <n v="1921.65"/>
    <s v="Profit"/>
    <n v="0.123"/>
    <n v="13"/>
    <x v="484"/>
    <n v="16997.759999999998"/>
    <x v="484"/>
    <n v="0.22415590863289445"/>
  </r>
  <r>
    <s v="ORD-2024-382152"/>
    <x v="390"/>
    <d v="2024-12-08T00:00:00"/>
    <d v="2024-12-08T00:00:00"/>
    <n v="0"/>
    <s v="Q4-2024"/>
    <x v="3"/>
    <x v="7"/>
    <x v="17"/>
    <s v="Enterprise"/>
    <s v="Retail"/>
    <x v="10"/>
    <s v="Components"/>
    <n v="5.5479342258861877E-2"/>
    <s v="CMP-2335"/>
    <n v="257.44"/>
    <n v="290.33"/>
    <s v="Profit"/>
    <n v="9.1999999999999998E-2"/>
    <n v="23"/>
    <x v="485"/>
    <n v="5921.12"/>
    <x v="485"/>
    <n v="2.3441500792581216E-2"/>
  </r>
  <r>
    <s v="ORD-2023-597666"/>
    <x v="391"/>
    <d v="2023-11-24T00:00:00"/>
    <d v="2023-11-24T00:00:00"/>
    <n v="30"/>
    <s v="Q4-2023"/>
    <x v="3"/>
    <x v="7"/>
    <x v="28"/>
    <s v="Enterprise"/>
    <s v="Distributor"/>
    <x v="0"/>
    <s v="Phones"/>
    <n v="4.7212573897076122E-2"/>
    <s v="PHN-5938"/>
    <n v="287.85000000000002"/>
    <n v="602.91999999999996"/>
    <s v="Profit"/>
    <n v="0.222"/>
    <n v="11"/>
    <x v="486"/>
    <n v="3166.3500000000004"/>
    <x v="486"/>
    <n v="0.38634122847216373"/>
  </r>
  <r>
    <s v="ORD-2024-371409"/>
    <x v="392"/>
    <d v="2024-11-28T00:00:00"/>
    <d v="2024-11-28T00:00:00"/>
    <n v="11"/>
    <s v="Q4-2024"/>
    <x v="2"/>
    <x v="3"/>
    <x v="35"/>
    <s v="Consumer"/>
    <s v="Distributor"/>
    <x v="8"/>
    <s v="Printers"/>
    <n v="0.26403954954212122"/>
    <s v="PRN-1371"/>
    <n v="1008.16"/>
    <n v="2077.5"/>
    <s v="Profit"/>
    <n v="7.3999999999999996E-2"/>
    <n v="15"/>
    <x v="487"/>
    <n v="15122.4"/>
    <x v="487"/>
    <n v="0.47594430712691005"/>
  </r>
  <r>
    <s v="ORD-2024-973420"/>
    <x v="393"/>
    <d v="2024-05-24T00:00:00"/>
    <d v="2024-05-24T00:00:00"/>
    <n v="12"/>
    <s v="Q2-2024"/>
    <x v="3"/>
    <x v="8"/>
    <x v="31"/>
    <s v="Education"/>
    <s v="Marketplace"/>
    <x v="11"/>
    <s v="Printers"/>
    <n v="3.6836978620001001E-2"/>
    <s v="PRN-5813"/>
    <n v="111.02"/>
    <n v="172.88"/>
    <s v="Profit"/>
    <n v="0.19700000000000001"/>
    <n v="29"/>
    <x v="488"/>
    <n v="3219.58"/>
    <x v="488"/>
    <n v="0.20027453735212053"/>
  </r>
  <r>
    <s v="ORD-2025-254721"/>
    <x v="394"/>
    <d v="2025-06-05T00:00:00"/>
    <d v="2025-06-05T00:00:00"/>
    <n v="21"/>
    <s v="Q2-2025"/>
    <x v="1"/>
    <x v="2"/>
    <x v="4"/>
    <s v="Enterprise"/>
    <s v="Direct"/>
    <x v="10"/>
    <s v="Phones"/>
    <n v="8.7973063664760556E-2"/>
    <s v="PHN-6480"/>
    <n v="1466.5"/>
    <n v="2778.74"/>
    <s v="Profit"/>
    <n v="0.13500000000000001"/>
    <n v="4"/>
    <x v="489"/>
    <n v="5866"/>
    <x v="489"/>
    <n v="0.38987608680792279"/>
  </r>
  <r>
    <s v="ORD-2024-247032"/>
    <x v="395"/>
    <d v="2024-05-19T00:00:00"/>
    <d v="2024-05-19T00:00:00"/>
    <n v="28"/>
    <s v="Q2-2024"/>
    <x v="0"/>
    <x v="1"/>
    <x v="3"/>
    <s v="Corporate"/>
    <s v="Distributor"/>
    <x v="8"/>
    <s v="Accessories"/>
    <n v="1.4158402818916768E-2"/>
    <s v="ACC-2990"/>
    <n v="187.22"/>
    <n v="309.47000000000003"/>
    <s v="Profit"/>
    <n v="0"/>
    <n v="5"/>
    <x v="490"/>
    <n v="936.1"/>
    <x v="490"/>
    <n v="0.39503021294471197"/>
  </r>
  <r>
    <s v="ORD-2024-792353"/>
    <x v="396"/>
    <d v="2024-09-07T00:00:00"/>
    <d v="2024-09-07T00:00:00"/>
    <n v="19"/>
    <s v="Q3-2024"/>
    <x v="3"/>
    <x v="7"/>
    <x v="17"/>
    <s v="Corporate"/>
    <s v="Direct"/>
    <x v="1"/>
    <s v="Components"/>
    <n v="6.0977162390889725E-2"/>
    <s v="CMP-5435"/>
    <n v="297.58999999999997"/>
    <n v="666.41"/>
    <s v="Profit"/>
    <n v="0"/>
    <n v="10"/>
    <x v="491"/>
    <n v="2975.8999999999996"/>
    <x v="491"/>
    <n v="0.55344307558409989"/>
  </r>
  <r>
    <s v="ORD-2025-703623"/>
    <x v="319"/>
    <d v="2025-08-19T00:00:00"/>
    <d v="2025-08-19T00:00:00"/>
    <n v="27"/>
    <s v="Q3-2025"/>
    <x v="1"/>
    <x v="2"/>
    <x v="32"/>
    <s v="Consumer"/>
    <s v="Marketplace"/>
    <x v="5"/>
    <s v="Accessories"/>
    <n v="6.8693910452642823E-2"/>
    <s v="ACC-1596"/>
    <n v="896.09"/>
    <n v="744.27"/>
    <s v="Loss"/>
    <n v="8.3000000000000004E-2"/>
    <n v="11"/>
    <x v="492"/>
    <n v="9856.99"/>
    <x v="492"/>
    <n v="-0.31296086469950679"/>
  </r>
  <r>
    <s v="ORD-2024-516704"/>
    <x v="397"/>
    <d v="2024-02-29T00:00:00"/>
    <d v="2024-03-08T00:00:00"/>
    <n v="7"/>
    <s v="Q1-2024"/>
    <x v="2"/>
    <x v="5"/>
    <x v="8"/>
    <s v="Non-Profit"/>
    <s v="Direct"/>
    <x v="2"/>
    <s v="Phones"/>
    <n v="1.0078758805580036E-3"/>
    <s v="PHN-7852"/>
    <n v="5.34"/>
    <n v="12.69"/>
    <s v="Profit"/>
    <n v="0.13200000000000001"/>
    <n v="10"/>
    <x v="493"/>
    <n v="53.4"/>
    <x v="493"/>
    <n v="0.51520301554618642"/>
  </r>
  <r>
    <s v="ORD-2024-578646"/>
    <x v="398"/>
    <d v="2024-06-17T00:00:00"/>
    <d v="2024-06-17T00:00:00"/>
    <n v="21"/>
    <s v="Q2-2024"/>
    <x v="1"/>
    <x v="4"/>
    <x v="18"/>
    <s v="Small Business"/>
    <s v="Online"/>
    <x v="10"/>
    <s v="Accessories"/>
    <n v="0.10851736247035344"/>
    <s v="ACC-7240"/>
    <n v="465.02"/>
    <n v="651.55999999999995"/>
    <s v="Profit"/>
    <n v="4.2000000000000003E-2"/>
    <n v="19"/>
    <x v="494"/>
    <n v="8835.3799999999992"/>
    <x v="494"/>
    <n v="0.25500783025187918"/>
  </r>
  <r>
    <s v="ORD-2024-433936"/>
    <x v="399"/>
    <d v="2024-08-17T00:00:00"/>
    <d v="2024-08-17T00:00:00"/>
    <n v="13"/>
    <s v="Q3-2024"/>
    <x v="2"/>
    <x v="10"/>
    <x v="36"/>
    <s v="Consumer"/>
    <s v="Retail"/>
    <x v="14"/>
    <s v="Monitors"/>
    <n v="4.2849465547215464E-2"/>
    <s v="MON-8867"/>
    <n v="352.79"/>
    <n v="754.22"/>
    <s v="Profit"/>
    <n v="0.113"/>
    <n v="7"/>
    <x v="495"/>
    <n v="2469.5300000000002"/>
    <x v="495"/>
    <n v="0.47265528014233443"/>
  </r>
  <r>
    <s v="ORD-2023-434071"/>
    <x v="264"/>
    <d v="2023-07-04T00:00:00"/>
    <d v="2023-07-04T00:00:00"/>
    <n v="14"/>
    <s v="Q2-2023"/>
    <x v="2"/>
    <x v="5"/>
    <x v="10"/>
    <s v="Non-Profit"/>
    <s v="Direct"/>
    <x v="0"/>
    <s v="Networking"/>
    <n v="0.28083916413662557"/>
    <s v="NET-1228"/>
    <n v="1292.8599999999999"/>
    <n v="2981.01"/>
    <s v="Profit"/>
    <n v="0.14199999999999999"/>
    <n v="12"/>
    <x v="496"/>
    <n v="15514.32"/>
    <x v="496"/>
    <n v="0.49452372288927687"/>
  </r>
  <r>
    <s v="ORD-2024-728474"/>
    <x v="191"/>
    <d v="2024-09-13T00:00:00"/>
    <d v="2024-09-13T00:00:00"/>
    <n v="4"/>
    <s v="Q3-2024"/>
    <x v="3"/>
    <x v="8"/>
    <x v="21"/>
    <s v="Consumer"/>
    <s v="Marketplace"/>
    <x v="9"/>
    <s v="Networking"/>
    <n v="0.23103641386280163"/>
    <s v="NET-1145"/>
    <n v="1133.08"/>
    <n v="976.17"/>
    <s v="Loss"/>
    <n v="4.2000000000000003E-2"/>
    <n v="27"/>
    <x v="497"/>
    <n v="30593.159999999996"/>
    <x v="497"/>
    <n v="-0.21162885678452373"/>
  </r>
  <r>
    <s v="ORD-2023-406606"/>
    <x v="391"/>
    <d v="2023-10-28T00:00:00"/>
    <d v="2023-10-28T00:00:00"/>
    <n v="3"/>
    <s v="Q4-2023"/>
    <x v="2"/>
    <x v="5"/>
    <x v="10"/>
    <s v="Corporate"/>
    <s v="Distributor"/>
    <x v="4"/>
    <s v="Accessories"/>
    <n v="7.9099566635372806E-2"/>
    <s v="ACC-2867"/>
    <n v="509.31"/>
    <n v="1145.9000000000001"/>
    <s v="Profit"/>
    <n v="5.7000000000000002E-2"/>
    <n v="8"/>
    <x v="498"/>
    <n v="4074.48"/>
    <x v="498"/>
    <n v="0.52867140231709964"/>
  </r>
  <r>
    <s v="ORD-2025-823055"/>
    <x v="17"/>
    <d v="2025-10-05T00:00:00"/>
    <d v="2025-10-05T00:00:00"/>
    <n v="27"/>
    <s v="Q3-2025"/>
    <x v="2"/>
    <x v="5"/>
    <x v="30"/>
    <s v="Education"/>
    <s v="Online"/>
    <x v="0"/>
    <s v="Monitors"/>
    <n v="0.15165869452229819"/>
    <s v="MON-9274"/>
    <n v="660.78"/>
    <n v="1630.39"/>
    <s v="Profit"/>
    <n v="0.218"/>
    <n v="13"/>
    <x v="499"/>
    <n v="8590.14"/>
    <x v="499"/>
    <n v="0.48172694123724097"/>
  </r>
  <r>
    <s v="ORD-2023-573656"/>
    <x v="129"/>
    <d v="2023-05-16T00:00:00"/>
    <d v="2023-05-16T00:00:00"/>
    <n v="14"/>
    <s v="Q2-2023"/>
    <x v="1"/>
    <x v="4"/>
    <x v="6"/>
    <s v="Non-Profit"/>
    <s v="Retail"/>
    <x v="4"/>
    <s v="Monitors"/>
    <n v="0.18604687143951781"/>
    <s v="MON-4830"/>
    <n v="475.37"/>
    <n v="963.73"/>
    <s v="Profit"/>
    <n v="4.1000000000000002E-2"/>
    <n v="22"/>
    <x v="500"/>
    <n v="10458.14"/>
    <x v="500"/>
    <n v="0.48565113604750881"/>
  </r>
  <r>
    <s v="ORD-2024-567435"/>
    <x v="400"/>
    <d v="2024-04-24T00:00:00"/>
    <d v="2024-05-03T00:00:00"/>
    <n v="7"/>
    <s v="Q2-2024"/>
    <x v="3"/>
    <x v="8"/>
    <x v="21"/>
    <s v="Non-Profit"/>
    <s v="Distributor"/>
    <x v="13"/>
    <s v="Phones"/>
    <n v="6.7967936346519112E-2"/>
    <s v="PHN-9107"/>
    <n v="1232.77"/>
    <n v="891.73"/>
    <s v="Loss"/>
    <n v="0.16700000000000001"/>
    <n v="10"/>
    <x v="501"/>
    <n v="12327.7"/>
    <x v="501"/>
    <n v="-0.65960096260813805"/>
  </r>
  <r>
    <s v="ORD-2023-744942"/>
    <x v="29"/>
    <d v="2023-03-18T00:00:00"/>
    <d v="2023-03-18T00:00:00"/>
    <n v="23"/>
    <s v="Q1-2023"/>
    <x v="1"/>
    <x v="9"/>
    <x v="38"/>
    <s v="Education"/>
    <s v="Distributor"/>
    <x v="11"/>
    <s v="Printers"/>
    <n v="9.9454079799022876E-2"/>
    <s v="PRN-1060"/>
    <n v="770.11"/>
    <n v="1667.82"/>
    <s v="Profit"/>
    <n v="6.9000000000000006E-2"/>
    <n v="7"/>
    <x v="502"/>
    <n v="5390.77"/>
    <x v="502"/>
    <n v="0.50403171703355287"/>
  </r>
  <r>
    <s v="ORD-2025-331237"/>
    <x v="401"/>
    <d v="2025-03-25T00:00:00"/>
    <d v="2025-03-25T00:00:00"/>
    <n v="1"/>
    <s v="Q1-2025"/>
    <x v="1"/>
    <x v="9"/>
    <x v="38"/>
    <s v="Non-Profit"/>
    <s v="Online"/>
    <x v="3"/>
    <s v="Networking"/>
    <n v="7.9031104236011576E-2"/>
    <s v="NET-8329"/>
    <n v="1133.03"/>
    <n v="1921.51"/>
    <s v="Profit"/>
    <n v="0.10100000000000001"/>
    <n v="5"/>
    <x v="503"/>
    <n v="5665.15"/>
    <x v="503"/>
    <n v="0.3440978289755654"/>
  </r>
  <r>
    <s v="ORD-2025-680118"/>
    <x v="402"/>
    <d v="2025-03-27T00:00:00"/>
    <d v="2025-03-27T00:00:00"/>
    <n v="17"/>
    <s v="Q1-2025"/>
    <x v="2"/>
    <x v="5"/>
    <x v="30"/>
    <s v="Enterprise"/>
    <s v="Direct"/>
    <x v="9"/>
    <s v="Networking"/>
    <n v="9.3238475172319923E-2"/>
    <s v="NET-6269"/>
    <n v="996.73"/>
    <n v="1217.43"/>
    <s v="Profit"/>
    <n v="7.0000000000000007E-2"/>
    <n v="9"/>
    <x v="504"/>
    <n v="8970.57"/>
    <x v="504"/>
    <n v="0.11965970267527255"/>
  </r>
  <r>
    <s v="ORD-2024-310809"/>
    <x v="403"/>
    <d v="2024-04-09T00:00:00"/>
    <d v="2024-04-09T00:00:00"/>
    <n v="4"/>
    <s v="Q2-2024"/>
    <x v="0"/>
    <x v="1"/>
    <x v="3"/>
    <s v="Non-Profit"/>
    <s v="Direct"/>
    <x v="11"/>
    <s v="Components"/>
    <n v="0.29587038612121125"/>
    <s v="CMP-6529"/>
    <n v="395.07"/>
    <n v="970.27"/>
    <s v="Profit"/>
    <n v="0.123"/>
    <n v="38"/>
    <x v="505"/>
    <n v="15012.66"/>
    <x v="505"/>
    <n v="0.53571799049833657"/>
  </r>
  <r>
    <s v="ORD-2025-474368"/>
    <x v="60"/>
    <d v="2025-05-17T00:00:00"/>
    <d v="2025-05-17T00:00:00"/>
    <n v="20"/>
    <s v="Q2-2025"/>
    <x v="2"/>
    <x v="10"/>
    <x v="36"/>
    <s v="Corporate"/>
    <s v="Direct"/>
    <x v="13"/>
    <s v="Phones"/>
    <n v="0.31842732803391577"/>
    <s v="PHN-8776"/>
    <n v="932.26"/>
    <n v="1624.67"/>
    <s v="Profit"/>
    <n v="0.23499999999999999"/>
    <n v="28"/>
    <x v="506"/>
    <n v="26103.279999999999"/>
    <x v="506"/>
    <n v="0.24991504559337163"/>
  </r>
  <r>
    <s v="ORD-2024-732543"/>
    <x v="404"/>
    <d v="2024-10-28T00:00:00"/>
    <d v="2024-10-28T00:00:00"/>
    <n v="4"/>
    <s v="Q4-2024"/>
    <x v="1"/>
    <x v="9"/>
    <x v="23"/>
    <s v="Small Business"/>
    <s v="Distributor"/>
    <x v="2"/>
    <s v="Networking"/>
    <n v="0.14021541887872441"/>
    <s v="NET-3728"/>
    <n v="1331.77"/>
    <n v="2606.11"/>
    <s v="Profit"/>
    <n v="0.02"/>
    <n v="6"/>
    <x v="507"/>
    <n v="7990.62"/>
    <x v="507"/>
    <n v="0.47855271665745619"/>
  </r>
  <r>
    <s v="ORD-2023-867166"/>
    <x v="290"/>
    <d v="2023-04-20T00:00:00"/>
    <d v="2023-04-20T00:00:00"/>
    <n v="7"/>
    <s v="Q2-2023"/>
    <x v="3"/>
    <x v="7"/>
    <x v="17"/>
    <s v="Small Business"/>
    <s v="Online"/>
    <x v="8"/>
    <s v="Laptops"/>
    <n v="3.587912668654427E-2"/>
    <s v="LAP-3565"/>
    <n v="227.02"/>
    <n v="434.72"/>
    <s v="Profit"/>
    <n v="9.8000000000000004E-2"/>
    <n v="10"/>
    <x v="508"/>
    <n v="2270.2000000000003"/>
    <x v="508"/>
    <n v="0.42104079838938052"/>
  </r>
  <r>
    <s v="ORD-2024-776337"/>
    <x v="405"/>
    <d v="2024-11-21T00:00:00"/>
    <d v="2024-11-21T00:00:00"/>
    <n v="9"/>
    <s v="Q4-2024"/>
    <x v="1"/>
    <x v="4"/>
    <x v="29"/>
    <s v="Corporate"/>
    <s v="Direct"/>
    <x v="10"/>
    <s v="Laptops"/>
    <n v="7.5922277752286563E-2"/>
    <s v="LAP-5078"/>
    <n v="903.41"/>
    <n v="1860.41"/>
    <s v="Profit"/>
    <n v="0.108"/>
    <n v="5"/>
    <x v="509"/>
    <n v="4517.05"/>
    <x v="509"/>
    <n v="0.455608451996803"/>
  </r>
  <r>
    <s v="ORD-2023-913592"/>
    <x v="406"/>
    <d v="2023-05-14T00:00:00"/>
    <d v="2023-05-14T00:00:00"/>
    <n v="4"/>
    <s v="Q2-2023"/>
    <x v="1"/>
    <x v="4"/>
    <x v="18"/>
    <s v="Non-Profit"/>
    <s v="Distributor"/>
    <x v="0"/>
    <s v="Monitors"/>
    <n v="8.4476286878690354E-2"/>
    <s v="MON-2465"/>
    <n v="622.6"/>
    <n v="833.69"/>
    <s v="Profit"/>
    <n v="0.20899999999999999"/>
    <n v="14"/>
    <x v="510"/>
    <n v="8716.4"/>
    <x v="510"/>
    <n v="5.5878167582959715E-2"/>
  </r>
  <r>
    <s v="ORD-2024-961501"/>
    <x v="263"/>
    <d v="2024-03-23T00:00:00"/>
    <d v="2024-03-23T00:00:00"/>
    <n v="21"/>
    <s v="Q1-2024"/>
    <x v="2"/>
    <x v="10"/>
    <x v="15"/>
    <s v="Small Business"/>
    <s v="Online"/>
    <x v="9"/>
    <s v="Components"/>
    <n v="3.2259130117256979E-2"/>
    <s v="CMP-3223"/>
    <n v="225.01"/>
    <n v="333.48"/>
    <s v="Profit"/>
    <n v="0.11899999999999999"/>
    <n v="12"/>
    <x v="511"/>
    <n v="2700.12"/>
    <x v="511"/>
    <n v="0.23412813004729685"/>
  </r>
  <r>
    <s v="ORD-2024-964950"/>
    <x v="407"/>
    <d v="2024-10-11T00:00:00"/>
    <d v="2024-10-11T00:00:00"/>
    <n v="1"/>
    <s v="Q4-2024"/>
    <x v="3"/>
    <x v="8"/>
    <x v="31"/>
    <s v="Non-Profit"/>
    <s v="Distributor"/>
    <x v="4"/>
    <s v="Components"/>
    <n v="0.4602170870073149"/>
    <s v="CMP-8127"/>
    <n v="1389.46"/>
    <n v="1784.7"/>
    <s v="Profit"/>
    <n v="0.14599999999999999"/>
    <n v="33"/>
    <x v="512"/>
    <n v="45852.18"/>
    <x v="512"/>
    <n v="8.8360877503011831E-2"/>
  </r>
  <r>
    <s v="ORD-2023-349264"/>
    <x v="408"/>
    <d v="2023-06-08T00:00:00"/>
    <d v="2023-06-08T00:00:00"/>
    <n v="7"/>
    <s v="Q2-2023"/>
    <x v="3"/>
    <x v="6"/>
    <x v="37"/>
    <s v="Consumer"/>
    <s v="Online"/>
    <x v="8"/>
    <s v="Phones"/>
    <n v="4.7487939116612213E-2"/>
    <s v="PHN-1924"/>
    <n v="804.17"/>
    <n v="1072.29"/>
    <s v="Profit"/>
    <n v="3.2000000000000001E-2"/>
    <n v="5"/>
    <x v="513"/>
    <n v="4020.85"/>
    <x v="513"/>
    <n v="0.2252523736755869"/>
  </r>
  <r>
    <s v="ORD-2025-137394"/>
    <x v="409"/>
    <d v="2025-01-05T00:00:00"/>
    <d v="2025-01-05T00:00:00"/>
    <n v="1"/>
    <s v="Q1-2025"/>
    <x v="1"/>
    <x v="4"/>
    <x v="18"/>
    <s v="Education"/>
    <s v="Retail"/>
    <x v="2"/>
    <s v="Components"/>
    <n v="0.30477646829355359"/>
    <s v="CMP-1156"/>
    <n v="1428.33"/>
    <n v="3028.05"/>
    <s v="Profit"/>
    <n v="0"/>
    <n v="11"/>
    <x v="514"/>
    <n v="15711.63"/>
    <x v="514"/>
    <n v="0.52830039134096207"/>
  </r>
  <r>
    <s v="ORD-2025-635337"/>
    <x v="117"/>
    <d v="2025-08-28T00:00:00"/>
    <d v="2025-08-28T00:00:00"/>
    <n v="23"/>
    <s v="Q3-2025"/>
    <x v="1"/>
    <x v="4"/>
    <x v="29"/>
    <s v="Non-Profit"/>
    <s v="Distributor"/>
    <x v="13"/>
    <s v="Laptops"/>
    <n v="9.9366760970964085E-2"/>
    <s v="LAP-3905"/>
    <n v="638.54"/>
    <n v="987.24"/>
    <s v="Profit"/>
    <n v="0"/>
    <n v="11"/>
    <x v="515"/>
    <n v="7023.94"/>
    <x v="515"/>
    <n v="0.35320692030306716"/>
  </r>
  <r>
    <s v="ORD-2023-568013"/>
    <x v="323"/>
    <d v="2023-10-30T00:00:00"/>
    <d v="2023-10-30T00:00:00"/>
    <n v="30"/>
    <s v="Q3-2023"/>
    <x v="1"/>
    <x v="2"/>
    <x v="27"/>
    <s v="Enterprise"/>
    <s v="Online"/>
    <x v="14"/>
    <s v="Printers"/>
    <n v="0.2031482812176636"/>
    <s v="PRN-1786"/>
    <n v="649.13"/>
    <n v="975.43"/>
    <s v="Profit"/>
    <n v="0.157"/>
    <n v="27"/>
    <x v="516"/>
    <n v="17526.509999999998"/>
    <x v="516"/>
    <n v="0.21058023149543473"/>
  </r>
  <r>
    <s v="ORD-2025-828263"/>
    <x v="253"/>
    <d v="2025-05-30T00:00:00"/>
    <d v="2025-05-30T00:00:00"/>
    <n v="13"/>
    <s v="Q2-2025"/>
    <x v="0"/>
    <x v="1"/>
    <x v="3"/>
    <s v="Consumer"/>
    <s v="Distributor"/>
    <x v="9"/>
    <s v="Accessories"/>
    <n v="9.2450378220141679E-3"/>
    <s v="ACC-3349"/>
    <n v="66.400000000000006"/>
    <n v="141.43"/>
    <s v="Profit"/>
    <n v="0.107"/>
    <n v="8"/>
    <x v="517"/>
    <n v="531.20000000000005"/>
    <x v="517"/>
    <n v="0.47425508715607551"/>
  </r>
  <r>
    <s v="ORD-2024-402240"/>
    <x v="372"/>
    <d v="2024-05-26T00:00:00"/>
    <d v="2024-05-26T00:00:00"/>
    <n v="25"/>
    <s v="Q2-2024"/>
    <x v="3"/>
    <x v="6"/>
    <x v="9"/>
    <s v="Non-Profit"/>
    <s v="Retail"/>
    <x v="5"/>
    <s v="Networking"/>
    <n v="8.9742178949351839E-2"/>
    <s v="NET-4228"/>
    <n v="930.71"/>
    <n v="1625.42"/>
    <s v="Profit"/>
    <n v="0.13800000000000001"/>
    <n v="7"/>
    <x v="518"/>
    <n v="6514.97"/>
    <x v="518"/>
    <n v="0.33573477821231196"/>
  </r>
  <r>
    <s v="ORD-2023-125739"/>
    <x v="410"/>
    <d v="2023-05-18T00:00:00"/>
    <d v="2023-05-18T00:00:00"/>
    <n v="17"/>
    <s v="Q2-2023"/>
    <x v="0"/>
    <x v="1"/>
    <x v="1"/>
    <s v="Corporate"/>
    <s v="Direct"/>
    <x v="9"/>
    <s v="Components"/>
    <n v="7.8300018336616255E-3"/>
    <s v="CMP-5633"/>
    <n v="327.97"/>
    <n v="299.94"/>
    <s v="Loss"/>
    <n v="4.9000000000000002E-2"/>
    <n v="3"/>
    <x v="519"/>
    <n v="983.91000000000008"/>
    <x v="519"/>
    <n v="-0.14979182306843442"/>
  </r>
  <r>
    <s v="ORD-2024-892879"/>
    <x v="411"/>
    <d v="2024-08-08T00:00:00"/>
    <d v="2024-08-08T00:00:00"/>
    <n v="30"/>
    <s v="Q3-2024"/>
    <x v="3"/>
    <x v="7"/>
    <x v="11"/>
    <s v="Corporate"/>
    <s v="Direct"/>
    <x v="1"/>
    <s v="Components"/>
    <n v="6.7705990110451586E-2"/>
    <s v="CMP-5825"/>
    <n v="1062.3800000000001"/>
    <n v="1503.96"/>
    <s v="Profit"/>
    <n v="0.18"/>
    <n v="6"/>
    <x v="520"/>
    <n v="6374.2800000000007"/>
    <x v="520"/>
    <n v="0.13855064905073369"/>
  </r>
  <r>
    <s v="ORD-2023-472050"/>
    <x v="406"/>
    <d v="2023-05-27T00:00:00"/>
    <d v="2023-05-27T00:00:00"/>
    <n v="17"/>
    <s v="Q2-2023"/>
    <x v="1"/>
    <x v="4"/>
    <x v="29"/>
    <s v="Consumer"/>
    <s v="Retail"/>
    <x v="12"/>
    <s v="Laptops"/>
    <n v="0.58737197564317001"/>
    <s v="LAP-6499"/>
    <n v="1286.1600000000001"/>
    <n v="3101.11"/>
    <s v="Profit"/>
    <n v="0.1"/>
    <n v="23"/>
    <x v="521"/>
    <n v="29581.68"/>
    <x v="521"/>
    <n v="0.53917575749758417"/>
  </r>
  <r>
    <s v="ORD-2024-468615"/>
    <x v="411"/>
    <d v="2024-07-12T00:00:00"/>
    <d v="2024-07-12T00:00:00"/>
    <n v="3"/>
    <s v="Q3-2024"/>
    <x v="1"/>
    <x v="9"/>
    <x v="23"/>
    <s v="Small Business"/>
    <s v="Retail"/>
    <x v="14"/>
    <s v="Accessories"/>
    <n v="0.20612112737569366"/>
    <s v="ACC-3721"/>
    <n v="748.39"/>
    <n v="979.42"/>
    <s v="Profit"/>
    <n v="0"/>
    <n v="23"/>
    <x v="522"/>
    <n v="17212.97"/>
    <x v="522"/>
    <n v="0.23588450307324738"/>
  </r>
  <r>
    <s v="ORD-2024-833375"/>
    <x v="412"/>
    <d v="2024-05-10T00:00:00"/>
    <d v="2024-05-10T00:00:00"/>
    <n v="16"/>
    <s v="Q2-2024"/>
    <x v="0"/>
    <x v="0"/>
    <x v="0"/>
    <s v="Non-Profit"/>
    <s v="Online"/>
    <x v="13"/>
    <s v="Monitors"/>
    <n v="0.14751121772778486"/>
    <s v="MON-6190"/>
    <n v="513.30999999999995"/>
    <n v="1186.26"/>
    <s v="Profit"/>
    <n v="9.4E-2"/>
    <n v="15"/>
    <x v="523"/>
    <n v="7699.65"/>
    <x v="523"/>
    <n v="0.52239194702820446"/>
  </r>
  <r>
    <s v="ORD-2024-206311"/>
    <x v="94"/>
    <d v="2024-01-15T00:00:00"/>
    <d v="2024-01-15T00:00:00"/>
    <n v="2"/>
    <s v="Q1-2024"/>
    <x v="2"/>
    <x v="10"/>
    <x v="24"/>
    <s v="Non-Profit"/>
    <s v="Direct"/>
    <x v="6"/>
    <s v="Components"/>
    <n v="5.8883213899563712E-2"/>
    <s v="CMP-2410"/>
    <n v="1061.3699999999999"/>
    <n v="1938.33"/>
    <s v="Profit"/>
    <n v="0.17"/>
    <n v="4"/>
    <x v="524"/>
    <n v="4245.4799999999996"/>
    <x v="524"/>
    <n v="0.34027795259600879"/>
  </r>
  <r>
    <s v="ORD-2024-364080"/>
    <x v="413"/>
    <d v="2024-04-27T00:00:00"/>
    <d v="2024-04-27T00:00:00"/>
    <n v="11"/>
    <s v="Q2-2024"/>
    <x v="0"/>
    <x v="0"/>
    <x v="16"/>
    <s v="Enterprise"/>
    <s v="Online"/>
    <x v="14"/>
    <s v="Printers"/>
    <n v="7.618997894195409E-2"/>
    <s v="PRN-2641"/>
    <n v="401.3"/>
    <n v="826.47"/>
    <s v="Profit"/>
    <n v="0.22500000000000001"/>
    <n v="13"/>
    <x v="525"/>
    <n v="5216.9000000000005"/>
    <x v="525"/>
    <n v="0.37347217489696755"/>
  </r>
  <r>
    <s v="ORD-2025-460466"/>
    <x v="414"/>
    <d v="2025-02-16T00:00:00"/>
    <d v="2025-02-16T00:00:00"/>
    <n v="9"/>
    <s v="Q1-2025"/>
    <x v="0"/>
    <x v="1"/>
    <x v="3"/>
    <s v="Small Business"/>
    <s v="Distributor"/>
    <x v="0"/>
    <s v="Printers"/>
    <n v="1.9641214687102778E-2"/>
    <s v="PRN-1882"/>
    <n v="90.68"/>
    <n v="118.17"/>
    <s v="Profit"/>
    <n v="0.13500000000000001"/>
    <n v="21"/>
    <x v="526"/>
    <n v="1904.2800000000002"/>
    <x v="526"/>
    <n v="0.11286815653552899"/>
  </r>
  <r>
    <s v="ORD-2023-700699"/>
    <x v="415"/>
    <d v="2023-01-26T00:00:00"/>
    <d v="2023-01-26T00:00:00"/>
    <n v="14"/>
    <s v="Q1-2023"/>
    <x v="1"/>
    <x v="9"/>
    <x v="14"/>
    <s v="Non-Profit"/>
    <s v="Retail"/>
    <x v="12"/>
    <s v="Printers"/>
    <n v="0.10437479214093177"/>
    <s v="PRN-1641"/>
    <n v="1083.0899999999999"/>
    <n v="1425.87"/>
    <s v="Profit"/>
    <n v="0"/>
    <n v="8"/>
    <x v="527"/>
    <n v="8664.7199999999993"/>
    <x v="527"/>
    <n v="0.24040059752992909"/>
  </r>
  <r>
    <s v="ORD-2024-713332"/>
    <x v="416"/>
    <d v="2024-06-23T00:00:00"/>
    <d v="2024-06-23T00:00:00"/>
    <n v="18"/>
    <s v="Q2-2024"/>
    <x v="0"/>
    <x v="0"/>
    <x v="2"/>
    <s v="Consumer"/>
    <s v="Distributor"/>
    <x v="14"/>
    <s v="Laptops"/>
    <n v="0.53552619131257562"/>
    <s v="LAP-1739"/>
    <n v="1208.74"/>
    <n v="1594.78"/>
    <s v="Profit"/>
    <n v="5.8999999999999997E-2"/>
    <n v="39"/>
    <x v="528"/>
    <n v="47140.86"/>
    <x v="528"/>
    <n v="0.1945427589817838"/>
  </r>
  <r>
    <s v="ORD-2023-640022"/>
    <x v="417"/>
    <d v="2023-09-20T00:00:00"/>
    <d v="2023-09-20T00:00:00"/>
    <n v="27"/>
    <s v="Q3-2023"/>
    <x v="0"/>
    <x v="11"/>
    <x v="25"/>
    <s v="Small Business"/>
    <s v="Marketplace"/>
    <x v="12"/>
    <s v="Printers"/>
    <n v="0.30580631172733974"/>
    <s v="PRN-4732"/>
    <n v="1399.64"/>
    <n v="3342.11"/>
    <s v="Profit"/>
    <n v="0"/>
    <n v="10"/>
    <x v="529"/>
    <n v="13996.400000000001"/>
    <x v="529"/>
    <n v="0.58121067229983447"/>
  </r>
  <r>
    <s v="ORD-2024-532184"/>
    <x v="247"/>
    <d v="2024-02-08T00:00:00"/>
    <d v="2024-02-08T00:00:00"/>
    <n v="14"/>
    <s v="Q1-2024"/>
    <x v="1"/>
    <x v="2"/>
    <x v="4"/>
    <s v="Consumer"/>
    <s v="Marketplace"/>
    <x v="2"/>
    <s v="Networking"/>
    <n v="8.4748828012243288E-2"/>
    <s v="NET-9569"/>
    <n v="937.16"/>
    <n v="1069.77"/>
    <s v="Profit"/>
    <n v="3.7999999999999999E-2"/>
    <n v="9"/>
    <x v="530"/>
    <n v="8434.44"/>
    <x v="530"/>
    <n v="8.9356783066645962E-2"/>
  </r>
  <r>
    <s v="ORD-2025-926547"/>
    <x v="418"/>
    <d v="2025-03-26T00:00:00"/>
    <d v="2025-03-26T00:00:00"/>
    <n v="15"/>
    <s v="Q1-2025"/>
    <x v="3"/>
    <x v="6"/>
    <x v="9"/>
    <s v="Small Business"/>
    <s v="Online"/>
    <x v="2"/>
    <s v="Phones"/>
    <n v="5.6565882256592107E-3"/>
    <s v="PHN-3007"/>
    <n v="116.97"/>
    <n v="140.82"/>
    <s v="Profit"/>
    <n v="0.122"/>
    <n v="5"/>
    <x v="531"/>
    <n v="584.85"/>
    <x v="531"/>
    <n v="5.3946636669891926E-2"/>
  </r>
  <r>
    <s v="ORD-2025-778145"/>
    <x v="222"/>
    <d v="2025-05-12T00:00:00"/>
    <d v="2025-05-12T00:00:00"/>
    <n v="20"/>
    <s v="Q2-2025"/>
    <x v="3"/>
    <x v="7"/>
    <x v="17"/>
    <s v="Enterprise"/>
    <s v="Marketplace"/>
    <x v="11"/>
    <s v="Monitors"/>
    <n v="4.8914311160318967E-3"/>
    <s v="MON-9216"/>
    <n v="59.51"/>
    <n v="67.040000000000006"/>
    <s v="Profit"/>
    <n v="0.114"/>
    <n v="9"/>
    <x v="532"/>
    <n v="535.59"/>
    <x v="532"/>
    <n v="-1.8950311663264469E-3"/>
  </r>
  <r>
    <s v="ORD-2023-525643"/>
    <x v="419"/>
    <d v="2023-09-03T00:00:00"/>
    <d v="2023-09-03T00:00:00"/>
    <n v="17"/>
    <s v="Q3-2023"/>
    <x v="0"/>
    <x v="11"/>
    <x v="25"/>
    <s v="Enterprise"/>
    <s v="Retail"/>
    <x v="8"/>
    <s v="Phones"/>
    <n v="0.10910665324881845"/>
    <s v="PHN-8072"/>
    <n v="676.37"/>
    <n v="1276.67"/>
    <s v="Profit"/>
    <n v="6.6000000000000003E-2"/>
    <n v="10"/>
    <x v="533"/>
    <n v="6763.7"/>
    <x v="533"/>
    <n v="0.4327705027712872"/>
  </r>
  <r>
    <s v="ORD-2025-312803"/>
    <x v="35"/>
    <d v="2025-07-14T00:00:00"/>
    <d v="2025-07-14T00:00:00"/>
    <n v="20"/>
    <s v="Q2-2025"/>
    <x v="0"/>
    <x v="11"/>
    <x v="20"/>
    <s v="Enterprise"/>
    <s v="Marketplace"/>
    <x v="1"/>
    <s v="Laptops"/>
    <n v="0.38826839998240376"/>
    <s v="LAP-1308"/>
    <n v="1151.06"/>
    <n v="2821.36"/>
    <s v="Profit"/>
    <n v="0.248"/>
    <n v="20"/>
    <x v="534"/>
    <n v="23021.199999999997"/>
    <x v="534"/>
    <n v="0.45747267501594235"/>
  </r>
  <r>
    <s v="ORD-2025-149156"/>
    <x v="420"/>
    <d v="2025-02-06T00:00:00"/>
    <d v="2025-02-06T00:00:00"/>
    <n v="27"/>
    <s v="Q1-2025"/>
    <x v="2"/>
    <x v="5"/>
    <x v="10"/>
    <s v="Non-Profit"/>
    <s v="Retail"/>
    <x v="5"/>
    <s v="Laptops"/>
    <n v="0.13867271249990296"/>
    <s v="LAP-7353"/>
    <n v="725.62"/>
    <n v="1559.19"/>
    <s v="Profit"/>
    <n v="0.19"/>
    <n v="12"/>
    <x v="535"/>
    <n v="8707.44"/>
    <x v="535"/>
    <n v="0.42545349797405885"/>
  </r>
  <r>
    <s v="ORD-2023-215819"/>
    <x v="306"/>
    <d v="2023-07-11T00:00:00"/>
    <d v="2023-07-11T00:00:00"/>
    <n v="10"/>
    <s v="Q3-2023"/>
    <x v="3"/>
    <x v="7"/>
    <x v="28"/>
    <s v="Corporate"/>
    <s v="Direct"/>
    <x v="9"/>
    <s v="Networking"/>
    <n v="7.1585302262876918E-2"/>
    <s v="NET-6533"/>
    <n v="479.5"/>
    <n v="656.66"/>
    <s v="Profit"/>
    <n v="0.14899999999999999"/>
    <n v="14"/>
    <x v="536"/>
    <n v="6713"/>
    <x v="536"/>
    <n v="0.14193835606412289"/>
  </r>
  <r>
    <s v="ORD-2024-353078"/>
    <x v="421"/>
    <d v="2024-08-26T00:00:00"/>
    <d v="2024-08-26T00:00:00"/>
    <n v="10"/>
    <s v="Q3-2024"/>
    <x v="2"/>
    <x v="10"/>
    <x v="15"/>
    <s v="Corporate"/>
    <s v="Distributor"/>
    <x v="4"/>
    <s v="Laptops"/>
    <n v="0.46627766227008038"/>
    <s v="LAP-5763"/>
    <n v="1291.7"/>
    <n v="2657.84"/>
    <s v="Profit"/>
    <n v="8.6999999999999994E-2"/>
    <n v="21"/>
    <x v="537"/>
    <n v="27125.7"/>
    <x v="537"/>
    <n v="0.46769315745083367"/>
  </r>
  <r>
    <s v="ORD-2023-621393"/>
    <x v="422"/>
    <d v="2023-07-13T00:00:00"/>
    <d v="2023-07-13T00:00:00"/>
    <n v="6"/>
    <s v="Q3-2023"/>
    <x v="0"/>
    <x v="11"/>
    <x v="33"/>
    <s v="Small Business"/>
    <s v="Marketplace"/>
    <x v="5"/>
    <s v="Accessories"/>
    <n v="0.18694354490844642"/>
    <s v="ACC-9445"/>
    <n v="612.59"/>
    <n v="1424.74"/>
    <s v="Profit"/>
    <n v="4.3999999999999997E-2"/>
    <n v="15"/>
    <x v="538"/>
    <n v="9188.85"/>
    <x v="538"/>
    <n v="0.55024459281802152"/>
  </r>
  <r>
    <s v="ORD-2023-974506"/>
    <x v="423"/>
    <d v="2024-01-01T00:00:00"/>
    <d v="2024-01-01T00:00:00"/>
    <n v="4"/>
    <s v="Q4-2023"/>
    <x v="0"/>
    <x v="11"/>
    <x v="33"/>
    <s v="Education"/>
    <s v="Distributor"/>
    <x v="8"/>
    <s v="Printers"/>
    <n v="0.60628831222278523"/>
    <s v="PRN-1654"/>
    <n v="1141.8"/>
    <n v="2318.7399999999998"/>
    <s v="Profit"/>
    <n v="0.107"/>
    <n v="32"/>
    <x v="539"/>
    <n v="36537.599999999999"/>
    <x v="539"/>
    <n v="0.44857490612468304"/>
  </r>
  <r>
    <s v="ORD-2023-811823"/>
    <x v="424"/>
    <d v="2023-02-15T00:00:00"/>
    <d v="2023-02-15T00:00:00"/>
    <n v="20"/>
    <s v="Q1-2023"/>
    <x v="3"/>
    <x v="6"/>
    <x v="9"/>
    <s v="Small Business"/>
    <s v="Online"/>
    <x v="7"/>
    <s v="Networking"/>
    <n v="3.0567153079637869E-2"/>
    <s v="NET-8787"/>
    <n v="492.62"/>
    <n v="366.7"/>
    <s v="Loss"/>
    <n v="8.8999999999999996E-2"/>
    <n v="10"/>
    <x v="540"/>
    <n v="4926.2"/>
    <x v="540"/>
    <n v="-0.47462894052840809"/>
  </r>
  <r>
    <s v="ORD-2023-286720"/>
    <x v="425"/>
    <d v="2023-07-09T00:00:00"/>
    <d v="2023-07-09T00:00:00"/>
    <n v="1"/>
    <s v="Q3-2023"/>
    <x v="0"/>
    <x v="0"/>
    <x v="2"/>
    <s v="Consumer"/>
    <s v="Online"/>
    <x v="14"/>
    <s v="Laptops"/>
    <n v="0.17917601280102216"/>
    <s v="LAP-1989"/>
    <n v="1258.72"/>
    <n v="2797.41"/>
    <s v="Profit"/>
    <n v="0"/>
    <n v="7"/>
    <x v="541"/>
    <n v="8811.0400000000009"/>
    <x v="541"/>
    <n v="0.55004093071805704"/>
  </r>
  <r>
    <s v="ORD-2024-626925"/>
    <x v="116"/>
    <d v="2024-06-09T00:00:00"/>
    <d v="2024-06-09T00:00:00"/>
    <n v="2"/>
    <s v="Q2-2024"/>
    <x v="1"/>
    <x v="9"/>
    <x v="23"/>
    <s v="Corporate"/>
    <s v="Retail"/>
    <x v="7"/>
    <s v="Monitors"/>
    <n v="0.28047246996745545"/>
    <s v="MON-8688"/>
    <n v="1370.28"/>
    <n v="2209.66"/>
    <s v="Profit"/>
    <n v="0.13300000000000001"/>
    <n v="16"/>
    <x v="542"/>
    <n v="21924.48"/>
    <x v="542"/>
    <n v="0.28473863442079589"/>
  </r>
  <r>
    <s v="ORD-2023-960380"/>
    <x v="426"/>
    <d v="2023-02-12T00:00:00"/>
    <d v="2023-02-12T00:00:00"/>
    <n v="1"/>
    <s v="Q1-2023"/>
    <x v="0"/>
    <x v="1"/>
    <x v="1"/>
    <s v="Non-Profit"/>
    <s v="Direct"/>
    <x v="14"/>
    <s v="Accessories"/>
    <n v="4.3346021738122881E-2"/>
    <s v="ACC-8242"/>
    <n v="944.61"/>
    <n v="839.04"/>
    <s v="Loss"/>
    <n v="5.8999999999999997E-2"/>
    <n v="6"/>
    <x v="543"/>
    <n v="5667.66"/>
    <x v="543"/>
    <n v="-0.19641059343363726"/>
  </r>
  <r>
    <s v="ORD-2023-453699"/>
    <x v="306"/>
    <d v="2023-07-08T00:00:00"/>
    <d v="2023-07-08T00:00:00"/>
    <n v="7"/>
    <s v="Q3-2023"/>
    <x v="3"/>
    <x v="6"/>
    <x v="37"/>
    <s v="Small Business"/>
    <s v="Distributor"/>
    <x v="13"/>
    <s v="Laptops"/>
    <n v="0.12914509790078804"/>
    <s v="LAP-4666"/>
    <n v="460.21"/>
    <n v="1139.1500000000001"/>
    <s v="Profit"/>
    <n v="0.115"/>
    <n v="14"/>
    <x v="544"/>
    <n v="6442.94"/>
    <x v="544"/>
    <n v="0.54350937151821255"/>
  </r>
  <r>
    <s v="ORD-2025-960931"/>
    <x v="427"/>
    <d v="2025-08-26T00:00:00"/>
    <d v="2025-08-26T00:00:00"/>
    <n v="6"/>
    <s v="Q3-2025"/>
    <x v="2"/>
    <x v="10"/>
    <x v="39"/>
    <s v="Corporate"/>
    <s v="Retail"/>
    <x v="12"/>
    <s v="Networking"/>
    <n v="9.8753678109899976E-2"/>
    <s v="NET-5196"/>
    <n v="1304.95"/>
    <n v="1712.03"/>
    <s v="Profit"/>
    <n v="0.21199999999999999"/>
    <n v="8"/>
    <x v="545"/>
    <n v="10439.6"/>
    <x v="545"/>
    <n v="3.2710922833287949E-2"/>
  </r>
  <r>
    <s v="ORD-2024-419248"/>
    <x v="428"/>
    <d v="2024-03-16T00:00:00"/>
    <d v="2024-03-16T00:00:00"/>
    <n v="12"/>
    <s v="Q1-2024"/>
    <x v="0"/>
    <x v="11"/>
    <x v="20"/>
    <s v="Enterprise"/>
    <s v="Distributor"/>
    <x v="12"/>
    <s v="Monitors"/>
    <n v="4.4163306402185326E-2"/>
    <s v="MON-8422"/>
    <n v="441.08"/>
    <n v="1054.29"/>
    <s v="Profit"/>
    <n v="0.23699999999999999"/>
    <n v="6"/>
    <x v="546"/>
    <n v="2646.48"/>
    <x v="546"/>
    <n v="0.45168169985932899"/>
  </r>
  <r>
    <s v="ORD-2023-488227"/>
    <x v="429"/>
    <d v="2023-10-02T00:00:00"/>
    <d v="2023-10-02T00:00:00"/>
    <n v="24"/>
    <s v="Q3-2023"/>
    <x v="2"/>
    <x v="3"/>
    <x v="5"/>
    <s v="Education"/>
    <s v="Direct"/>
    <x v="8"/>
    <s v="Accessories"/>
    <n v="0.14210951753625664"/>
    <s v="ACC-3415"/>
    <n v="1299.03"/>
    <n v="2451.2199999999998"/>
    <s v="Profit"/>
    <n v="0.20799999999999999"/>
    <n v="8"/>
    <x v="547"/>
    <n v="10392.24"/>
    <x v="547"/>
    <n v="0.3308681416032041"/>
  </r>
  <r>
    <s v="ORD-2023-472078"/>
    <x v="2"/>
    <d v="2023-03-06T00:00:00"/>
    <d v="2023-03-06T00:00:00"/>
    <n v="6"/>
    <s v="Q1-2023"/>
    <x v="3"/>
    <x v="6"/>
    <x v="37"/>
    <s v="Small Business"/>
    <s v="Marketplace"/>
    <x v="14"/>
    <s v="Printers"/>
    <n v="0.2911746103429404"/>
    <s v="PRN-9624"/>
    <n v="880.02"/>
    <n v="1251.21"/>
    <s v="Profit"/>
    <n v="0.123"/>
    <n v="29"/>
    <x v="548"/>
    <n v="25520.579999999998"/>
    <x v="548"/>
    <n v="0.19802146915172672"/>
  </r>
  <r>
    <s v="ORD-2024-202877"/>
    <x v="293"/>
    <d v="2024-08-03T00:00:00"/>
    <d v="2024-08-03T00:00:00"/>
    <n v="21"/>
    <s v="Q3-2024"/>
    <x v="2"/>
    <x v="5"/>
    <x v="30"/>
    <s v="Corporate"/>
    <s v="Marketplace"/>
    <x v="12"/>
    <s v="Monitors"/>
    <n v="0.10007937053669726"/>
    <s v="MON-6287"/>
    <n v="702.98"/>
    <n v="1104.8"/>
    <s v="Profit"/>
    <n v="0.17499999999999999"/>
    <n v="12"/>
    <x v="549"/>
    <n v="8435.76"/>
    <x v="549"/>
    <n v="0.22873192460448061"/>
  </r>
  <r>
    <s v="ORD-2024-140633"/>
    <x v="430"/>
    <d v="2024-12-26T00:00:00"/>
    <d v="2024-12-26T00:00:00"/>
    <n v="19"/>
    <s v="Q4-2024"/>
    <x v="3"/>
    <x v="8"/>
    <x v="21"/>
    <s v="Enterprise"/>
    <s v="Online"/>
    <x v="14"/>
    <s v="Networking"/>
    <n v="0.27151499133343993"/>
    <s v="NET-4491"/>
    <n v="1035.24"/>
    <n v="2383.41"/>
    <s v="Profit"/>
    <n v="0.17"/>
    <n v="15"/>
    <x v="550"/>
    <n v="15528.6"/>
    <x v="550"/>
    <n v="0.47668378145860962"/>
  </r>
  <r>
    <s v="ORD-2025-419532"/>
    <x v="431"/>
    <d v="2025-08-23T00:00:00"/>
    <d v="2025-08-23T00:00:00"/>
    <n v="17"/>
    <s v="Q3-2025"/>
    <x v="2"/>
    <x v="5"/>
    <x v="10"/>
    <s v="Consumer"/>
    <s v="Distributor"/>
    <x v="8"/>
    <s v="Monitors"/>
    <n v="1.689843674169321E-2"/>
    <s v="MON-4317"/>
    <n v="86.64"/>
    <n v="213.06"/>
    <s v="Profit"/>
    <n v="0.21199999999999999"/>
    <n v="11"/>
    <x v="551"/>
    <n v="953.04"/>
    <x v="551"/>
    <n v="0.48395175735154322"/>
  </r>
  <r>
    <s v="ORD-2023-139236"/>
    <x v="432"/>
    <d v="2023-03-20T00:00:00"/>
    <d v="2023-03-20T00:00:00"/>
    <n v="17"/>
    <s v="Q1-2023"/>
    <x v="1"/>
    <x v="2"/>
    <x v="32"/>
    <s v="Small Business"/>
    <s v="Online"/>
    <x v="14"/>
    <s v="Networking"/>
    <n v="0.17229747045994914"/>
    <s v="NET-7349"/>
    <n v="1171.17"/>
    <n v="2030.64"/>
    <s v="Profit"/>
    <n v="0.157"/>
    <n v="11"/>
    <x v="552"/>
    <n v="12882.87"/>
    <x v="552"/>
    <n v="0.31583724528830415"/>
  </r>
  <r>
    <s v="ORD-2025-337268"/>
    <x v="433"/>
    <d v="2025-03-17T00:00:00"/>
    <d v="2025-03-17T00:00:00"/>
    <n v="29"/>
    <s v="Q1-2025"/>
    <x v="3"/>
    <x v="6"/>
    <x v="22"/>
    <s v="Consumer"/>
    <s v="Retail"/>
    <x v="4"/>
    <s v="Accessories"/>
    <n v="0.18449715297524952"/>
    <s v="ACC-5150"/>
    <n v="730.42"/>
    <n v="956.7"/>
    <s v="Profit"/>
    <n v="4.2000000000000003E-2"/>
    <n v="22"/>
    <x v="553"/>
    <n v="16069.24"/>
    <x v="553"/>
    <n v="0.20304945256975698"/>
  </r>
  <r>
    <s v="ORD-2025-332931"/>
    <x v="146"/>
    <d v="2025-03-01T00:00:00"/>
    <d v="2025-03-01T00:00:00"/>
    <n v="14"/>
    <s v="Q1-2025"/>
    <x v="0"/>
    <x v="0"/>
    <x v="13"/>
    <s v="Education"/>
    <s v="Direct"/>
    <x v="4"/>
    <s v="Accessories"/>
    <n v="0.14512769684408605"/>
    <s v="ACC-5144"/>
    <n v="1162.8599999999999"/>
    <n v="1447.68"/>
    <s v="Profit"/>
    <n v="8.6999999999999994E-2"/>
    <n v="12"/>
    <x v="554"/>
    <n v="13954.32"/>
    <x v="554"/>
    <n v="0.12019975247021369"/>
  </r>
  <r>
    <s v="ORD-2024-536442"/>
    <x v="434"/>
    <d v="2024-09-26T00:00:00"/>
    <d v="2024-09-26T00:00:00"/>
    <n v="26"/>
    <s v="Q3-2024"/>
    <x v="1"/>
    <x v="2"/>
    <x v="27"/>
    <s v="Education"/>
    <s v="Online"/>
    <x v="2"/>
    <s v="Phones"/>
    <n v="0.30700339606171262"/>
    <s v="PHN-6111"/>
    <n v="1189.03"/>
    <n v="2949.62"/>
    <s v="Profit"/>
    <n v="0.125"/>
    <n v="13"/>
    <x v="555"/>
    <n v="15457.39"/>
    <x v="555"/>
    <n v="0.53929949330034765"/>
  </r>
  <r>
    <s v="ORD-2023-957692"/>
    <x v="239"/>
    <d v="2023-05-20T00:00:00"/>
    <d v="2023-05-20T00:00:00"/>
    <n v="13"/>
    <s v="Q2-2023"/>
    <x v="1"/>
    <x v="4"/>
    <x v="29"/>
    <s v="Enterprise"/>
    <s v="Retail"/>
    <x v="14"/>
    <s v="Accessories"/>
    <n v="0.42502439145856902"/>
    <s v="ACC-9283"/>
    <n v="1443.28"/>
    <n v="2580.5700000000002"/>
    <s v="Profit"/>
    <n v="0"/>
    <n v="18"/>
    <x v="556"/>
    <n v="25979.040000000001"/>
    <x v="556"/>
    <n v="0.4407127107577008"/>
  </r>
  <r>
    <s v="ORD-2025-874124"/>
    <x v="78"/>
    <d v="2025-05-12T00:00:00"/>
    <d v="2025-05-21T00:00:00"/>
    <n v="7"/>
    <s v="Q2-2025"/>
    <x v="2"/>
    <x v="3"/>
    <x v="26"/>
    <s v="Non-Profit"/>
    <s v="Distributor"/>
    <x v="9"/>
    <s v="Printers"/>
    <n v="0.46249458114033404"/>
    <s v="PRN-2407"/>
    <n v="883.5"/>
    <n v="1978.91"/>
    <s v="Profit"/>
    <n v="5.3999999999999999E-2"/>
    <n v="27"/>
    <x v="557"/>
    <n v="23854.5"/>
    <x v="557"/>
    <n v="0.52805718970390547"/>
  </r>
  <r>
    <s v="ORD-2024-687073"/>
    <x v="0"/>
    <d v="2024-03-29T00:00:00"/>
    <d v="2024-03-29T00:00:00"/>
    <n v="18"/>
    <s v="Q1-2024"/>
    <x v="2"/>
    <x v="10"/>
    <x v="39"/>
    <s v="Corporate"/>
    <s v="Retail"/>
    <x v="12"/>
    <s v="Monitors"/>
    <n v="9.6256976472067879E-2"/>
    <s v="MON-7099"/>
    <n v="710.98"/>
    <n v="1481.45"/>
    <s v="Profit"/>
    <n v="0.21099999999999999"/>
    <n v="9"/>
    <x v="558"/>
    <n v="6398.82"/>
    <x v="558"/>
    <n v="0.39173422264120461"/>
  </r>
  <r>
    <s v="ORD-2024-555229"/>
    <x v="22"/>
    <d v="2024-05-22T00:00:00"/>
    <d v="2024-05-22T00:00:00"/>
    <n v="4"/>
    <s v="Q2-2024"/>
    <x v="0"/>
    <x v="0"/>
    <x v="2"/>
    <s v="Corporate"/>
    <s v="Direct"/>
    <x v="10"/>
    <s v="Accessories"/>
    <n v="0.11994666390256388"/>
    <s v="ACC-7354"/>
    <n v="857.42"/>
    <n v="1658.92"/>
    <s v="Profit"/>
    <n v="0.122"/>
    <n v="9"/>
    <x v="559"/>
    <n v="7716.78"/>
    <x v="559"/>
    <n v="0.41132763215544305"/>
  </r>
  <r>
    <s v="ORD-2024-872291"/>
    <x v="435"/>
    <d v="2024-01-12T00:00:00"/>
    <d v="2024-01-12T00:00:00"/>
    <n v="4"/>
    <s v="Q1-2024"/>
    <x v="1"/>
    <x v="4"/>
    <x v="6"/>
    <s v="Corporate"/>
    <s v="Direct"/>
    <x v="6"/>
    <s v="Printers"/>
    <n v="0.1212523293287357"/>
    <s v="PRN-6585"/>
    <n v="802.32"/>
    <n v="602.34"/>
    <s v="Loss"/>
    <n v="0.12"/>
    <n v="25"/>
    <x v="560"/>
    <n v="20058"/>
    <x v="560"/>
    <n v="-0.51364224977134632"/>
  </r>
  <r>
    <s v="ORD-2024-250862"/>
    <x v="40"/>
    <d v="2024-11-05T00:00:00"/>
    <d v="2024-11-05T00:00:00"/>
    <n v="11"/>
    <s v="Q4-2024"/>
    <x v="2"/>
    <x v="10"/>
    <x v="39"/>
    <s v="Corporate"/>
    <s v="Distributor"/>
    <x v="13"/>
    <s v="Components"/>
    <n v="6.191855183556521E-2"/>
    <s v="CMP-9498"/>
    <n v="446.66"/>
    <n v="527.64"/>
    <s v="Profit"/>
    <n v="0.14499999999999999"/>
    <n v="15"/>
    <x v="561"/>
    <n v="6699.9000000000005"/>
    <x v="561"/>
    <n v="9.9132804087137105E-3"/>
  </r>
  <r>
    <s v="ORD-2024-331226"/>
    <x v="25"/>
    <d v="2024-12-19T00:00:00"/>
    <d v="2024-12-19T00:00:00"/>
    <n v="19"/>
    <s v="Q4-2024"/>
    <x v="0"/>
    <x v="0"/>
    <x v="0"/>
    <s v="Corporate"/>
    <s v="Online"/>
    <x v="4"/>
    <s v="Phones"/>
    <n v="0.30260574042206545"/>
    <s v="PHN-1919"/>
    <n v="1195.98"/>
    <n v="1841.9"/>
    <s v="Profit"/>
    <n v="5.5E-2"/>
    <n v="19"/>
    <x v="562"/>
    <n v="22723.62"/>
    <x v="562"/>
    <n v="0.31289032977506842"/>
  </r>
  <r>
    <s v="ORD-2023-356427"/>
    <x v="290"/>
    <d v="2023-05-02T00:00:00"/>
    <d v="2023-05-02T00:00:00"/>
    <n v="19"/>
    <s v="Q2-2023"/>
    <x v="2"/>
    <x v="3"/>
    <x v="19"/>
    <s v="Consumer"/>
    <s v="Distributor"/>
    <x v="6"/>
    <s v="Monitors"/>
    <n v="7.7961530988916325E-2"/>
    <s v="MON-6053"/>
    <n v="671.05"/>
    <n v="1645.48"/>
    <s v="Profit"/>
    <n v="0.13700000000000001"/>
    <n v="6"/>
    <x v="563"/>
    <n v="4026.2999999999997"/>
    <x v="563"/>
    <n v="0.52744596377517172"/>
  </r>
  <r>
    <s v="ORD-2025-659650"/>
    <x v="185"/>
    <d v="2025-02-08T00:00:00"/>
    <d v="2025-02-08T00:00:00"/>
    <n v="4"/>
    <s v="Q1-2025"/>
    <x v="3"/>
    <x v="8"/>
    <x v="31"/>
    <s v="Enterprise"/>
    <s v="Marketplace"/>
    <x v="4"/>
    <s v="Networking"/>
    <n v="9.3024788378620021E-2"/>
    <s v="NET-2502"/>
    <n v="586.21"/>
    <n v="727.22"/>
    <s v="Profit"/>
    <n v="6.8000000000000005E-2"/>
    <n v="15"/>
    <x v="564"/>
    <n v="8793.1500000000015"/>
    <x v="564"/>
    <n v="0.13508884973559721"/>
  </r>
  <r>
    <s v="ORD-2024-207669"/>
    <x v="436"/>
    <d v="2024-02-04T00:00:00"/>
    <d v="2024-02-04T00:00:00"/>
    <n v="11"/>
    <s v="Q1-2024"/>
    <x v="3"/>
    <x v="8"/>
    <x v="31"/>
    <s v="Consumer"/>
    <s v="Retail"/>
    <x v="5"/>
    <s v="Laptops"/>
    <n v="3.8699714770559418E-2"/>
    <s v="LAP-5689"/>
    <n v="525.34"/>
    <n v="1233.79"/>
    <s v="Profit"/>
    <n v="0.14299999999999999"/>
    <n v="4"/>
    <x v="565"/>
    <n v="2101.36"/>
    <x v="565"/>
    <n v="0.50315788494082736"/>
  </r>
  <r>
    <s v="ORD-2024-979401"/>
    <x v="437"/>
    <d v="2024-02-09T00:00:00"/>
    <d v="2024-02-09T00:00:00"/>
    <n v="1"/>
    <s v="Q1-2024"/>
    <x v="0"/>
    <x v="0"/>
    <x v="13"/>
    <s v="Corporate"/>
    <s v="Direct"/>
    <x v="9"/>
    <s v="Components"/>
    <n v="0.16049454420898637"/>
    <s v="CMP-5911"/>
    <n v="1233.52"/>
    <n v="1543.76"/>
    <s v="Profit"/>
    <n v="0.126"/>
    <n v="13"/>
    <x v="566"/>
    <n v="16035.76"/>
    <x v="566"/>
    <n v="8.5771030201277493E-2"/>
  </r>
  <r>
    <s v="ORD-2025-929414"/>
    <x v="438"/>
    <d v="2025-07-11T00:00:00"/>
    <d v="2025-07-11T00:00:00"/>
    <n v="15"/>
    <s v="Q2-2025"/>
    <x v="0"/>
    <x v="1"/>
    <x v="1"/>
    <s v="Small Business"/>
    <s v="Online"/>
    <x v="8"/>
    <s v="Laptops"/>
    <n v="0.40419298712679397"/>
    <s v="LAP-7523"/>
    <n v="1170.1500000000001"/>
    <n v="2115.19"/>
    <s v="Profit"/>
    <n v="9.1999999999999998E-2"/>
    <n v="23"/>
    <x v="567"/>
    <n v="26913.45"/>
    <x v="567"/>
    <n v="0.39073489674946776"/>
  </r>
  <r>
    <s v="ORD-2024-766980"/>
    <x v="273"/>
    <d v="2024-11-07T00:00:00"/>
    <d v="2024-11-07T00:00:00"/>
    <n v="3"/>
    <s v="Q4-2024"/>
    <x v="3"/>
    <x v="7"/>
    <x v="17"/>
    <s v="Corporate"/>
    <s v="Online"/>
    <x v="7"/>
    <s v="Monitors"/>
    <n v="0.22947968468560093"/>
    <s v="MON-1118"/>
    <n v="740.68"/>
    <n v="1837.19"/>
    <s v="Profit"/>
    <n v="0.19700000000000001"/>
    <n v="17"/>
    <x v="568"/>
    <n v="12591.56"/>
    <x v="568"/>
    <n v="0.4979337827748298"/>
  </r>
  <r>
    <s v="ORD-2024-437164"/>
    <x v="439"/>
    <d v="2024-02-20T00:00:00"/>
    <d v="2024-02-20T00:00:00"/>
    <n v="0"/>
    <s v="Q1-2024"/>
    <x v="2"/>
    <x v="10"/>
    <x v="39"/>
    <s v="Enterprise"/>
    <s v="Online"/>
    <x v="0"/>
    <s v="Networking"/>
    <n v="0.3139138468045552"/>
    <s v="NET-9177"/>
    <n v="1407.05"/>
    <n v="2858.93"/>
    <s v="Profit"/>
    <n v="0"/>
    <n v="12"/>
    <x v="569"/>
    <n v="16884.599999999999"/>
    <x v="569"/>
    <n v="0.50784034586366222"/>
  </r>
  <r>
    <s v="ORD-2025-169093"/>
    <x v="440"/>
    <d v="2025-04-14T00:00:00"/>
    <d v="2025-04-14T00:00:00"/>
    <n v="1"/>
    <s v="Q2-2025"/>
    <x v="1"/>
    <x v="2"/>
    <x v="4"/>
    <s v="Enterprise"/>
    <s v="Online"/>
    <x v="3"/>
    <s v="Components"/>
    <n v="3.0910380909667235E-2"/>
    <s v="CMP-6495"/>
    <n v="138.9"/>
    <n v="289.92"/>
    <s v="Profit"/>
    <n v="2.9000000000000001E-2"/>
    <n v="12"/>
    <x v="570"/>
    <n v="1666.8000000000002"/>
    <x v="570"/>
    <n v="0.50659353025828491"/>
  </r>
  <r>
    <s v="ORD-2023-868460"/>
    <x v="408"/>
    <d v="2023-06-01T00:00:00"/>
    <d v="2023-06-01T00:00:00"/>
    <n v="0"/>
    <s v="Q2-2023"/>
    <x v="1"/>
    <x v="4"/>
    <x v="6"/>
    <s v="Corporate"/>
    <s v="Retail"/>
    <x v="6"/>
    <s v="Accessories"/>
    <n v="4.1881348851778362E-2"/>
    <s v="ACC-4587"/>
    <n v="669.37"/>
    <n v="997.2"/>
    <s v="Profit"/>
    <n v="8.2000000000000003E-2"/>
    <n v="5"/>
    <x v="571"/>
    <n v="3346.85"/>
    <x v="571"/>
    <n v="0.26879139586484863"/>
  </r>
  <r>
    <s v="ORD-2025-177994"/>
    <x v="401"/>
    <d v="2025-04-04T00:00:00"/>
    <d v="2025-04-04T00:00:00"/>
    <n v="11"/>
    <s v="Q1-2025"/>
    <x v="1"/>
    <x v="4"/>
    <x v="29"/>
    <s v="Education"/>
    <s v="Marketplace"/>
    <x v="1"/>
    <s v="Phones"/>
    <n v="7.6952807443358721E-3"/>
    <s v="PHN-4395"/>
    <n v="23.83"/>
    <n v="47.29"/>
    <s v="Profit"/>
    <n v="6.4000000000000001E-2"/>
    <n v="19"/>
    <x v="572"/>
    <n v="452.77"/>
    <x v="572"/>
    <n v="0.46163244429262618"/>
  </r>
  <r>
    <s v="ORD-2024-355095"/>
    <x v="279"/>
    <d v="2024-01-02T00:00:00"/>
    <d v="2024-01-02T00:00:00"/>
    <n v="0"/>
    <s v="Q1-2024"/>
    <x v="2"/>
    <x v="3"/>
    <x v="26"/>
    <s v="Education"/>
    <s v="Direct"/>
    <x v="8"/>
    <s v="Laptops"/>
    <n v="0.17512914663168588"/>
    <s v="LAP-3581"/>
    <n v="444.41"/>
    <n v="754.24"/>
    <s v="Profit"/>
    <n v="0.20699999999999999"/>
    <n v="32"/>
    <x v="573"/>
    <n v="14221.12"/>
    <x v="573"/>
    <n v="0.25697902360546598"/>
  </r>
  <r>
    <s v="ORD-2023-126505"/>
    <x v="202"/>
    <d v="2024-01-01T00:00:00"/>
    <d v="2024-01-01T00:00:00"/>
    <n v="13"/>
    <s v="Q4-2023"/>
    <x v="2"/>
    <x v="3"/>
    <x v="5"/>
    <s v="Enterprise"/>
    <s v="Retail"/>
    <x v="11"/>
    <s v="Monitors"/>
    <n v="0.13237400742292749"/>
    <s v="MON-6065"/>
    <n v="856.1"/>
    <n v="901.48"/>
    <s v="Profit"/>
    <n v="5.6000000000000001E-2"/>
    <n v="17"/>
    <x v="574"/>
    <n v="14553.7"/>
    <x v="574"/>
    <n v="-5.9963540182134192E-3"/>
  </r>
  <r>
    <s v="ORD-2023-340056"/>
    <x v="441"/>
    <d v="2023-04-26T00:00:00"/>
    <d v="2023-04-26T00:00:00"/>
    <n v="0"/>
    <s v="Q2-2023"/>
    <x v="3"/>
    <x v="7"/>
    <x v="11"/>
    <s v="Consumer"/>
    <s v="Direct"/>
    <x v="12"/>
    <s v="Components"/>
    <n v="4.5474756702774807E-3"/>
    <s v="CMP-4945"/>
    <n v="81.489999999999995"/>
    <n v="113.08"/>
    <s v="Profit"/>
    <n v="0.121"/>
    <n v="5"/>
    <x v="575"/>
    <n v="407.45"/>
    <x v="575"/>
    <n v="0.18015898215364362"/>
  </r>
  <r>
    <s v="ORD-2025-281413"/>
    <x v="442"/>
    <d v="2025-08-16T00:00:00"/>
    <d v="2025-08-16T00:00:00"/>
    <n v="13"/>
    <s v="Q3-2025"/>
    <x v="2"/>
    <x v="3"/>
    <x v="19"/>
    <s v="Enterprise"/>
    <s v="Distributor"/>
    <x v="7"/>
    <s v="Networking"/>
    <n v="0.11063556677120197"/>
    <s v="NET-3785"/>
    <n v="698.66"/>
    <n v="868.62"/>
    <s v="Profit"/>
    <n v="7.1999999999999995E-2"/>
    <n v="15"/>
    <x v="576"/>
    <n v="10479.9"/>
    <x v="576"/>
    <n v="0.13326151906432637"/>
  </r>
  <r>
    <s v="ORD-2023-713614"/>
    <x v="443"/>
    <d v="2023-08-19T00:00:00"/>
    <d v="2023-08-19T00:00:00"/>
    <n v="17"/>
    <s v="Q3-2023"/>
    <x v="2"/>
    <x v="3"/>
    <x v="26"/>
    <s v="Corporate"/>
    <s v="Online"/>
    <x v="9"/>
    <s v="Networking"/>
    <n v="0.12702715327969652"/>
    <s v="NET-3689"/>
    <n v="175.38"/>
    <n v="347.9"/>
    <s v="Profit"/>
    <n v="7.1999999999999995E-2"/>
    <n v="43"/>
    <x v="577"/>
    <n v="7541.34"/>
    <x v="577"/>
    <n v="0.45677761148169804"/>
  </r>
  <r>
    <s v="ORD-2023-173313"/>
    <x v="251"/>
    <d v="2023-07-12T00:00:00"/>
    <d v="2023-07-12T00:00:00"/>
    <n v="27"/>
    <s v="Q2-2023"/>
    <x v="3"/>
    <x v="8"/>
    <x v="31"/>
    <s v="Consumer"/>
    <s v="Direct"/>
    <x v="2"/>
    <s v="Accessories"/>
    <n v="6.1602419639208594E-2"/>
    <s v="ACC-3833"/>
    <n v="751.28"/>
    <n v="1111.8800000000001"/>
    <s v="Profit"/>
    <n v="0.13500000000000001"/>
    <n v="7"/>
    <x v="578"/>
    <n v="5258.96"/>
    <x v="578"/>
    <n v="0.21886193482433863"/>
  </r>
  <r>
    <s v="ORD-2024-496601"/>
    <x v="444"/>
    <d v="2024-11-24T00:00:00"/>
    <d v="2024-11-24T00:00:00"/>
    <n v="13"/>
    <s v="Q4-2024"/>
    <x v="3"/>
    <x v="8"/>
    <x v="21"/>
    <s v="Corporate"/>
    <s v="Retail"/>
    <x v="6"/>
    <s v="Networking"/>
    <n v="3.9168625406955634E-2"/>
    <s v="NET-2932"/>
    <n v="164.53"/>
    <n v="327.72"/>
    <s v="Profit"/>
    <n v="6.7000000000000004E-2"/>
    <n v="14"/>
    <x v="579"/>
    <n v="2303.42"/>
    <x v="579"/>
    <n v="0.46190307805960412"/>
  </r>
  <r>
    <s v="ORD-2025-155182"/>
    <x v="445"/>
    <d v="2025-08-03T00:00:00"/>
    <d v="2025-08-03T00:00:00"/>
    <n v="23"/>
    <s v="Q3-2025"/>
    <x v="0"/>
    <x v="0"/>
    <x v="16"/>
    <s v="Small Business"/>
    <s v="Retail"/>
    <x v="0"/>
    <s v="Phones"/>
    <n v="6.5636705522980759E-2"/>
    <s v="PHN-7636"/>
    <n v="389.93"/>
    <n v="486.13"/>
    <s v="Profit"/>
    <n v="0.13200000000000001"/>
    <n v="17"/>
    <x v="580"/>
    <n v="6628.81"/>
    <x v="580"/>
    <n v="7.5909508569562828E-2"/>
  </r>
  <r>
    <s v="ORD-2023-244375"/>
    <x v="446"/>
    <d v="2023-07-01T00:00:00"/>
    <d v="2023-07-01T00:00:00"/>
    <n v="28"/>
    <s v="Q2-2023"/>
    <x v="2"/>
    <x v="5"/>
    <x v="10"/>
    <s v="Small Business"/>
    <s v="Marketplace"/>
    <x v="8"/>
    <s v="Components"/>
    <n v="5.6161484563125953E-2"/>
    <s v="CMP-1223"/>
    <n v="860.4"/>
    <n v="2066.6"/>
    <s v="Profit"/>
    <n v="0.01"/>
    <n v="3"/>
    <x v="581"/>
    <n v="2581.1999999999998"/>
    <x v="581"/>
    <n v="0.57945857491004105"/>
  </r>
  <r>
    <s v="ORD-2023-856322"/>
    <x v="171"/>
    <d v="2023-02-06T00:00:00"/>
    <d v="2023-02-06T00:00:00"/>
    <n v="8"/>
    <s v="Q1-2023"/>
    <x v="2"/>
    <x v="5"/>
    <x v="10"/>
    <s v="Corporate"/>
    <s v="Marketplace"/>
    <x v="14"/>
    <s v="Monitors"/>
    <n v="1.6483054539605191E-2"/>
    <s v="MON-7207"/>
    <n v="41.84"/>
    <n v="86.2"/>
    <s v="Profit"/>
    <n v="0.22600000000000001"/>
    <n v="27"/>
    <x v="582"/>
    <n v="1129.68"/>
    <x v="582"/>
    <n v="0.37289039970742882"/>
  </r>
  <r>
    <s v="ORD-2024-594527"/>
    <x v="331"/>
    <d v="2024-09-04T00:00:00"/>
    <d v="2024-09-13T00:00:00"/>
    <n v="7"/>
    <s v="Q3-2024"/>
    <x v="1"/>
    <x v="2"/>
    <x v="4"/>
    <s v="Corporate"/>
    <s v="Direct"/>
    <x v="8"/>
    <s v="Laptops"/>
    <n v="0.37115833457836156"/>
    <s v="LAP-4483"/>
    <n v="1368.17"/>
    <n v="2307.75"/>
    <s v="Profit"/>
    <n v="0.16300000000000001"/>
    <n v="21"/>
    <x v="583"/>
    <n v="28731.57"/>
    <x v="583"/>
    <n v="0.29168596750831921"/>
  </r>
  <r>
    <s v="ORD-2024-689872"/>
    <x v="447"/>
    <d v="2024-08-09T00:00:00"/>
    <d v="2024-08-09T00:00:00"/>
    <n v="6"/>
    <s v="Q3-2024"/>
    <x v="0"/>
    <x v="0"/>
    <x v="13"/>
    <s v="Consumer"/>
    <s v="Marketplace"/>
    <x v="10"/>
    <s v="Laptops"/>
    <n v="3.4986450163050943E-2"/>
    <s v="LAP-1969"/>
    <n v="643.21"/>
    <n v="1112.81"/>
    <s v="Profit"/>
    <n v="0.14099999999999999"/>
    <n v="4"/>
    <x v="584"/>
    <n v="2572.84"/>
    <x v="584"/>
    <n v="0.32711847496702562"/>
  </r>
  <r>
    <s v="ORD-2025-246692"/>
    <x v="448"/>
    <d v="2025-04-17T00:00:00"/>
    <d v="2025-04-17T00:00:00"/>
    <n v="0"/>
    <s v="Q2-2025"/>
    <x v="2"/>
    <x v="5"/>
    <x v="8"/>
    <s v="Corporate"/>
    <s v="Distributor"/>
    <x v="4"/>
    <s v="Phones"/>
    <n v="0.20749046329535131"/>
    <s v="PHN-4566"/>
    <n v="719.41"/>
    <n v="1125.99"/>
    <s v="Profit"/>
    <n v="4.1000000000000002E-2"/>
    <n v="21"/>
    <x v="585"/>
    <n v="15107.609999999999"/>
    <x v="585"/>
    <n v="0.33377131194876403"/>
  </r>
  <r>
    <s v="ORD-2023-378676"/>
    <x v="449"/>
    <d v="2023-05-16T00:00:00"/>
    <d v="2023-05-16T00:00:00"/>
    <n v="13"/>
    <s v="Q2-2023"/>
    <x v="2"/>
    <x v="10"/>
    <x v="39"/>
    <s v="Corporate"/>
    <s v="Marketplace"/>
    <x v="4"/>
    <s v="Phones"/>
    <n v="3.3934050275784226E-3"/>
    <s v="PHN-5366"/>
    <n v="64.5"/>
    <n v="123.62"/>
    <s v="Profit"/>
    <n v="0"/>
    <n v="3"/>
    <x v="586"/>
    <n v="193.5"/>
    <x v="586"/>
    <n v="0.47823976702798904"/>
  </r>
  <r>
    <s v="ORD-2024-243988"/>
    <x v="450"/>
    <d v="2024-04-06T00:00:00"/>
    <d v="2024-04-06T00:00:00"/>
    <n v="24"/>
    <s v="Q1-2024"/>
    <x v="0"/>
    <x v="1"/>
    <x v="7"/>
    <s v="Consumer"/>
    <s v="Distributor"/>
    <x v="4"/>
    <s v="Components"/>
    <n v="0.22995251879215239"/>
    <s v="CMP-9001"/>
    <n v="1232.78"/>
    <n v="1731.75"/>
    <s v="Profit"/>
    <n v="9.2999999999999999E-2"/>
    <n v="16"/>
    <x v="587"/>
    <n v="19724.48"/>
    <x v="587"/>
    <n v="0.21513837246484005"/>
  </r>
  <r>
    <s v="ORD-2024-572312"/>
    <x v="249"/>
    <d v="2024-06-21T00:00:00"/>
    <d v="2024-06-21T00:00:00"/>
    <n v="5"/>
    <s v="Q2-2024"/>
    <x v="1"/>
    <x v="2"/>
    <x v="27"/>
    <s v="Small Business"/>
    <s v="Distributor"/>
    <x v="9"/>
    <s v="Phones"/>
    <n v="0.6282966749757577"/>
    <s v="PHN-9677"/>
    <n v="1367.13"/>
    <n v="3062.01"/>
    <s v="Profit"/>
    <n v="0.10299999999999999"/>
    <n v="25"/>
    <x v="588"/>
    <n v="34178.25"/>
    <x v="588"/>
    <n v="0.50225057645971705"/>
  </r>
  <r>
    <s v="ORD-2025-281062"/>
    <x v="146"/>
    <d v="2025-02-27T00:00:00"/>
    <d v="2025-02-27T00:00:00"/>
    <n v="12"/>
    <s v="Q1-2025"/>
    <x v="3"/>
    <x v="7"/>
    <x v="17"/>
    <s v="Non-Profit"/>
    <s v="Direct"/>
    <x v="11"/>
    <s v="Accessories"/>
    <n v="0.11017305790877301"/>
    <s v="ACC-1604"/>
    <n v="1027.26"/>
    <n v="2200.41"/>
    <s v="Profit"/>
    <n v="8.7999999999999995E-2"/>
    <n v="6"/>
    <x v="589"/>
    <n v="6163.5599999999995"/>
    <x v="589"/>
    <n v="0.48810377204822358"/>
  </r>
  <r>
    <s v="ORD-2023-727290"/>
    <x v="451"/>
    <d v="2023-04-16T00:00:00"/>
    <d v="2023-04-16T00:00:00"/>
    <n v="13"/>
    <s v="Q2-2023"/>
    <x v="3"/>
    <x v="7"/>
    <x v="11"/>
    <s v="Non-Profit"/>
    <s v="Marketplace"/>
    <x v="12"/>
    <s v="Accessories"/>
    <n v="8.2555378985526034E-2"/>
    <s v="ACC-4815"/>
    <n v="790.54"/>
    <n v="601.49"/>
    <s v="Loss"/>
    <n v="0"/>
    <n v="15"/>
    <x v="590"/>
    <n v="11858.099999999999"/>
    <x v="590"/>
    <n v="-0.31430281467688553"/>
  </r>
  <r>
    <s v="ORD-2025-993993"/>
    <x v="388"/>
    <d v="2025-09-22T00:00:00"/>
    <d v="2025-09-22T00:00:00"/>
    <n v="23"/>
    <s v="Q3-2025"/>
    <x v="3"/>
    <x v="7"/>
    <x v="11"/>
    <s v="Corporate"/>
    <s v="Direct"/>
    <x v="6"/>
    <s v="Components"/>
    <n v="0.10744840401828545"/>
    <s v="CMP-5311"/>
    <n v="663.9"/>
    <n v="947.77"/>
    <s v="Profit"/>
    <n v="0.17399999999999999"/>
    <n v="15"/>
    <x v="591"/>
    <n v="9958.5"/>
    <x v="591"/>
    <n v="0.1519535049280073"/>
  </r>
  <r>
    <s v="ORD-2023-619493"/>
    <x v="452"/>
    <d v="2023-02-26T00:00:00"/>
    <d v="2023-03-06T00:00:00"/>
    <n v="7"/>
    <s v="Q1-2023"/>
    <x v="2"/>
    <x v="10"/>
    <x v="24"/>
    <s v="Non-Profit"/>
    <s v="Online"/>
    <x v="4"/>
    <s v="Networking"/>
    <n v="0.4736838936415963"/>
    <s v="NET-1282"/>
    <n v="1015.91"/>
    <n v="2331.48"/>
    <s v="Profit"/>
    <n v="0.14599999999999999"/>
    <n v="26"/>
    <x v="592"/>
    <n v="26413.66"/>
    <x v="592"/>
    <n v="0.48977037592669626"/>
  </r>
  <r>
    <s v="ORD-2024-947056"/>
    <x v="453"/>
    <d v="2024-08-15T00:00:00"/>
    <d v="2024-08-15T00:00:00"/>
    <n v="15"/>
    <s v="Q3-2024"/>
    <x v="1"/>
    <x v="2"/>
    <x v="27"/>
    <s v="Corporate"/>
    <s v="Marketplace"/>
    <x v="9"/>
    <s v="Monitors"/>
    <n v="5.2390250064154639E-2"/>
    <s v="MON-1564"/>
    <n v="1252.52"/>
    <n v="1417.24"/>
    <s v="Profit"/>
    <n v="0.192"/>
    <n v="5"/>
    <x v="593"/>
    <n v="6262.6"/>
    <x v="593"/>
    <n v="-9.3779821943696953E-2"/>
  </r>
  <r>
    <s v="ORD-2025-856556"/>
    <x v="325"/>
    <d v="2025-07-12T00:00:00"/>
    <d v="2025-07-12T00:00:00"/>
    <n v="27"/>
    <s v="Q2-2025"/>
    <x v="3"/>
    <x v="7"/>
    <x v="11"/>
    <s v="Consumer"/>
    <s v="Direct"/>
    <x v="0"/>
    <s v="Accessories"/>
    <n v="7.6549895725669087E-2"/>
    <s v="ACC-7906"/>
    <n v="318.83"/>
    <n v="699.5"/>
    <s v="Profit"/>
    <n v="0.08"/>
    <n v="13"/>
    <x v="594"/>
    <n v="4144.79"/>
    <x v="594"/>
    <n v="0.50456848059172699"/>
  </r>
  <r>
    <s v="ORD-2024-442776"/>
    <x v="24"/>
    <d v="2024-07-21T00:00:00"/>
    <d v="2024-07-21T00:00:00"/>
    <n v="21"/>
    <s v="Q2-2024"/>
    <x v="0"/>
    <x v="0"/>
    <x v="0"/>
    <s v="Small Business"/>
    <s v="Retail"/>
    <x v="11"/>
    <s v="Laptops"/>
    <n v="0.13643352634659736"/>
    <s v="LAP-6577"/>
    <n v="753.43"/>
    <n v="1787.2"/>
    <s v="Profit"/>
    <n v="7.2999999999999995E-2"/>
    <n v="9"/>
    <x v="595"/>
    <n v="6780.87"/>
    <x v="595"/>
    <n v="0.54523187301476939"/>
  </r>
  <r>
    <s v="ORD-2025-705398"/>
    <x v="454"/>
    <d v="2025-02-15T00:00:00"/>
    <d v="2025-02-24T00:00:00"/>
    <n v="7"/>
    <s v="Q1-2025"/>
    <x v="2"/>
    <x v="3"/>
    <x v="5"/>
    <s v="Small Business"/>
    <s v="Retail"/>
    <x v="14"/>
    <s v="Components"/>
    <n v="7.4376736215864409E-2"/>
    <s v="CMP-5065"/>
    <n v="1133.47"/>
    <n v="1698.75"/>
    <s v="Profit"/>
    <n v="4.2999999999999997E-2"/>
    <n v="5"/>
    <x v="596"/>
    <n v="5667.35"/>
    <x v="596"/>
    <n v="0.30278194904821976"/>
  </r>
  <r>
    <s v="ORD-2023-689428"/>
    <x v="455"/>
    <d v="2023-01-30T00:00:00"/>
    <d v="2023-01-30T00:00:00"/>
    <n v="23"/>
    <s v="Q1-2023"/>
    <x v="0"/>
    <x v="11"/>
    <x v="33"/>
    <s v="Consumer"/>
    <s v="Online"/>
    <x v="8"/>
    <s v="Printers"/>
    <n v="2.8513624227444741E-2"/>
    <s v="PRN-4787"/>
    <n v="299.02"/>
    <n v="724.7"/>
    <s v="Profit"/>
    <n v="0.14000000000000001"/>
    <n v="5"/>
    <x v="597"/>
    <n v="1495.1"/>
    <x v="597"/>
    <n v="0.52021847051386139"/>
  </r>
  <r>
    <s v="ORD-2025-683247"/>
    <x v="402"/>
    <d v="2025-04-04T00:00:00"/>
    <d v="2025-04-04T00:00:00"/>
    <n v="25"/>
    <s v="Q1-2025"/>
    <x v="1"/>
    <x v="2"/>
    <x v="4"/>
    <s v="Corporate"/>
    <s v="Direct"/>
    <x v="10"/>
    <s v="Printers"/>
    <n v="4.034750781907976E-2"/>
    <s v="PRN-9867"/>
    <n v="783.72"/>
    <n v="1355.94"/>
    <s v="Profit"/>
    <n v="0.187"/>
    <n v="4"/>
    <x v="598"/>
    <n v="3134.88"/>
    <x v="598"/>
    <n v="0.28906497348525856"/>
  </r>
  <r>
    <s v="ORD-2024-585443"/>
    <x v="456"/>
    <d v="2024-08-15T00:00:00"/>
    <d v="2024-08-24T00:00:00"/>
    <n v="7"/>
    <s v="Q3-2024"/>
    <x v="2"/>
    <x v="5"/>
    <x v="30"/>
    <s v="Consumer"/>
    <s v="Direct"/>
    <x v="12"/>
    <s v="Monitors"/>
    <n v="5.4554180785977804E-2"/>
    <s v="MON-2849"/>
    <n v="165.3"/>
    <n v="275.07"/>
    <s v="Profit"/>
    <n v="0.13300000000000001"/>
    <n v="25"/>
    <x v="599"/>
    <n v="4132.5"/>
    <x v="599"/>
    <n v="0.30687665159280625"/>
  </r>
  <r>
    <s v="ORD-2024-907733"/>
    <x v="307"/>
    <d v="2024-03-22T00:00:00"/>
    <d v="2024-03-22T00:00:00"/>
    <n v="13"/>
    <s v="Q1-2024"/>
    <x v="3"/>
    <x v="8"/>
    <x v="31"/>
    <s v="Consumer"/>
    <s v="Online"/>
    <x v="6"/>
    <s v="Laptops"/>
    <n v="0.31053730320999368"/>
    <s v="LAP-8633"/>
    <n v="985.45"/>
    <n v="1802.44"/>
    <s v="Profit"/>
    <n v="8.9999999999999993E-3"/>
    <n v="19"/>
    <x v="600"/>
    <n v="18723.55"/>
    <x v="600"/>
    <n v="0.44830363486867486"/>
  </r>
  <r>
    <s v="ORD-2024-550400"/>
    <x v="396"/>
    <d v="2024-09-02T00:00:00"/>
    <d v="2024-09-02T00:00:00"/>
    <n v="14"/>
    <s v="Q3-2024"/>
    <x v="2"/>
    <x v="3"/>
    <x v="5"/>
    <s v="Consumer"/>
    <s v="Distributor"/>
    <x v="0"/>
    <s v="Printers"/>
    <n v="6.831742888206048E-2"/>
    <s v="PRN-9793"/>
    <n v="1337.01"/>
    <n v="1269.78"/>
    <s v="Loss"/>
    <n v="0.16"/>
    <n v="7"/>
    <x v="601"/>
    <n v="9359.07"/>
    <x v="601"/>
    <n v="-0.25350735672996244"/>
  </r>
  <r>
    <s v="ORD-2025-189846"/>
    <x v="457"/>
    <d v="2025-08-28T00:00:00"/>
    <d v="2025-08-28T00:00:00"/>
    <n v="17"/>
    <s v="Q3-2025"/>
    <x v="3"/>
    <x v="7"/>
    <x v="28"/>
    <s v="Education"/>
    <s v="Online"/>
    <x v="9"/>
    <s v="Networking"/>
    <n v="9.7228035564244242E-3"/>
    <s v="NET-6218"/>
    <n v="416.16"/>
    <n v="571.9"/>
    <s v="Profit"/>
    <n v="7.0999999999999994E-2"/>
    <n v="2"/>
    <x v="602"/>
    <n v="832.32"/>
    <x v="602"/>
    <n v="0.21670649701079497"/>
  </r>
  <r>
    <s v="ORD-2025-752192"/>
    <x v="217"/>
    <d v="2025-05-18T00:00:00"/>
    <d v="2025-05-18T00:00:00"/>
    <n v="2"/>
    <s v="Q2-2025"/>
    <x v="1"/>
    <x v="2"/>
    <x v="27"/>
    <s v="Enterprise"/>
    <s v="Retail"/>
    <x v="1"/>
    <s v="Printers"/>
    <n v="0.36426836861550466"/>
    <s v="PRN-6131"/>
    <n v="1144.3800000000001"/>
    <n v="2755.04"/>
    <s v="Profit"/>
    <n v="0.15"/>
    <n v="17"/>
    <x v="603"/>
    <n v="19454.460000000003"/>
    <x v="603"/>
    <n v="0.51132128326096682"/>
  </r>
  <r>
    <s v="ORD-2023-294716"/>
    <x v="458"/>
    <d v="2023-04-25T00:00:00"/>
    <d v="2023-04-25T00:00:00"/>
    <n v="15"/>
    <s v="Q2-2023"/>
    <x v="3"/>
    <x v="8"/>
    <x v="21"/>
    <s v="Small Business"/>
    <s v="Retail"/>
    <x v="14"/>
    <s v="Printers"/>
    <n v="4.9936030222849218E-2"/>
    <s v="PRN-5067"/>
    <n v="405.66"/>
    <n v="962.51"/>
    <s v="Profit"/>
    <n v="0.19"/>
    <n v="7"/>
    <x v="604"/>
    <n v="2839.6200000000003"/>
    <x v="604"/>
    <n v="0.47967832561239376"/>
  </r>
  <r>
    <s v="ORD-2023-552115"/>
    <x v="459"/>
    <d v="2023-10-02T00:00:00"/>
    <d v="2023-10-02T00:00:00"/>
    <n v="15"/>
    <s v="Q3-2023"/>
    <x v="2"/>
    <x v="5"/>
    <x v="30"/>
    <s v="Small Business"/>
    <s v="Retail"/>
    <x v="5"/>
    <s v="Laptops"/>
    <n v="6.4706130212118296E-2"/>
    <s v="LAP-4932"/>
    <n v="689.33"/>
    <n v="668.27"/>
    <s v="Loss"/>
    <n v="0.186"/>
    <n v="13"/>
    <x v="605"/>
    <n v="8961.2900000000009"/>
    <x v="605"/>
    <n v="-0.26721647214861033"/>
  </r>
  <r>
    <s v="ORD-2023-107265"/>
    <x v="460"/>
    <d v="2023-05-14T00:00:00"/>
    <d v="2023-05-14T00:00:00"/>
    <n v="22"/>
    <s v="Q2-2023"/>
    <x v="1"/>
    <x v="2"/>
    <x v="32"/>
    <s v="Enterprise"/>
    <s v="Retail"/>
    <x v="8"/>
    <s v="Accessories"/>
    <n v="0.12678854171287179"/>
    <s v="ACC-7713"/>
    <n v="1209.22"/>
    <n v="1404.33"/>
    <s v="Profit"/>
    <n v="0.10299999999999999"/>
    <n v="11"/>
    <x v="606"/>
    <n v="13301.42"/>
    <x v="606"/>
    <n v="4.0060848275751328E-2"/>
  </r>
  <r>
    <s v="ORD-2025-262434"/>
    <x v="111"/>
    <d v="2025-06-21T00:00:00"/>
    <d v="2025-06-21T00:00:00"/>
    <n v="2"/>
    <s v="Q2-2025"/>
    <x v="0"/>
    <x v="11"/>
    <x v="20"/>
    <s v="Small Business"/>
    <s v="not provided"/>
    <x v="10"/>
    <s v="Phones"/>
    <n v="0.26695441391356206"/>
    <s v="PHN-7379"/>
    <n v="1466.27"/>
    <n v="3589.89"/>
    <s v="Profit"/>
    <n v="9.7000000000000003E-2"/>
    <n v="9"/>
    <x v="607"/>
    <n v="13196.43"/>
    <x v="607"/>
    <n v="0.54768076425234147"/>
  </r>
  <r>
    <s v="ORD-2024-266562"/>
    <x v="461"/>
    <d v="2024-12-24T00:00:00"/>
    <d v="2024-12-24T00:00:00"/>
    <n v="27"/>
    <s v="Q4-2024"/>
    <x v="0"/>
    <x v="0"/>
    <x v="13"/>
    <s v="Corporate"/>
    <s v="Distributor"/>
    <x v="5"/>
    <s v="Printers"/>
    <n v="2.5037137964797809E-2"/>
    <s v="PRN-5569"/>
    <n v="143.33000000000001"/>
    <n v="233.51"/>
    <s v="Profit"/>
    <n v="0.16300000000000001"/>
    <n v="14"/>
    <x v="608"/>
    <n v="2006.6200000000001"/>
    <x v="608"/>
    <n v="0.26665867476580835"/>
  </r>
  <r>
    <s v="ORD-2024-838925"/>
    <x v="10"/>
    <d v="2024-01-27T00:00:00"/>
    <d v="2024-02-04T00:00:00"/>
    <n v="7"/>
    <s v="Q1-2024"/>
    <x v="0"/>
    <x v="11"/>
    <x v="33"/>
    <s v="Enterprise"/>
    <s v="Direct"/>
    <x v="7"/>
    <s v="Components"/>
    <n v="1.9008960817001212E-2"/>
    <s v="CMP-1470"/>
    <n v="109.75"/>
    <n v="124.25"/>
    <s v="Profit"/>
    <n v="0.12"/>
    <n v="19"/>
    <x v="609"/>
    <n v="2085.25"/>
    <x v="609"/>
    <n v="-3.7497713554051405E-3"/>
  </r>
  <r>
    <s v="ORD-2023-664790"/>
    <x v="387"/>
    <d v="2023-04-23T00:00:00"/>
    <d v="2023-04-23T00:00:00"/>
    <n v="7"/>
    <s v="Q2-2023"/>
    <x v="2"/>
    <x v="10"/>
    <x v="36"/>
    <s v="Corporate"/>
    <s v="Distributor"/>
    <x v="7"/>
    <s v="Printers"/>
    <n v="9.3880547188160149E-2"/>
    <s v="PRN-9249"/>
    <n v="1099.1500000000001"/>
    <n v="1431.37"/>
    <s v="Profit"/>
    <n v="0.104"/>
    <n v="8"/>
    <x v="610"/>
    <n v="8793.2000000000007"/>
    <x v="610"/>
    <n v="0.14296798821109433"/>
  </r>
  <r>
    <s v="ORD-2024-331408"/>
    <x v="145"/>
    <d v="2024-02-01T00:00:00"/>
    <d v="2024-02-01T00:00:00"/>
    <n v="0"/>
    <s v="Q1-2024"/>
    <x v="2"/>
    <x v="10"/>
    <x v="36"/>
    <s v="Consumer"/>
    <s v="Distributor"/>
    <x v="10"/>
    <s v="Printers"/>
    <n v="0.16473695527441115"/>
    <s v="PRN-4906"/>
    <n v="714.43"/>
    <n v="1595.52"/>
    <s v="Profit"/>
    <n v="0.19400000000000001"/>
    <n v="14"/>
    <x v="611"/>
    <n v="10002.019999999999"/>
    <x v="611"/>
    <n v="0.44445097638151093"/>
  </r>
  <r>
    <s v="ORD-2024-741404"/>
    <x v="462"/>
    <d v="2024-11-06T00:00:00"/>
    <d v="2024-11-06T00:00:00"/>
    <n v="18"/>
    <s v="Q4-2024"/>
    <x v="2"/>
    <x v="10"/>
    <x v="15"/>
    <s v="Education"/>
    <s v="not provided"/>
    <x v="0"/>
    <s v="Monitors"/>
    <n v="8.4694580197297462E-2"/>
    <s v="MON-8129"/>
    <n v="942.02"/>
    <n v="1028.46"/>
    <s v="Profit"/>
    <n v="0"/>
    <n v="9"/>
    <x v="612"/>
    <n v="8478.18"/>
    <x v="612"/>
    <n v="8.4047994088248354E-2"/>
  </r>
  <r>
    <s v="ORD-2024-341535"/>
    <x v="463"/>
    <d v="2024-06-30T00:00:00"/>
    <d v="2024-06-30T00:00:00"/>
    <n v="5"/>
    <s v="Q2-2024"/>
    <x v="0"/>
    <x v="0"/>
    <x v="0"/>
    <s v="Education"/>
    <s v="Direct"/>
    <x v="12"/>
    <s v="Networking"/>
    <n v="0.75160123887544505"/>
    <s v="NET-5987"/>
    <n v="1323.55"/>
    <n v="3230.35"/>
    <s v="Profit"/>
    <n v="2.1999999999999999E-2"/>
    <n v="26"/>
    <x v="613"/>
    <n v="34412.299999999996"/>
    <x v="613"/>
    <n v="0.58105991351263542"/>
  </r>
  <r>
    <s v="ORD-2023-451931"/>
    <x v="203"/>
    <d v="2023-08-19T00:00:00"/>
    <d v="2023-08-19T00:00:00"/>
    <n v="20"/>
    <s v="Q3-2023"/>
    <x v="3"/>
    <x v="7"/>
    <x v="28"/>
    <s v="Enterprise"/>
    <s v="Marketplace"/>
    <x v="3"/>
    <s v="Networking"/>
    <n v="0.16928314297701436"/>
    <s v="NET-5423"/>
    <n v="1418.51"/>
    <n v="2789.61"/>
    <s v="Profit"/>
    <n v="0.17100000000000001"/>
    <n v="8"/>
    <x v="614"/>
    <n v="11348.08"/>
    <x v="614"/>
    <n v="0.38661326464695689"/>
  </r>
  <r>
    <s v="ORD-2025-532859"/>
    <x v="418"/>
    <d v="2025-03-27T00:00:00"/>
    <d v="2025-03-27T00:00:00"/>
    <n v="16"/>
    <s v="Q1-2025"/>
    <x v="1"/>
    <x v="2"/>
    <x v="27"/>
    <s v="Enterprise"/>
    <s v="Distributor"/>
    <x v="5"/>
    <s v="Printers"/>
    <n v="9.574788254354806E-2"/>
    <s v="PRN-5264"/>
    <n v="1317.58"/>
    <n v="1897.74"/>
    <s v="Profit"/>
    <n v="8.1000000000000003E-2"/>
    <n v="6"/>
    <x v="615"/>
    <n v="7905.48"/>
    <x v="615"/>
    <n v="0.24451687009230266"/>
  </r>
  <r>
    <s v="ORD-2023-502205"/>
    <x v="327"/>
    <d v="2023-10-11T00:00:00"/>
    <d v="2023-10-11T00:00:00"/>
    <n v="2"/>
    <s v="Q4-2023"/>
    <x v="0"/>
    <x v="1"/>
    <x v="1"/>
    <s v="Education"/>
    <s v="Marketplace"/>
    <x v="11"/>
    <s v="Networking"/>
    <n v="9.8695889024356706E-2"/>
    <s v="NET-8856"/>
    <n v="391.16"/>
    <n v="902.47"/>
    <s v="Profit"/>
    <n v="4.0000000000000001E-3"/>
    <n v="12"/>
    <x v="616"/>
    <n v="4693.92"/>
    <x v="616"/>
    <n v="0.56482661618139207"/>
  </r>
  <r>
    <s v="ORD-2024-930679"/>
    <x v="55"/>
    <d v="2025-01-16T00:00:00"/>
    <d v="2025-01-16T00:00:00"/>
    <n v="30"/>
    <s v="Q4-2024"/>
    <x v="3"/>
    <x v="8"/>
    <x v="31"/>
    <s v="Corporate"/>
    <s v="Retail"/>
    <x v="14"/>
    <s v="Monitors"/>
    <n v="7.7441576352589008E-3"/>
    <s v="MON-4215"/>
    <n v="722.87"/>
    <n v="33.659999999999997"/>
    <s v="Loss"/>
    <n v="0.10199999999999999"/>
    <n v="28"/>
    <x v="617"/>
    <n v="20240.36"/>
    <x v="617"/>
    <n v="-22.914965189693348"/>
  </r>
  <r>
    <s v="ORD-2025-150713"/>
    <x v="445"/>
    <d v="2025-07-16T00:00:00"/>
    <d v="2025-07-16T00:00:00"/>
    <n v="5"/>
    <s v="Q3-2025"/>
    <x v="3"/>
    <x v="8"/>
    <x v="21"/>
    <s v="Enterprise"/>
    <s v="Online"/>
    <x v="11"/>
    <s v="Printers"/>
    <n v="0.23034480980908273"/>
    <s v="PRN-5753"/>
    <n v="930.03"/>
    <n v="1086.68"/>
    <s v="Profit"/>
    <n v="0.109"/>
    <n v="26"/>
    <x v="618"/>
    <n v="24180.78"/>
    <x v="618"/>
    <n v="3.9455300728168656E-2"/>
  </r>
  <r>
    <s v="ORD-2024-756884"/>
    <x v="464"/>
    <d v="2024-10-24T00:00:00"/>
    <d v="2024-10-24T00:00:00"/>
    <n v="11"/>
    <s v="Q4-2024"/>
    <x v="3"/>
    <x v="7"/>
    <x v="28"/>
    <s v="Education"/>
    <s v="Distributor"/>
    <x v="9"/>
    <s v="Components"/>
    <n v="0.37899267063003933"/>
    <s v="CMP-5006"/>
    <n v="816.7"/>
    <n v="1010.75"/>
    <s v="Profit"/>
    <n v="4.7E-2"/>
    <n v="43"/>
    <x v="619"/>
    <n v="35118.1"/>
    <x v="619"/>
    <n v="0.15213656757537472"/>
  </r>
  <r>
    <s v="ORD-2023-755337"/>
    <x v="429"/>
    <d v="2023-09-14T00:00:00"/>
    <d v="2023-09-14T00:00:00"/>
    <n v="6"/>
    <s v="Q3-2023"/>
    <x v="0"/>
    <x v="0"/>
    <x v="16"/>
    <s v="Education"/>
    <s v="Direct"/>
    <x v="2"/>
    <s v="Accessories"/>
    <n v="9.4315303439941305E-3"/>
    <s v="ACC-4766"/>
    <n v="251.03"/>
    <n v="411.48"/>
    <s v="Profit"/>
    <n v="0.16500000000000001"/>
    <n v="3"/>
    <x v="620"/>
    <n v="753.09"/>
    <x v="620"/>
    <n v="0.26938191275658069"/>
  </r>
  <r>
    <s v="ORD-2025-907040"/>
    <x v="448"/>
    <d v="2025-05-03T00:00:00"/>
    <d v="2025-05-03T00:00:00"/>
    <n v="16"/>
    <s v="Q2-2025"/>
    <x v="2"/>
    <x v="5"/>
    <x v="30"/>
    <s v="Consumer"/>
    <s v="Marketplace"/>
    <x v="1"/>
    <s v="Networking"/>
    <n v="2.1550412377440577E-2"/>
    <s v="NET-8610"/>
    <n v="168.68"/>
    <n v="413.34"/>
    <s v="Profit"/>
    <n v="0.186"/>
    <n v="7"/>
    <x v="621"/>
    <n v="1180.76"/>
    <x v="621"/>
    <n v="0.49866069767361682"/>
  </r>
  <r>
    <s v="ORD-2024-817997"/>
    <x v="465"/>
    <d v="2024-08-23T00:00:00"/>
    <d v="2024-08-23T00:00:00"/>
    <n v="26"/>
    <s v="Q3-2024"/>
    <x v="1"/>
    <x v="4"/>
    <x v="34"/>
    <s v="Corporate"/>
    <s v="Retail"/>
    <x v="1"/>
    <s v="Networking"/>
    <n v="0.27660738987613109"/>
    <s v="NET-4675"/>
    <n v="1339.24"/>
    <n v="1558.89"/>
    <s v="Profit"/>
    <n v="0.192"/>
    <n v="24"/>
    <x v="622"/>
    <n v="32141.760000000002"/>
    <x v="622"/>
    <n v="-6.3240669659021781E-2"/>
  </r>
  <r>
    <s v="ORD-2025-649633"/>
    <x v="466"/>
    <d v="2025-07-31T00:00:00"/>
    <d v="2025-07-31T00:00:00"/>
    <n v="12"/>
    <s v="Q3-2025"/>
    <x v="0"/>
    <x v="0"/>
    <x v="2"/>
    <s v="Small Business"/>
    <s v="Marketplace"/>
    <x v="7"/>
    <s v="Accessories"/>
    <n v="9.7850085520511443E-2"/>
    <s v="ACC-1028"/>
    <n v="619.64"/>
    <n v="861.16"/>
    <s v="Profit"/>
    <n v="0.113"/>
    <n v="14"/>
    <x v="623"/>
    <n v="8674.9599999999991"/>
    <x v="623"/>
    <n v="0.18879246435276761"/>
  </r>
  <r>
    <s v="ORD-2023-885216"/>
    <x v="242"/>
    <d v="2023-08-02T00:00:00"/>
    <d v="2023-08-10T00:00:00"/>
    <n v="7"/>
    <s v="Q3-2023"/>
    <x v="1"/>
    <x v="9"/>
    <x v="23"/>
    <s v="Non-Profit"/>
    <s v="Direct"/>
    <x v="1"/>
    <s v="Networking"/>
    <n v="0.45833200320849288"/>
    <s v="NET-4735"/>
    <n v="1021.97"/>
    <n v="2296.25"/>
    <s v="Profit"/>
    <n v="0.161"/>
    <n v="26"/>
    <x v="624"/>
    <n v="26571.22"/>
    <x v="624"/>
    <n v="0.46953465482081669"/>
  </r>
  <r>
    <s v="ORD-2023-561823"/>
    <x v="112"/>
    <d v="2023-12-12T00:00:00"/>
    <d v="2023-12-12T00:00:00"/>
    <n v="23"/>
    <s v="Q4-2023"/>
    <x v="1"/>
    <x v="4"/>
    <x v="18"/>
    <s v="Small Business"/>
    <s v="Direct"/>
    <x v="0"/>
    <s v="Networking"/>
    <n v="0.29924831266145552"/>
    <s v="NET-2460"/>
    <n v="1349.04"/>
    <n v="2636.6"/>
    <s v="Profit"/>
    <n v="0.114"/>
    <n v="14"/>
    <x v="625"/>
    <n v="18886.559999999998"/>
    <x v="625"/>
    <n v="0.42250682312143928"/>
  </r>
  <r>
    <s v="ORD-2023-249805"/>
    <x v="81"/>
    <d v="2024-01-16T00:00:00"/>
    <d v="2024-01-16T00:00:00"/>
    <n v="25"/>
    <s v="Q4-2023"/>
    <x v="1"/>
    <x v="4"/>
    <x v="34"/>
    <s v="Small Business"/>
    <s v="Retail"/>
    <x v="8"/>
    <s v="Components"/>
    <n v="0.12795269594562769"/>
    <s v="CMP-1555"/>
    <n v="1346.81"/>
    <n v="978.09"/>
    <s v="Loss"/>
    <n v="0.159"/>
    <n v="17"/>
    <x v="626"/>
    <n v="22895.77"/>
    <x v="626"/>
    <n v="-0.6373122753293996"/>
  </r>
  <r>
    <s v="ORD-2023-548934"/>
    <x v="242"/>
    <d v="2023-08-30T00:00:00"/>
    <d v="2023-08-30T00:00:00"/>
    <n v="27"/>
    <s v="Q3-2023"/>
    <x v="1"/>
    <x v="9"/>
    <x v="23"/>
    <s v="Consumer"/>
    <s v="Distributor"/>
    <x v="13"/>
    <s v="Monitors"/>
    <n v="4.6633278684733472E-2"/>
    <s v="MON-3773"/>
    <n v="226.04"/>
    <n v="545.72"/>
    <s v="Profit"/>
    <n v="0.151"/>
    <n v="11"/>
    <x v="627"/>
    <n v="2486.44"/>
    <x v="627"/>
    <n v="0.51212592831834014"/>
  </r>
  <r>
    <s v="ORD-2023-921939"/>
    <x v="44"/>
    <d v="2023-07-18T00:00:00"/>
    <d v="2023-07-18T00:00:00"/>
    <n v="25"/>
    <s v="Q2-2023"/>
    <x v="2"/>
    <x v="3"/>
    <x v="26"/>
    <s v="Enterprise"/>
    <s v="Online"/>
    <x v="13"/>
    <s v="Phones"/>
    <n v="0.30211260051142846"/>
    <s v="PHN-4677"/>
    <n v="807.02"/>
    <n v="1435.54"/>
    <s v="Profit"/>
    <n v="0"/>
    <n v="23"/>
    <x v="628"/>
    <n v="18561.46"/>
    <x v="628"/>
    <n v="0.43782827368098415"/>
  </r>
  <r>
    <s v="ORD-2023-961864"/>
    <x v="141"/>
    <d v="2024-01-02T00:00:00"/>
    <d v="2024-01-02T00:00:00"/>
    <n v="26"/>
    <s v="Q4-2023"/>
    <x v="3"/>
    <x v="6"/>
    <x v="37"/>
    <s v="Enterprise"/>
    <s v="Distributor"/>
    <x v="6"/>
    <s v="Components"/>
    <n v="0.3703594528641822"/>
    <s v="CMP-1940"/>
    <n v="1071.99"/>
    <n v="2397.3000000000002"/>
    <s v="Profit"/>
    <n v="6.2E-2"/>
    <n v="18"/>
    <x v="629"/>
    <n v="19295.82"/>
    <x v="629"/>
    <n v="0.52327765324476183"/>
  </r>
  <r>
    <s v="ORD-2023-455933"/>
    <x v="112"/>
    <d v="2023-12-19T00:00:00"/>
    <d v="2023-12-19T00:00:00"/>
    <n v="30"/>
    <s v="Q4-2023"/>
    <x v="1"/>
    <x v="2"/>
    <x v="32"/>
    <s v="Consumer"/>
    <s v="Retail"/>
    <x v="15"/>
    <s v="Phones"/>
    <n v="0.11684113776737845"/>
    <s v="PHN-9184"/>
    <n v="807.11"/>
    <n v="1853.86"/>
    <s v="Profit"/>
    <n v="0.13900000000000001"/>
    <n v="8"/>
    <x v="630"/>
    <n v="6456.88"/>
    <x v="630"/>
    <n v="0.49434693645388639"/>
  </r>
  <r>
    <s v="ORD-2025-728935"/>
    <x v="467"/>
    <d v="2025-03-10T00:00:00"/>
    <d v="2025-03-10T00:00:00"/>
    <n v="10"/>
    <s v="Q1-2025"/>
    <x v="1"/>
    <x v="2"/>
    <x v="4"/>
    <s v="Education"/>
    <s v="Distributor"/>
    <x v="13"/>
    <s v="Laptops"/>
    <n v="2.4355565711585915E-3"/>
    <s v="LAP-3017"/>
    <n v="51.86"/>
    <n v="45.98"/>
    <s v="Loss"/>
    <n v="0.17299999999999999"/>
    <n v="7"/>
    <x v="631"/>
    <n v="363.02"/>
    <x v="631"/>
    <n v="-0.3638230806412337"/>
  </r>
  <r>
    <m/>
    <x v="468"/>
    <m/>
    <m/>
    <m/>
    <m/>
    <x v="4"/>
    <x v="12"/>
    <x v="40"/>
    <m/>
    <m/>
    <x v="16"/>
    <m/>
    <m/>
    <m/>
    <m/>
    <m/>
    <m/>
    <m/>
    <m/>
    <x v="632"/>
    <m/>
    <x v="632"/>
    <m/>
  </r>
</pivotCacheRecords>
</file>

<file path=xl/pivotCache/pivotCacheRecords3.xml><?xml version="1.0" encoding="utf-8"?>
<pivotCacheRecords xmlns="http://schemas.openxmlformats.org/spreadsheetml/2006/main" xmlns:r="http://schemas.openxmlformats.org/officeDocument/2006/relationships" count="632">
  <r>
    <x v="0"/>
    <x v="0"/>
    <d v="2024-04-06T00:00:00"/>
    <x v="0"/>
    <x v="0"/>
    <x v="0"/>
    <s v="Kisumu"/>
    <s v="Corporate"/>
    <x v="0"/>
    <x v="0"/>
    <x v="0"/>
    <x v="0"/>
    <n v="279.24"/>
    <n v="608.9"/>
    <n v="0.112"/>
    <x v="0"/>
    <n v="9"/>
    <x v="0"/>
    <n v="608.9"/>
    <x v="0"/>
    <n v="2513.16"/>
    <x v="0"/>
    <n v="0.48356140670149533"/>
    <s v="C"/>
  </r>
  <r>
    <x v="1"/>
    <x v="1"/>
    <d v="2024-10-22T00:00:00"/>
    <x v="1"/>
    <x v="0"/>
    <x v="1"/>
    <s v="Port Harcourt"/>
    <s v="Education"/>
    <x v="1"/>
    <x v="1"/>
    <x v="1"/>
    <x v="1"/>
    <n v="1084.3900000000001"/>
    <n v="759.33"/>
    <n v="0.23699999999999999"/>
    <x v="1"/>
    <n v="31"/>
    <x v="1"/>
    <n v="759.33"/>
    <x v="1"/>
    <n v="33616.090000000004"/>
    <x v="1"/>
    <n v="-0.87167486187856302"/>
    <s v="C"/>
  </r>
  <r>
    <x v="2"/>
    <x v="2"/>
    <d v="2023-03-25T00:00:00"/>
    <x v="2"/>
    <x v="0"/>
    <x v="0"/>
    <s v="Nairobi"/>
    <s v="Corporate"/>
    <x v="0"/>
    <x v="2"/>
    <x v="2"/>
    <x v="2"/>
    <n v="1460.76"/>
    <n v="-30.66"/>
    <n v="0.13100000000000001"/>
    <x v="2"/>
    <n v="12"/>
    <x v="2"/>
    <s v="1193.87"/>
    <x v="2"/>
    <n v="17529.12"/>
    <x v="2"/>
    <n v="-0.40799804694682035"/>
    <s v="C"/>
  </r>
  <r>
    <x v="3"/>
    <x v="3"/>
    <d v="2025-04-02T00:00:00"/>
    <x v="3"/>
    <x v="0"/>
    <x v="1"/>
    <s v="Lagos"/>
    <s v="Non-Profit"/>
    <x v="2"/>
    <x v="3"/>
    <x v="3"/>
    <x v="3"/>
    <n v="259.93"/>
    <n v="255.94"/>
    <n v="7.1999999999999995E-2"/>
    <x v="3"/>
    <n v="22"/>
    <x v="3"/>
    <n v="255.94"/>
    <x v="3"/>
    <n v="5718.46"/>
    <x v="3"/>
    <n v="-9.4385335463861311E-2"/>
    <s v="C"/>
  </r>
  <r>
    <x v="4"/>
    <x v="4"/>
    <d v="2023-12-31T00:00:00"/>
    <x v="4"/>
    <x v="1"/>
    <x v="2"/>
    <s v="Osaka"/>
    <s v="Consumer"/>
    <x v="0"/>
    <x v="4"/>
    <x v="1"/>
    <x v="4"/>
    <n v="663.03"/>
    <n v="813.51"/>
    <n v="0.10199999999999999"/>
    <x v="4"/>
    <n v="15"/>
    <x v="2"/>
    <n v="813.51"/>
    <x v="4"/>
    <n v="9945.4499999999989"/>
    <x v="4"/>
    <n v="9.2401129379715952E-2"/>
    <s v="C"/>
  </r>
  <r>
    <x v="5"/>
    <x v="5"/>
    <d v="2023-01-05T00:00:00"/>
    <x v="5"/>
    <x v="2"/>
    <x v="3"/>
    <s v="Toronto"/>
    <s v="Corporate"/>
    <x v="3"/>
    <x v="5"/>
    <x v="4"/>
    <x v="5"/>
    <n v="315.87"/>
    <n v="591.67999999999995"/>
    <n v="0"/>
    <x v="5"/>
    <n v="7"/>
    <x v="4"/>
    <n v="591.67999999999995"/>
    <x v="5"/>
    <n v="2211.09"/>
    <x v="5"/>
    <n v="0.46614724175229844"/>
    <s v="C"/>
  </r>
  <r>
    <x v="6"/>
    <x v="6"/>
    <d v="2025-01-14T00:00:00"/>
    <x v="6"/>
    <x v="1"/>
    <x v="4"/>
    <s v="Bengaluru"/>
    <s v="Small Business"/>
    <x v="2"/>
    <x v="6"/>
    <x v="5"/>
    <x v="6"/>
    <n v="586.07000000000005"/>
    <n v="845.97"/>
    <n v="0.14699999999999999"/>
    <x v="6"/>
    <n v="4"/>
    <x v="5"/>
    <n v="845.97"/>
    <x v="6"/>
    <n v="2344.2800000000002"/>
    <x v="6"/>
    <n v="0.18783270370862928"/>
    <s v="C"/>
  </r>
  <r>
    <x v="7"/>
    <x v="7"/>
    <d v="2023-01-13T00:00:00"/>
    <x v="7"/>
    <x v="0"/>
    <x v="1"/>
    <s v="Abuja"/>
    <s v="Education"/>
    <x v="1"/>
    <x v="7"/>
    <x v="1"/>
    <x v="7"/>
    <n v="28.38"/>
    <n v="47.22"/>
    <n v="0.19400000000000001"/>
    <x v="7"/>
    <n v="18"/>
    <x v="1"/>
    <n v="47.22"/>
    <x v="7"/>
    <n v="510.84"/>
    <x v="7"/>
    <n v="0.25432193743871417"/>
    <s v="C"/>
  </r>
  <r>
    <x v="8"/>
    <x v="8"/>
    <d v="2024-05-29T00:00:00"/>
    <x v="8"/>
    <x v="0"/>
    <x v="1"/>
    <s v="Abuja"/>
    <s v="Non-Profit"/>
    <x v="2"/>
    <x v="7"/>
    <x v="5"/>
    <x v="8"/>
    <n v="1295.3399999999999"/>
    <n v="2530.81"/>
    <n v="3.1E-2"/>
    <x v="8"/>
    <n v="6"/>
    <x v="2"/>
    <n v="2530.81"/>
    <x v="8"/>
    <n v="7772.0399999999991"/>
    <x v="8"/>
    <n v="0.4717974933880798"/>
    <s v="C"/>
  </r>
  <r>
    <x v="9"/>
    <x v="9"/>
    <d v="2025-06-09T00:00:00"/>
    <x v="9"/>
    <x v="2"/>
    <x v="5"/>
    <s v="São Paulo"/>
    <s v="Non-Profit"/>
    <x v="1"/>
    <x v="8"/>
    <x v="0"/>
    <x v="9"/>
    <n v="1331.38"/>
    <n v="2309.56"/>
    <n v="0.14899999999999999"/>
    <x v="9"/>
    <n v="31"/>
    <x v="6"/>
    <n v="2309.56"/>
    <x v="9"/>
    <n v="41272.780000000006"/>
    <x v="9"/>
    <n v="0.32260307735553528"/>
    <s v="C"/>
  </r>
  <r>
    <x v="10"/>
    <x v="10"/>
    <d v="2024-02-09T00:00:00"/>
    <x v="10"/>
    <x v="3"/>
    <x v="6"/>
    <s v="Berlin"/>
    <s v="Corporate"/>
    <x v="1"/>
    <x v="3"/>
    <x v="6"/>
    <x v="10"/>
    <n v="644.16999999999996"/>
    <n v="700.12"/>
    <n v="6.0000000000000001E-3"/>
    <x v="10"/>
    <n v="23"/>
    <x v="7"/>
    <n v="700.12"/>
    <x v="10"/>
    <n v="14815.91"/>
    <x v="10"/>
    <n v="7.436103796405813E-2"/>
    <s v="C"/>
  </r>
  <r>
    <x v="11"/>
    <x v="11"/>
    <d v="2025-01-23T00:00:00"/>
    <x v="11"/>
    <x v="1"/>
    <x v="2"/>
    <s v="Osaka"/>
    <s v="Corporate"/>
    <x v="3"/>
    <x v="9"/>
    <x v="3"/>
    <x v="11"/>
    <n v="908.6"/>
    <n v="691.37"/>
    <n v="0.25"/>
    <x v="11"/>
    <n v="20"/>
    <x v="8"/>
    <n v="691.37"/>
    <x v="11"/>
    <n v="18172"/>
    <x v="11"/>
    <n v="-0.75226964818645115"/>
    <s v="C"/>
  </r>
  <r>
    <x v="12"/>
    <x v="12"/>
    <d v="2025-03-31T00:00:00"/>
    <x v="12"/>
    <x v="2"/>
    <x v="5"/>
    <s v="Brasília"/>
    <s v="Non-Profit"/>
    <x v="1"/>
    <x v="1"/>
    <x v="0"/>
    <x v="12"/>
    <n v="331.57"/>
    <n v="548.4"/>
    <n v="9.4E-2"/>
    <x v="12"/>
    <n v="10"/>
    <x v="2"/>
    <n v="548.4"/>
    <x v="12"/>
    <n v="3315.7"/>
    <x v="12"/>
    <n v="0.33265626836568918"/>
    <s v="C"/>
  </r>
  <r>
    <x v="13"/>
    <x v="13"/>
    <d v="2024-02-13T00:00:00"/>
    <x v="13"/>
    <x v="3"/>
    <x v="7"/>
    <s v="Marseille"/>
    <s v="Corporate"/>
    <x v="0"/>
    <x v="10"/>
    <x v="1"/>
    <x v="13"/>
    <n v="643.53"/>
    <n v="1439.01"/>
    <n v="0"/>
    <x v="5"/>
    <n v="15"/>
    <x v="9"/>
    <n v="1439.01"/>
    <x v="13"/>
    <n v="9652.9499999999989"/>
    <x v="13"/>
    <n v="0.55279671440782208"/>
    <s v="C"/>
  </r>
  <r>
    <x v="14"/>
    <x v="14"/>
    <d v="2025-09-30T00:00:00"/>
    <x v="14"/>
    <x v="2"/>
    <x v="5"/>
    <s v="Brasília"/>
    <s v="Education"/>
    <x v="0"/>
    <x v="11"/>
    <x v="6"/>
    <x v="14"/>
    <n v="780.59"/>
    <n v="631.57000000000005"/>
    <n v="0"/>
    <x v="5"/>
    <n v="12"/>
    <x v="10"/>
    <n v="631.57000000000005"/>
    <x v="14"/>
    <n v="9367.08"/>
    <x v="14"/>
    <n v="-0.23595167598207639"/>
    <s v="C"/>
  </r>
  <r>
    <x v="15"/>
    <x v="15"/>
    <d v="2023-04-22T00:00:00"/>
    <x v="15"/>
    <x v="0"/>
    <x v="0"/>
    <s v="Nairobi"/>
    <s v="Small Business"/>
    <x v="4"/>
    <x v="6"/>
    <x v="4"/>
    <x v="15"/>
    <n v="756.51"/>
    <n v="850.8"/>
    <n v="7.3999999999999996E-2"/>
    <x v="13"/>
    <n v="9"/>
    <x v="1"/>
    <n v="850.8"/>
    <x v="15"/>
    <n v="6808.59"/>
    <x v="15"/>
    <n v="3.9767932810791252E-2"/>
    <s v="C"/>
  </r>
  <r>
    <x v="16"/>
    <x v="16"/>
    <d v="2025-01-08T00:00:00"/>
    <x v="16"/>
    <x v="3"/>
    <x v="7"/>
    <s v="Marseille"/>
    <s v="Small Business"/>
    <x v="0"/>
    <x v="11"/>
    <x v="1"/>
    <x v="16"/>
    <n v="891.08"/>
    <n v="1040.0999999999999"/>
    <n v="0.109"/>
    <x v="14"/>
    <n v="28"/>
    <x v="10"/>
    <n v="1040.0999999999999"/>
    <x v="16"/>
    <n v="24950.240000000002"/>
    <x v="16"/>
    <n v="3.8467660074556598E-2"/>
    <s v="C"/>
  </r>
  <r>
    <x v="17"/>
    <x v="17"/>
    <d v="2025-09-16T00:00:00"/>
    <x v="17"/>
    <x v="1"/>
    <x v="2"/>
    <s v="Osaka"/>
    <s v="Corporate"/>
    <x v="3"/>
    <x v="0"/>
    <x v="3"/>
    <x v="17"/>
    <n v="1225.57"/>
    <n v="2705.57"/>
    <n v="0.183"/>
    <x v="15"/>
    <n v="16"/>
    <x v="11"/>
    <n v="2705.57"/>
    <x v="17"/>
    <n v="19609.12"/>
    <x v="17"/>
    <n v="0.44555650775453404"/>
    <s v="C"/>
  </r>
  <r>
    <x v="18"/>
    <x v="18"/>
    <d v="2025-08-05T00:00:00"/>
    <x v="18"/>
    <x v="2"/>
    <x v="5"/>
    <s v="Brasília"/>
    <s v="Enterprise"/>
    <x v="2"/>
    <x v="3"/>
    <x v="6"/>
    <x v="18"/>
    <n v="1068.17"/>
    <n v="2375.37"/>
    <n v="0.109"/>
    <x v="14"/>
    <n v="18"/>
    <x v="12"/>
    <n v="2375.37"/>
    <x v="18"/>
    <n v="19227.060000000001"/>
    <x v="18"/>
    <n v="0.49530220744108822"/>
    <s v="C"/>
  </r>
  <r>
    <x v="19"/>
    <x v="9"/>
    <d v="2025-05-19T00:00:00"/>
    <x v="19"/>
    <x v="3"/>
    <x v="8"/>
    <s v="Birmingham"/>
    <s v="Enterprise"/>
    <x v="1"/>
    <x v="12"/>
    <x v="4"/>
    <x v="19"/>
    <n v="1015.16"/>
    <n v="2148.14"/>
    <n v="3.7999999999999999E-2"/>
    <x v="16"/>
    <n v="19"/>
    <x v="1"/>
    <n v="2148.14"/>
    <x v="19"/>
    <n v="19288.04"/>
    <x v="19"/>
    <n v="0.50875647059322227"/>
    <s v="C"/>
  </r>
  <r>
    <x v="20"/>
    <x v="19"/>
    <d v="2024-07-24T00:00:00"/>
    <x v="20"/>
    <x v="0"/>
    <x v="0"/>
    <s v="Mombasa"/>
    <s v="Non-Profit"/>
    <x v="4"/>
    <x v="1"/>
    <x v="4"/>
    <x v="20"/>
    <n v="1494.4"/>
    <n v="3661.07"/>
    <n v="7.1999999999999995E-2"/>
    <x v="3"/>
    <n v="7"/>
    <x v="1"/>
    <n v="3661.07"/>
    <x v="20"/>
    <n v="10460.800000000001"/>
    <x v="20"/>
    <n v="0.56014366630897339"/>
    <s v="C"/>
  </r>
  <r>
    <x v="21"/>
    <x v="20"/>
    <d v="2023-05-28T00:00:00"/>
    <x v="21"/>
    <x v="1"/>
    <x v="9"/>
    <s v="Shenzhen"/>
    <s v="Enterprise"/>
    <x v="2"/>
    <x v="6"/>
    <x v="2"/>
    <x v="21"/>
    <n v="1331.19"/>
    <n v="2903.09"/>
    <n v="0.14299999999999999"/>
    <x v="17"/>
    <n v="8"/>
    <x v="13"/>
    <n v="2903.09"/>
    <x v="21"/>
    <n v="10649.52"/>
    <x v="21"/>
    <n v="0.46494463290920784"/>
    <s v="C"/>
  </r>
  <r>
    <x v="22"/>
    <x v="21"/>
    <d v="2025-06-29T00:00:00"/>
    <x v="22"/>
    <x v="0"/>
    <x v="1"/>
    <s v="Port Harcourt"/>
    <s v="Consumer"/>
    <x v="2"/>
    <x v="12"/>
    <x v="6"/>
    <x v="22"/>
    <n v="730.99"/>
    <n v="1242.8399999999999"/>
    <n v="0.12"/>
    <x v="18"/>
    <n v="10"/>
    <x v="14"/>
    <n v="1242.8399999999999"/>
    <x v="22"/>
    <n v="7309.9"/>
    <x v="22"/>
    <n v="0.33163524303574515"/>
    <s v="C"/>
  </r>
  <r>
    <x v="23"/>
    <x v="22"/>
    <d v="2024-05-23T00:00:00"/>
    <x v="23"/>
    <x v="2"/>
    <x v="10"/>
    <s v="Chicago"/>
    <s v="Enterprise"/>
    <x v="0"/>
    <x v="10"/>
    <x v="4"/>
    <x v="23"/>
    <n v="1274.5899999999999"/>
    <n v="2553.69"/>
    <n v="0.01"/>
    <x v="19"/>
    <n v="8"/>
    <x v="15"/>
    <n v="2553.69"/>
    <x v="23"/>
    <n v="10196.719999999999"/>
    <x v="23"/>
    <n v="0.49584145042481803"/>
    <s v="C"/>
  </r>
  <r>
    <x v="24"/>
    <x v="23"/>
    <d v="2023-02-12T00:00:00"/>
    <x v="24"/>
    <x v="2"/>
    <x v="5"/>
    <s v="São Paulo"/>
    <s v="Education"/>
    <x v="1"/>
    <x v="13"/>
    <x v="0"/>
    <x v="24"/>
    <n v="948.55"/>
    <n v="2089.16"/>
    <n v="7.0000000000000001E-3"/>
    <x v="20"/>
    <n v="12"/>
    <x v="15"/>
    <n v="2089.16"/>
    <x v="24"/>
    <n v="11382.599999999999"/>
    <x v="24"/>
    <n v="0.54276519912492427"/>
    <s v="C"/>
  </r>
  <r>
    <x v="25"/>
    <x v="24"/>
    <d v="2024-07-14T00:00:00"/>
    <x v="25"/>
    <x v="2"/>
    <x v="5"/>
    <s v="Brasília"/>
    <s v="Education"/>
    <x v="0"/>
    <x v="0"/>
    <x v="6"/>
    <x v="25"/>
    <n v="1491.85"/>
    <n v="2583.02"/>
    <n v="0.16800000000000001"/>
    <x v="21"/>
    <n v="4"/>
    <x v="16"/>
    <n v="2583.02"/>
    <x v="25"/>
    <n v="5967.4"/>
    <x v="25"/>
    <n v="0.30581685689321325"/>
    <s v="C"/>
  </r>
  <r>
    <x v="26"/>
    <x v="25"/>
    <d v="2024-12-30T00:00:00"/>
    <x v="26"/>
    <x v="3"/>
    <x v="7"/>
    <s v="Marseille"/>
    <s v="Consumer"/>
    <x v="2"/>
    <x v="9"/>
    <x v="1"/>
    <x v="26"/>
    <n v="117.64"/>
    <n v="175.67"/>
    <n v="0"/>
    <x v="5"/>
    <n v="10"/>
    <x v="17"/>
    <n v="175.67"/>
    <x v="26"/>
    <n v="1176.4000000000001"/>
    <x v="26"/>
    <n v="0.33033528775545046"/>
    <s v="C"/>
  </r>
  <r>
    <x v="27"/>
    <x v="26"/>
    <d v="2024-07-19T00:00:00"/>
    <x v="27"/>
    <x v="0"/>
    <x v="0"/>
    <s v="Kisumu"/>
    <s v="Small Business"/>
    <x v="0"/>
    <x v="8"/>
    <x v="3"/>
    <x v="27"/>
    <n v="857.24"/>
    <n v="758.23"/>
    <n v="0.125"/>
    <x v="22"/>
    <n v="6"/>
    <x v="18"/>
    <n v="758.23"/>
    <x v="27"/>
    <n v="5143.4400000000005"/>
    <x v="27"/>
    <n v="-0.29209192084572921"/>
    <s v="C"/>
  </r>
  <r>
    <x v="28"/>
    <x v="27"/>
    <d v="2023-05-14T00:00:00"/>
    <x v="28"/>
    <x v="0"/>
    <x v="0"/>
    <s v="Nakuru"/>
    <s v="Consumer"/>
    <x v="2"/>
    <x v="12"/>
    <x v="3"/>
    <x v="28"/>
    <n v="209.25"/>
    <n v="434.8"/>
    <n v="0"/>
    <x v="5"/>
    <n v="9"/>
    <x v="17"/>
    <n v="434.8"/>
    <x v="28"/>
    <n v="1883.25"/>
    <x v="28"/>
    <n v="0.51874425022999082"/>
    <s v="C"/>
  </r>
  <r>
    <x v="29"/>
    <x v="28"/>
    <d v="2025-04-11T00:00:00"/>
    <x v="29"/>
    <x v="3"/>
    <x v="7"/>
    <s v="Lyon"/>
    <s v="Education"/>
    <x v="0"/>
    <x v="6"/>
    <x v="2"/>
    <x v="29"/>
    <n v="754.77"/>
    <n v="1666.18"/>
    <n v="0.13900000000000001"/>
    <x v="23"/>
    <n v="14"/>
    <x v="3"/>
    <n v="1666.18"/>
    <x v="29"/>
    <n v="10566.779999999999"/>
    <x v="29"/>
    <n v="0.47387424584424653"/>
    <s v="C"/>
  </r>
  <r>
    <x v="30"/>
    <x v="6"/>
    <d v="2025-01-15T00:00:00"/>
    <x v="30"/>
    <x v="1"/>
    <x v="4"/>
    <s v="Delhi"/>
    <s v="Non-Profit"/>
    <x v="3"/>
    <x v="3"/>
    <x v="0"/>
    <x v="30"/>
    <n v="495.59"/>
    <n v="631.78"/>
    <n v="8.6999999999999994E-2"/>
    <x v="24"/>
    <n v="17"/>
    <x v="6"/>
    <n v="631.78"/>
    <x v="30"/>
    <n v="8425.0299999999988"/>
    <x v="30"/>
    <n v="0.14081658813601899"/>
    <s v="C"/>
  </r>
  <r>
    <x v="31"/>
    <x v="29"/>
    <d v="2023-03-25T00:00:00"/>
    <x v="2"/>
    <x v="2"/>
    <x v="3"/>
    <s v="Montreal"/>
    <s v="Enterprise"/>
    <x v="1"/>
    <x v="14"/>
    <x v="3"/>
    <x v="31"/>
    <n v="1242.6600000000001"/>
    <n v="1794.07"/>
    <n v="8.8999999999999996E-2"/>
    <x v="25"/>
    <n v="16"/>
    <x v="17"/>
    <n v="1794.07"/>
    <x v="31"/>
    <n v="19882.560000000001"/>
    <x v="31"/>
    <n v="0.23968325042440553"/>
    <s v="C"/>
  </r>
  <r>
    <x v="32"/>
    <x v="30"/>
    <d v="2025-08-06T00:00:00"/>
    <x v="31"/>
    <x v="0"/>
    <x v="11"/>
    <s v="Johannesburg"/>
    <s v="Education"/>
    <x v="2"/>
    <x v="14"/>
    <x v="2"/>
    <x v="32"/>
    <n v="1463.9"/>
    <n v="2633.02"/>
    <n v="8.4000000000000005E-2"/>
    <x v="26"/>
    <n v="4"/>
    <x v="19"/>
    <n v="2633.02"/>
    <x v="32"/>
    <n v="5855.6"/>
    <x v="32"/>
    <n v="0.39303761277791527"/>
    <s v="C"/>
  </r>
  <r>
    <x v="33"/>
    <x v="31"/>
    <d v="2024-05-08T00:00:00"/>
    <x v="32"/>
    <x v="3"/>
    <x v="8"/>
    <s v="London"/>
    <s v="Non-Profit"/>
    <x v="5"/>
    <x v="14"/>
    <x v="4"/>
    <x v="33"/>
    <n v="645.33000000000004"/>
    <n v="1321.85"/>
    <n v="0"/>
    <x v="5"/>
    <n v="10"/>
    <x v="8"/>
    <n v="1321.85"/>
    <x v="33"/>
    <n v="6453.3"/>
    <x v="33"/>
    <n v="0.51179785906116426"/>
    <s v="C"/>
  </r>
  <r>
    <x v="34"/>
    <x v="32"/>
    <d v="2024-08-21T00:00:00"/>
    <x v="33"/>
    <x v="0"/>
    <x v="11"/>
    <s v="Johannesburg"/>
    <s v="Education"/>
    <x v="0"/>
    <x v="6"/>
    <x v="0"/>
    <x v="34"/>
    <n v="1432.52"/>
    <n v="3036.87"/>
    <n v="0"/>
    <x v="5"/>
    <n v="9"/>
    <x v="1"/>
    <n v="3036.87"/>
    <x v="34"/>
    <n v="12892.68"/>
    <x v="34"/>
    <n v="0.52829064135112791"/>
    <s v="C"/>
  </r>
  <r>
    <x v="35"/>
    <x v="33"/>
    <d v="2023-04-22T00:00:00"/>
    <x v="34"/>
    <x v="1"/>
    <x v="4"/>
    <s v="Delhi"/>
    <s v="Non-Profit"/>
    <x v="2"/>
    <x v="1"/>
    <x v="1"/>
    <x v="35"/>
    <n v="178.53"/>
    <n v="199.37"/>
    <n v="0.10100000000000001"/>
    <x v="27"/>
    <n v="37"/>
    <x v="0"/>
    <n v="199.37"/>
    <x v="35"/>
    <n v="6605.61"/>
    <x v="35"/>
    <n v="3.9257699573457538E-3"/>
    <s v="C"/>
  </r>
  <r>
    <x v="36"/>
    <x v="34"/>
    <d v="2024-03-25T00:00:00"/>
    <x v="35"/>
    <x v="3"/>
    <x v="6"/>
    <s v="Munich"/>
    <s v="Corporate"/>
    <x v="1"/>
    <x v="5"/>
    <x v="0"/>
    <x v="36"/>
    <n v="712.84"/>
    <n v="927.51"/>
    <n v="0.24299999999999999"/>
    <x v="28"/>
    <n v="27"/>
    <x v="5"/>
    <n v="927.51"/>
    <x v="36"/>
    <n v="19246.68"/>
    <x v="36"/>
    <n v="-1.5260714163076427E-2"/>
    <s v="C"/>
  </r>
  <r>
    <x v="37"/>
    <x v="35"/>
    <d v="2025-07-10T00:00:00"/>
    <x v="36"/>
    <x v="1"/>
    <x v="9"/>
    <s v="Shanghai"/>
    <s v="Enterprise"/>
    <x v="4"/>
    <x v="13"/>
    <x v="0"/>
    <x v="37"/>
    <n v="757.19"/>
    <n v="1735.41"/>
    <n v="0.13600000000000001"/>
    <x v="29"/>
    <n v="8"/>
    <x v="12"/>
    <n v="1735.41"/>
    <x v="37"/>
    <n v="6057.52"/>
    <x v="37"/>
    <n v="0.4950027285685718"/>
    <s v="C"/>
  </r>
  <r>
    <x v="38"/>
    <x v="36"/>
    <d v="2024-05-06T00:00:00"/>
    <x v="37"/>
    <x v="0"/>
    <x v="1"/>
    <s v="Port Harcourt"/>
    <s v="Non-Profit"/>
    <x v="1"/>
    <x v="8"/>
    <x v="1"/>
    <x v="38"/>
    <n v="865.33"/>
    <n v="1395.64"/>
    <n v="0.17499999999999999"/>
    <x v="30"/>
    <n v="13"/>
    <x v="13"/>
    <n v="1395.64"/>
    <x v="38"/>
    <n v="11249.29"/>
    <x v="38"/>
    <n v="0.24845601409758347"/>
    <s v="C"/>
  </r>
  <r>
    <x v="39"/>
    <x v="37"/>
    <d v="2023-06-24T00:00:00"/>
    <x v="38"/>
    <x v="2"/>
    <x v="10"/>
    <s v="San Francisco"/>
    <s v="Corporate"/>
    <x v="0"/>
    <x v="2"/>
    <x v="1"/>
    <x v="39"/>
    <n v="313.99"/>
    <n v="454.42"/>
    <n v="0.129"/>
    <x v="31"/>
    <n v="9"/>
    <x v="1"/>
    <n v="454.42"/>
    <x v="39"/>
    <n v="2825.91"/>
    <x v="39"/>
    <n v="0.20669493988147858"/>
    <s v="C"/>
  </r>
  <r>
    <x v="40"/>
    <x v="38"/>
    <d v="2024-09-19T00:00:00"/>
    <x v="39"/>
    <x v="3"/>
    <x v="6"/>
    <s v="Berlin"/>
    <s v="Small Business"/>
    <x v="4"/>
    <x v="14"/>
    <x v="5"/>
    <x v="40"/>
    <n v="1024.01"/>
    <n v="1580.97"/>
    <n v="3.6999999999999998E-2"/>
    <x v="32"/>
    <n v="27"/>
    <x v="20"/>
    <n v="1580.97"/>
    <x v="40"/>
    <n v="27648.27"/>
    <x v="40"/>
    <n v="0.3274039976942531"/>
    <s v="C"/>
  </r>
  <r>
    <x v="41"/>
    <x v="39"/>
    <d v="2024-02-02T00:00:00"/>
    <x v="40"/>
    <x v="0"/>
    <x v="11"/>
    <s v="Durban"/>
    <s v="Consumer"/>
    <x v="1"/>
    <x v="11"/>
    <x v="2"/>
    <x v="41"/>
    <n v="1206.2"/>
    <n v="1759.79"/>
    <n v="0"/>
    <x v="5"/>
    <n v="6"/>
    <x v="21"/>
    <n v="1759.79"/>
    <x v="41"/>
    <n v="7237.2000000000007"/>
    <x v="41"/>
    <n v="0.31457730751964713"/>
    <s v="C"/>
  </r>
  <r>
    <x v="42"/>
    <x v="40"/>
    <d v="2024-11-14T00:00:00"/>
    <x v="41"/>
    <x v="0"/>
    <x v="0"/>
    <s v="Mombasa"/>
    <s v="Corporate"/>
    <x v="4"/>
    <x v="10"/>
    <x v="1"/>
    <x v="42"/>
    <n v="1396.48"/>
    <n v="3204.5"/>
    <n v="0.318"/>
    <x v="33"/>
    <n v="14"/>
    <x v="8"/>
    <n v="3204.5"/>
    <x v="42"/>
    <n v="19550.72"/>
    <x v="42"/>
    <n v="0.3774468938769141"/>
    <s v="C"/>
  </r>
  <r>
    <x v="43"/>
    <x v="41"/>
    <d v="2025-06-20T00:00:00"/>
    <x v="42"/>
    <x v="3"/>
    <x v="6"/>
    <s v="Berlin"/>
    <s v="Corporate"/>
    <x v="4"/>
    <x v="8"/>
    <x v="1"/>
    <x v="43"/>
    <n v="483.47"/>
    <n v="1135.43"/>
    <n v="0.14599999999999999"/>
    <x v="34"/>
    <n v="11"/>
    <x v="21"/>
    <n v="1135.43"/>
    <x v="43"/>
    <n v="5318.17"/>
    <x v="43"/>
    <n v="0.50140112399719983"/>
    <s v="C"/>
  </r>
  <r>
    <x v="44"/>
    <x v="42"/>
    <d v="2024-06-02T00:00:00"/>
    <x v="43"/>
    <x v="2"/>
    <x v="3"/>
    <s v="Vancouver"/>
    <s v="Enterprise"/>
    <x v="2"/>
    <x v="11"/>
    <x v="0"/>
    <x v="44"/>
    <n v="675.43"/>
    <n v="996.36"/>
    <n v="0.182"/>
    <x v="35"/>
    <n v="22"/>
    <x v="19"/>
    <n v="996.36"/>
    <x v="44"/>
    <n v="14859.46"/>
    <x v="44"/>
    <n v="0.17127439233332575"/>
    <s v="C"/>
  </r>
  <r>
    <x v="45"/>
    <x v="43"/>
    <d v="2023-04-30T00:00:00"/>
    <x v="15"/>
    <x v="1"/>
    <x v="4"/>
    <s v="Delhi"/>
    <s v="Small Business"/>
    <x v="0"/>
    <x v="8"/>
    <x v="2"/>
    <x v="45"/>
    <n v="826.55"/>
    <n v="1397.05"/>
    <n v="0.16900000000000001"/>
    <x v="36"/>
    <n v="28"/>
    <x v="22"/>
    <n v="1397.05"/>
    <x v="45"/>
    <n v="23143.399999999998"/>
    <x v="45"/>
    <n v="0.28803907804527601"/>
    <s v="C"/>
  </r>
  <r>
    <x v="46"/>
    <x v="44"/>
    <d v="2023-07-03T00:00:00"/>
    <x v="44"/>
    <x v="0"/>
    <x v="1"/>
    <s v="Abuja"/>
    <s v="Consumer"/>
    <x v="1"/>
    <x v="1"/>
    <x v="1"/>
    <x v="46"/>
    <n v="337.75"/>
    <n v="548.89"/>
    <n v="0"/>
    <x v="5"/>
    <n v="13"/>
    <x v="23"/>
    <n v="548.89"/>
    <x v="46"/>
    <n v="4390.75"/>
    <x v="46"/>
    <n v="0.38466723751571352"/>
    <s v="C"/>
  </r>
  <r>
    <x v="47"/>
    <x v="45"/>
    <d v="2024-05-28T00:00:00"/>
    <x v="45"/>
    <x v="3"/>
    <x v="8"/>
    <s v="Birmingham"/>
    <s v="Consumer"/>
    <x v="0"/>
    <x v="5"/>
    <x v="2"/>
    <x v="47"/>
    <n v="1421.14"/>
    <n v="3524"/>
    <n v="0"/>
    <x v="5"/>
    <n v="31"/>
    <x v="16"/>
    <n v="3524"/>
    <x v="47"/>
    <n v="44055.340000000004"/>
    <x v="47"/>
    <n v="0.59672531214528945"/>
    <s v="C"/>
  </r>
  <r>
    <x v="48"/>
    <x v="46"/>
    <d v="2024-11-08T00:00:00"/>
    <x v="46"/>
    <x v="0"/>
    <x v="1"/>
    <s v="Lagos"/>
    <s v="Enterprise"/>
    <x v="1"/>
    <x v="7"/>
    <x v="2"/>
    <x v="48"/>
    <n v="859.35"/>
    <n v="1825.61"/>
    <n v="0.187"/>
    <x v="37"/>
    <n v="24"/>
    <x v="2"/>
    <n v="1825.61"/>
    <x v="48"/>
    <n v="20624.400000000001"/>
    <x v="48"/>
    <n v="0.42100937762681989"/>
    <s v="C"/>
  </r>
  <r>
    <x v="49"/>
    <x v="47"/>
    <d v="2023-08-01T00:00:00"/>
    <x v="47"/>
    <x v="3"/>
    <x v="7"/>
    <s v="Marseille"/>
    <s v="Consumer"/>
    <x v="2"/>
    <x v="5"/>
    <x v="1"/>
    <x v="49"/>
    <n v="1303.56"/>
    <n v="1791.37"/>
    <n v="0.126"/>
    <x v="38"/>
    <n v="22"/>
    <x v="21"/>
    <n v="1791.37"/>
    <x v="49"/>
    <n v="28678.32"/>
    <x v="49"/>
    <n v="0.16740404596055358"/>
    <s v="C"/>
  </r>
  <r>
    <x v="50"/>
    <x v="48"/>
    <d v="2024-11-22T00:00:00"/>
    <x v="48"/>
    <x v="2"/>
    <x v="3"/>
    <s v="Toronto"/>
    <s v="Non-Profit"/>
    <x v="3"/>
    <x v="14"/>
    <x v="6"/>
    <x v="50"/>
    <n v="1454.11"/>
    <n v="2629.75"/>
    <n v="0.29199999999999998"/>
    <x v="39"/>
    <n v="8"/>
    <x v="12"/>
    <n v="2629.75"/>
    <x v="50"/>
    <n v="11632.88"/>
    <x v="50"/>
    <n v="0.21900268709351867"/>
    <s v="C"/>
  </r>
  <r>
    <x v="51"/>
    <x v="49"/>
    <d v="2024-11-06T00:00:00"/>
    <x v="49"/>
    <x v="1"/>
    <x v="4"/>
    <s v="Bengaluru"/>
    <s v="Enterprise"/>
    <x v="3"/>
    <x v="7"/>
    <x v="5"/>
    <x v="51"/>
    <n v="72.94"/>
    <n v="106.3"/>
    <n v="0.29499999999999998"/>
    <x v="40"/>
    <n v="8"/>
    <x v="8"/>
    <n v="106.3"/>
    <x v="51"/>
    <n v="583.52"/>
    <x v="51"/>
    <n v="2.6707498515508857E-2"/>
    <s v="C"/>
  </r>
  <r>
    <x v="52"/>
    <x v="50"/>
    <d v="2023-04-05T00:00:00"/>
    <x v="50"/>
    <x v="0"/>
    <x v="0"/>
    <s v="Nakuru"/>
    <s v="Education"/>
    <x v="2"/>
    <x v="5"/>
    <x v="4"/>
    <x v="52"/>
    <n v="533.26"/>
    <n v="385.72"/>
    <n v="0"/>
    <x v="5"/>
    <n v="15"/>
    <x v="15"/>
    <n v="385.72"/>
    <x v="52"/>
    <n v="7998.9"/>
    <x v="52"/>
    <n v="-0.38250544436378708"/>
    <s v="C"/>
  </r>
  <r>
    <x v="53"/>
    <x v="51"/>
    <d v="2025-02-16T00:00:00"/>
    <x v="51"/>
    <x v="3"/>
    <x v="7"/>
    <s v="Lyon"/>
    <s v="Corporate"/>
    <x v="3"/>
    <x v="7"/>
    <x v="4"/>
    <x v="53"/>
    <n v="204.11"/>
    <n v="236.87"/>
    <n v="0.182"/>
    <x v="35"/>
    <n v="13"/>
    <x v="0"/>
    <n v="236.87"/>
    <x v="53"/>
    <n v="2653.4300000000003"/>
    <x v="53"/>
    <n v="-5.3418446337075494E-2"/>
    <s v="C"/>
  </r>
  <r>
    <x v="54"/>
    <x v="52"/>
    <d v="2023-09-01T00:00:00"/>
    <x v="52"/>
    <x v="3"/>
    <x v="6"/>
    <s v="Munich"/>
    <s v="Corporate"/>
    <x v="4"/>
    <x v="13"/>
    <x v="2"/>
    <x v="54"/>
    <n v="44.42"/>
    <n v="41.9"/>
    <n v="0.14399999999999999"/>
    <x v="41"/>
    <n v="6"/>
    <x v="24"/>
    <n v="41.9"/>
    <x v="54"/>
    <n v="266.52"/>
    <x v="54"/>
    <n v="-0.23848504449847224"/>
    <s v="C"/>
  </r>
  <r>
    <x v="55"/>
    <x v="53"/>
    <d v="2025-04-30T00:00:00"/>
    <x v="53"/>
    <x v="2"/>
    <x v="5"/>
    <s v="Brasília"/>
    <s v="Education"/>
    <x v="1"/>
    <x v="11"/>
    <x v="5"/>
    <x v="55"/>
    <n v="855.78"/>
    <n v="977.38"/>
    <n v="0.14699999999999999"/>
    <x v="6"/>
    <n v="38"/>
    <x v="9"/>
    <n v="977.38"/>
    <x v="55"/>
    <n v="32519.64"/>
    <x v="55"/>
    <n v="-2.6478018355506307E-2"/>
    <s v="C"/>
  </r>
  <r>
    <x v="56"/>
    <x v="54"/>
    <d v="2025-03-01T00:00:00"/>
    <x v="54"/>
    <x v="2"/>
    <x v="5"/>
    <s v="São Paulo"/>
    <s v="Corporate"/>
    <x v="3"/>
    <x v="5"/>
    <x v="4"/>
    <x v="56"/>
    <n v="1154.6400000000001"/>
    <n v="2794.13"/>
    <n v="3.5000000000000003E-2"/>
    <x v="42"/>
    <n v="11"/>
    <x v="8"/>
    <n v="2794.13"/>
    <x v="56"/>
    <n v="12701.04"/>
    <x v="56"/>
    <n v="0.57177435025749479"/>
    <s v="C"/>
  </r>
  <r>
    <x v="57"/>
    <x v="55"/>
    <d v="2024-12-18T00:00:00"/>
    <x v="55"/>
    <x v="3"/>
    <x v="6"/>
    <s v="Munich"/>
    <s v="Education"/>
    <x v="0"/>
    <x v="4"/>
    <x v="6"/>
    <x v="57"/>
    <n v="346.82"/>
    <n v="701.95"/>
    <n v="0.14699999999999999"/>
    <x v="6"/>
    <n v="8"/>
    <x v="25"/>
    <n v="701.95"/>
    <x v="57"/>
    <n v="2774.56"/>
    <x v="57"/>
    <n v="0.42077283120284509"/>
    <s v="C"/>
  </r>
  <r>
    <x v="58"/>
    <x v="56"/>
    <d v="2025-06-18T00:00:00"/>
    <x v="56"/>
    <x v="3"/>
    <x v="7"/>
    <s v="Marseille"/>
    <s v="Small Business"/>
    <x v="2"/>
    <x v="10"/>
    <x v="6"/>
    <x v="58"/>
    <n v="1225.5"/>
    <n v="-5.27"/>
    <n v="7.4999999999999997E-2"/>
    <x v="43"/>
    <n v="56"/>
    <x v="26"/>
    <s v="1193.87"/>
    <x v="58"/>
    <n v="68628"/>
    <x v="58"/>
    <n v="-0.10972288847601891"/>
    <s v="C"/>
  </r>
  <r>
    <x v="59"/>
    <x v="57"/>
    <d v="2025-05-13T00:00:00"/>
    <x v="57"/>
    <x v="0"/>
    <x v="0"/>
    <s v="Nakuru"/>
    <s v="Small Business"/>
    <x v="1"/>
    <x v="8"/>
    <x v="6"/>
    <x v="59"/>
    <n v="1057.5999999999999"/>
    <n v="1437.06"/>
    <n v="0.20499999999999999"/>
    <x v="44"/>
    <n v="4"/>
    <x v="22"/>
    <n v="1437.06"/>
    <x v="59"/>
    <n v="4230.3999999999996"/>
    <x v="59"/>
    <n v="7.4280499485891424E-2"/>
    <s v="C"/>
  </r>
  <r>
    <x v="60"/>
    <x v="58"/>
    <d v="2024-04-09T00:00:00"/>
    <x v="58"/>
    <x v="3"/>
    <x v="7"/>
    <s v="Lyon"/>
    <s v="Corporate"/>
    <x v="4"/>
    <x v="2"/>
    <x v="0"/>
    <x v="60"/>
    <n v="1176.56"/>
    <n v="1911.89"/>
    <n v="0.11899999999999999"/>
    <x v="45"/>
    <n v="20"/>
    <x v="17"/>
    <n v="1911.89"/>
    <x v="60"/>
    <n v="23531.199999999997"/>
    <x v="60"/>
    <n v="0.30148575160892477"/>
    <s v="C"/>
  </r>
  <r>
    <x v="61"/>
    <x v="59"/>
    <d v="2025-09-12T00:00:00"/>
    <x v="59"/>
    <x v="1"/>
    <x v="2"/>
    <s v="Tokyo"/>
    <s v="Consumer"/>
    <x v="1"/>
    <x v="7"/>
    <x v="0"/>
    <x v="61"/>
    <n v="1470.15"/>
    <n v="2593.7800000000002"/>
    <n v="0.11"/>
    <x v="46"/>
    <n v="12"/>
    <x v="24"/>
    <n v="2593.7800000000002"/>
    <x v="61"/>
    <n v="17641.800000000003"/>
    <x v="61"/>
    <n v="0.36314801849645306"/>
    <s v="C"/>
  </r>
  <r>
    <x v="62"/>
    <x v="60"/>
    <d v="2025-05-25T00:00:00"/>
    <x v="60"/>
    <x v="3"/>
    <x v="7"/>
    <s v="Paris"/>
    <s v="Small Business"/>
    <x v="2"/>
    <x v="2"/>
    <x v="3"/>
    <x v="62"/>
    <n v="603.45000000000005"/>
    <n v="1244.08"/>
    <n v="0.2"/>
    <x v="47"/>
    <n v="11"/>
    <x v="27"/>
    <n v="1244.08"/>
    <x v="62"/>
    <n v="6637.9500000000007"/>
    <x v="62"/>
    <n v="0.39367846119220623"/>
    <s v="C"/>
  </r>
  <r>
    <x v="63"/>
    <x v="61"/>
    <d v="2024-11-18T00:00:00"/>
    <x v="61"/>
    <x v="1"/>
    <x v="4"/>
    <s v="Mumbai"/>
    <s v="Small Business"/>
    <x v="3"/>
    <x v="7"/>
    <x v="5"/>
    <x v="63"/>
    <n v="1233.58"/>
    <n v="1912.51"/>
    <n v="0.255"/>
    <x v="48"/>
    <n v="51"/>
    <x v="12"/>
    <n v="1912.51"/>
    <x v="63"/>
    <n v="62912.579999999994"/>
    <x v="63"/>
    <n v="0.134220432553601"/>
    <s v="C"/>
  </r>
  <r>
    <x v="64"/>
    <x v="62"/>
    <d v="2023-02-26T00:00:00"/>
    <x v="62"/>
    <x v="0"/>
    <x v="11"/>
    <s v="Johannesburg"/>
    <s v="Non-Profit"/>
    <x v="0"/>
    <x v="11"/>
    <x v="4"/>
    <x v="64"/>
    <n v="498.5"/>
    <n v="755.87"/>
    <n v="0.13"/>
    <x v="49"/>
    <n v="40"/>
    <x v="22"/>
    <n v="755.87"/>
    <x v="64"/>
    <n v="19940"/>
    <x v="64"/>
    <n v="0.24194834330357537"/>
    <s v="C"/>
  </r>
  <r>
    <x v="65"/>
    <x v="63"/>
    <d v="2023-12-26T00:00:00"/>
    <x v="63"/>
    <x v="2"/>
    <x v="5"/>
    <s v="Rio de Janeiro"/>
    <s v="Education"/>
    <x v="0"/>
    <x v="7"/>
    <x v="3"/>
    <x v="65"/>
    <n v="1303.1099999999999"/>
    <n v="1145.67"/>
    <n v="0.184"/>
    <x v="50"/>
    <n v="13"/>
    <x v="20"/>
    <n v="1145.67"/>
    <x v="65"/>
    <n v="16940.43"/>
    <x v="65"/>
    <n v="-0.39389922875851208"/>
    <s v="C"/>
  </r>
  <r>
    <x v="66"/>
    <x v="64"/>
    <d v="2023-04-09T00:00:00"/>
    <x v="64"/>
    <x v="3"/>
    <x v="8"/>
    <s v="Manchester"/>
    <s v="Consumer"/>
    <x v="0"/>
    <x v="4"/>
    <x v="6"/>
    <x v="66"/>
    <n v="1082.17"/>
    <n v="1234.0999999999999"/>
    <n v="0.189"/>
    <x v="51"/>
    <n v="16"/>
    <x v="28"/>
    <n v="1234.0999999999999"/>
    <x v="66"/>
    <n v="17314.72"/>
    <x v="66"/>
    <n v="-8.124542703534228E-2"/>
    <s v="C"/>
  </r>
  <r>
    <x v="67"/>
    <x v="65"/>
    <d v="2024-06-06T00:00:00"/>
    <x v="65"/>
    <x v="1"/>
    <x v="2"/>
    <s v="Nagoya"/>
    <s v="Corporate"/>
    <x v="3"/>
    <x v="0"/>
    <x v="5"/>
    <x v="67"/>
    <n v="673.88"/>
    <n v="1228.01"/>
    <n v="0.105"/>
    <x v="52"/>
    <n v="13"/>
    <x v="14"/>
    <n v="1228.01"/>
    <x v="67"/>
    <n v="8760.44"/>
    <x v="67"/>
    <n v="0.38686285332689996"/>
    <s v="C"/>
  </r>
  <r>
    <x v="68"/>
    <x v="66"/>
    <d v="2023-09-07T00:00:00"/>
    <x v="66"/>
    <x v="0"/>
    <x v="11"/>
    <s v="Johannesburg"/>
    <s v="Enterprise"/>
    <x v="0"/>
    <x v="14"/>
    <x v="5"/>
    <x v="68"/>
    <n v="494.61"/>
    <n v="605.23"/>
    <n v="0.20399999999999999"/>
    <x v="53"/>
    <n v="18"/>
    <x v="6"/>
    <n v="605.23"/>
    <x v="68"/>
    <n v="8902.98"/>
    <x v="68"/>
    <n v="-2.6666468505639647E-2"/>
    <s v="C"/>
  </r>
  <r>
    <x v="69"/>
    <x v="67"/>
    <d v="2023-05-10T00:00:00"/>
    <x v="67"/>
    <x v="1"/>
    <x v="9"/>
    <s v="Shanghai"/>
    <s v="Corporate"/>
    <x v="0"/>
    <x v="8"/>
    <x v="0"/>
    <x v="69"/>
    <n v="882.33"/>
    <n v="1880.15"/>
    <n v="0.05"/>
    <x v="54"/>
    <n v="5"/>
    <x v="6"/>
    <n v="1880.15"/>
    <x v="69"/>
    <n v="4411.6500000000005"/>
    <x v="69"/>
    <n v="0.50601365792482955"/>
    <s v="C"/>
  </r>
  <r>
    <x v="70"/>
    <x v="68"/>
    <d v="2024-03-21T00:00:00"/>
    <x v="68"/>
    <x v="3"/>
    <x v="6"/>
    <s v="Munich"/>
    <s v="Small Business"/>
    <x v="1"/>
    <x v="12"/>
    <x v="6"/>
    <x v="70"/>
    <n v="910.63"/>
    <n v="1269.4000000000001"/>
    <n v="6.8000000000000005E-2"/>
    <x v="55"/>
    <n v="9"/>
    <x v="4"/>
    <n v="1269.4000000000001"/>
    <x v="70"/>
    <n v="8195.67"/>
    <x v="70"/>
    <n v="0.23028925834989455"/>
    <s v="C"/>
  </r>
  <r>
    <x v="71"/>
    <x v="69"/>
    <d v="2025-05-06T00:00:00"/>
    <x v="69"/>
    <x v="2"/>
    <x v="5"/>
    <s v="Brasília"/>
    <s v="Enterprise"/>
    <x v="2"/>
    <x v="9"/>
    <x v="4"/>
    <x v="71"/>
    <n v="264.19"/>
    <n v="620.92999999999995"/>
    <n v="0.14199999999999999"/>
    <x v="56"/>
    <n v="12"/>
    <x v="29"/>
    <n v="620.92999999999995"/>
    <x v="71"/>
    <n v="3170.2799999999997"/>
    <x v="71"/>
    <n v="0.50410875152794532"/>
    <s v="C"/>
  </r>
  <r>
    <x v="72"/>
    <x v="70"/>
    <d v="2024-05-07T00:00:00"/>
    <x v="70"/>
    <x v="0"/>
    <x v="11"/>
    <s v="Johannesburg"/>
    <s v="Education"/>
    <x v="3"/>
    <x v="8"/>
    <x v="4"/>
    <x v="72"/>
    <n v="1376.51"/>
    <n v="1455.91"/>
    <n v="0.185"/>
    <x v="57"/>
    <n v="17"/>
    <x v="2"/>
    <n v="1455.91"/>
    <x v="72"/>
    <n v="23400.67"/>
    <x v="72"/>
    <n v="-0.1600781127634085"/>
    <s v="C"/>
  </r>
  <r>
    <x v="73"/>
    <x v="71"/>
    <d v="2024-12-20T00:00:00"/>
    <x v="71"/>
    <x v="1"/>
    <x v="9"/>
    <s v="Shenzhen"/>
    <s v="Small Business"/>
    <x v="4"/>
    <x v="1"/>
    <x v="2"/>
    <x v="73"/>
    <n v="717.55"/>
    <n v="546.42999999999995"/>
    <n v="4.7E-2"/>
    <x v="58"/>
    <n v="18"/>
    <x v="15"/>
    <n v="546.42999999999995"/>
    <x v="73"/>
    <n v="12915.9"/>
    <x v="73"/>
    <n v="-0.37792231437026369"/>
    <s v="C"/>
  </r>
  <r>
    <x v="74"/>
    <x v="72"/>
    <d v="2023-05-18T00:00:00"/>
    <x v="72"/>
    <x v="0"/>
    <x v="11"/>
    <s v="Durban"/>
    <s v="Corporate"/>
    <x v="3"/>
    <x v="8"/>
    <x v="0"/>
    <x v="74"/>
    <n v="917.88"/>
    <n v="1347.92"/>
    <n v="0.34300000000000003"/>
    <x v="33"/>
    <n v="5"/>
    <x v="1"/>
    <n v="1347.92"/>
    <x v="74"/>
    <n v="4589.3999999999996"/>
    <x v="74"/>
    <n v="2.7199579457873848E-2"/>
    <s v="C"/>
  </r>
  <r>
    <x v="75"/>
    <x v="73"/>
    <d v="2023-10-08T00:00:00"/>
    <x v="73"/>
    <x v="1"/>
    <x v="4"/>
    <s v="Delhi"/>
    <s v="Small Business"/>
    <x v="4"/>
    <x v="5"/>
    <x v="0"/>
    <x v="75"/>
    <n v="825.64"/>
    <n v="1108.43"/>
    <n v="0.114"/>
    <x v="59"/>
    <n v="7"/>
    <x v="8"/>
    <n v="1108.43"/>
    <x v="75"/>
    <n v="5779.48"/>
    <x v="75"/>
    <n v="0.15928512475773349"/>
    <s v="C"/>
  </r>
  <r>
    <x v="76"/>
    <x v="74"/>
    <d v="2024-09-25T00:00:00"/>
    <x v="74"/>
    <x v="2"/>
    <x v="5"/>
    <s v="Rio de Janeiro"/>
    <s v="Non-Profit"/>
    <x v="1"/>
    <x v="15"/>
    <x v="6"/>
    <x v="76"/>
    <n v="1394.65"/>
    <n v="3144.1"/>
    <n v="0.13400000000000001"/>
    <x v="60"/>
    <n v="13"/>
    <x v="27"/>
    <n v="3144.1"/>
    <x v="76"/>
    <n v="18130.45"/>
    <x v="76"/>
    <n v="0.4877865378263021"/>
    <s v="C"/>
  </r>
  <r>
    <x v="77"/>
    <x v="24"/>
    <d v="2024-06-28T00:00:00"/>
    <x v="75"/>
    <x v="2"/>
    <x v="5"/>
    <s v="Rio de Janeiro"/>
    <s v="Small Business"/>
    <x v="4"/>
    <x v="4"/>
    <x v="6"/>
    <x v="77"/>
    <n v="1112.98"/>
    <n v="2095.73"/>
    <n v="7.1999999999999995E-2"/>
    <x v="3"/>
    <n v="17"/>
    <x v="1"/>
    <n v="2095.73"/>
    <x v="77"/>
    <n v="18920.66"/>
    <x v="77"/>
    <n v="0.42772594916724777"/>
    <s v="C"/>
  </r>
  <r>
    <x v="78"/>
    <x v="75"/>
    <d v="2023-06-16T00:00:00"/>
    <x v="76"/>
    <x v="3"/>
    <x v="8"/>
    <s v="Manchester"/>
    <s v="Non-Profit"/>
    <x v="4"/>
    <x v="11"/>
    <x v="0"/>
    <x v="78"/>
    <n v="357.36"/>
    <n v="703.62"/>
    <n v="0.25700000000000001"/>
    <x v="61"/>
    <n v="20"/>
    <x v="24"/>
    <n v="703.62"/>
    <x v="78"/>
    <n v="7147.2000000000007"/>
    <x v="78"/>
    <n v="0.31643636563125593"/>
    <s v="C"/>
  </r>
  <r>
    <x v="79"/>
    <x v="76"/>
    <d v="2024-12-21T00:00:00"/>
    <x v="77"/>
    <x v="3"/>
    <x v="7"/>
    <s v="Marseille"/>
    <s v="Small Business"/>
    <x v="4"/>
    <x v="2"/>
    <x v="5"/>
    <x v="79"/>
    <n v="1122.68"/>
    <n v="1997.19"/>
    <n v="0.186"/>
    <x v="62"/>
    <n v="3"/>
    <x v="17"/>
    <n v="1997.19"/>
    <x v="79"/>
    <n v="3368.04"/>
    <x v="79"/>
    <n v="0.30942285951073306"/>
    <s v="C"/>
  </r>
  <r>
    <x v="80"/>
    <x v="77"/>
    <d v="2023-02-11T00:00:00"/>
    <x v="78"/>
    <x v="0"/>
    <x v="11"/>
    <s v="Cape Town"/>
    <s v="Corporate"/>
    <x v="4"/>
    <x v="12"/>
    <x v="2"/>
    <x v="80"/>
    <n v="1410.05"/>
    <n v="2763.95"/>
    <n v="0.161"/>
    <x v="63"/>
    <n v="26"/>
    <x v="4"/>
    <n v="2763.95"/>
    <x v="80"/>
    <n v="36661.299999999996"/>
    <x v="80"/>
    <n v="0.39194569206750779"/>
    <s v="C"/>
  </r>
  <r>
    <x v="81"/>
    <x v="66"/>
    <d v="2023-09-12T00:00:00"/>
    <x v="79"/>
    <x v="2"/>
    <x v="3"/>
    <s v="Vancouver"/>
    <s v="Enterprise"/>
    <x v="0"/>
    <x v="2"/>
    <x v="1"/>
    <x v="81"/>
    <n v="1183.95"/>
    <n v="1503.53"/>
    <n v="0.24099999999999999"/>
    <x v="64"/>
    <n v="16"/>
    <x v="9"/>
    <n v="1503.53"/>
    <x v="81"/>
    <n v="18943.2"/>
    <x v="81"/>
    <n v="-3.7479413729623705E-2"/>
    <s v="C"/>
  </r>
  <r>
    <x v="82"/>
    <x v="78"/>
    <d v="2025-05-24T00:00:00"/>
    <x v="80"/>
    <x v="3"/>
    <x v="7"/>
    <s v="Paris"/>
    <s v="Small Business"/>
    <x v="2"/>
    <x v="11"/>
    <x v="0"/>
    <x v="82"/>
    <n v="170.39"/>
    <n v="388.04"/>
    <n v="8.4000000000000005E-2"/>
    <x v="26"/>
    <n v="15"/>
    <x v="23"/>
    <n v="388.04"/>
    <x v="82"/>
    <n v="2555.85"/>
    <x v="82"/>
    <n v="0.52062858508711796"/>
    <s v="C"/>
  </r>
  <r>
    <x v="83"/>
    <x v="79"/>
    <d v="2025-04-22T00:00:00"/>
    <x v="53"/>
    <x v="2"/>
    <x v="10"/>
    <s v="San Francisco"/>
    <s v="Non-Profit"/>
    <x v="3"/>
    <x v="14"/>
    <x v="5"/>
    <x v="83"/>
    <n v="23.24"/>
    <n v="44.57"/>
    <n v="0.215"/>
    <x v="65"/>
    <n v="15"/>
    <x v="1"/>
    <n v="44.57"/>
    <x v="83"/>
    <n v="348.59999999999997"/>
    <x v="83"/>
    <n v="0.33576182316802167"/>
    <s v="C"/>
  </r>
  <r>
    <x v="84"/>
    <x v="80"/>
    <d v="2025-04-17T00:00:00"/>
    <x v="81"/>
    <x v="3"/>
    <x v="8"/>
    <s v="London"/>
    <s v="Consumer"/>
    <x v="0"/>
    <x v="10"/>
    <x v="2"/>
    <x v="84"/>
    <n v="1421.19"/>
    <n v="1808.26"/>
    <n v="0.104"/>
    <x v="66"/>
    <n v="13"/>
    <x v="20"/>
    <n v="1808.26"/>
    <x v="84"/>
    <n v="18475.47"/>
    <x v="84"/>
    <n v="0.12283103449093123"/>
    <s v="C"/>
  </r>
  <r>
    <x v="85"/>
    <x v="81"/>
    <d v="2023-12-23T00:00:00"/>
    <x v="82"/>
    <x v="0"/>
    <x v="11"/>
    <s v="Cape Town"/>
    <s v="Non-Profit"/>
    <x v="2"/>
    <x v="14"/>
    <x v="0"/>
    <x v="85"/>
    <n v="1186.18"/>
    <n v="1285.0899999999999"/>
    <n v="7.0000000000000007E-2"/>
    <x v="67"/>
    <n v="11"/>
    <x v="25"/>
    <n v="1285.0899999999999"/>
    <x v="85"/>
    <n v="13047.980000000001"/>
    <x v="85"/>
    <n v="7.4917977796121861E-3"/>
    <s v="C"/>
  </r>
  <r>
    <x v="86"/>
    <x v="82"/>
    <d v="2024-04-25T00:00:00"/>
    <x v="83"/>
    <x v="1"/>
    <x v="9"/>
    <s v="Shanghai"/>
    <s v="Corporate"/>
    <x v="0"/>
    <x v="11"/>
    <x v="0"/>
    <x v="86"/>
    <n v="1366.48"/>
    <n v="1678.14"/>
    <n v="0.154"/>
    <x v="68"/>
    <n v="10"/>
    <x v="6"/>
    <n v="1678.14"/>
    <x v="86"/>
    <n v="13664.8"/>
    <x v="86"/>
    <n v="3.7491159087790132E-2"/>
    <s v="C"/>
  </r>
  <r>
    <x v="87"/>
    <x v="83"/>
    <d v="2025-08-19T00:00:00"/>
    <x v="84"/>
    <x v="0"/>
    <x v="0"/>
    <s v="Nakuru"/>
    <s v="Corporate"/>
    <x v="5"/>
    <x v="12"/>
    <x v="0"/>
    <x v="87"/>
    <n v="601.51"/>
    <n v="679.35"/>
    <n v="0.188"/>
    <x v="69"/>
    <n v="3"/>
    <x v="7"/>
    <n v="679.35"/>
    <x v="87"/>
    <n v="1804.53"/>
    <x v="87"/>
    <n v="-9.0418579626062243E-2"/>
    <s v="C"/>
  </r>
  <r>
    <x v="88"/>
    <x v="84"/>
    <d v="2024-01-25T00:00:00"/>
    <x v="85"/>
    <x v="1"/>
    <x v="4"/>
    <s v="Delhi"/>
    <s v="Consumer"/>
    <x v="4"/>
    <x v="0"/>
    <x v="5"/>
    <x v="88"/>
    <n v="523.70000000000005"/>
    <n v="1109.92"/>
    <n v="0.03"/>
    <x v="70"/>
    <n v="11"/>
    <x v="3"/>
    <n v="1109.92"/>
    <x v="88"/>
    <n v="5760.7000000000007"/>
    <x v="88"/>
    <n v="0.51357133197302973"/>
    <s v="C"/>
  </r>
  <r>
    <x v="89"/>
    <x v="85"/>
    <d v="2023-07-02T00:00:00"/>
    <x v="86"/>
    <x v="1"/>
    <x v="2"/>
    <s v="Nagoya"/>
    <s v="Education"/>
    <x v="2"/>
    <x v="9"/>
    <x v="5"/>
    <x v="89"/>
    <n v="55.65"/>
    <n v="83.57"/>
    <n v="6.6000000000000003E-2"/>
    <x v="71"/>
    <n v="8"/>
    <x v="4"/>
    <n v="83.57"/>
    <x v="89"/>
    <n v="445.2"/>
    <x v="89"/>
    <n v="0.2870355257449998"/>
    <s v="C"/>
  </r>
  <r>
    <x v="90"/>
    <x v="86"/>
    <d v="2025-05-15T00:00:00"/>
    <x v="87"/>
    <x v="1"/>
    <x v="2"/>
    <s v="Nagoya"/>
    <s v="Education"/>
    <x v="4"/>
    <x v="13"/>
    <x v="2"/>
    <x v="90"/>
    <n v="691.19"/>
    <n v="1284.3"/>
    <n v="7.3999999999999996E-2"/>
    <x v="13"/>
    <n v="7"/>
    <x v="13"/>
    <n v="1284.3"/>
    <x v="90"/>
    <n v="4838.33"/>
    <x v="90"/>
    <n v="0.41880753253825198"/>
    <s v="C"/>
  </r>
  <r>
    <x v="91"/>
    <x v="56"/>
    <d v="2025-06-25T00:00:00"/>
    <x v="88"/>
    <x v="1"/>
    <x v="4"/>
    <s v="Hyderabad"/>
    <s v="Enterprise"/>
    <x v="3"/>
    <x v="12"/>
    <x v="3"/>
    <x v="91"/>
    <n v="527.33000000000004"/>
    <n v="911.72"/>
    <n v="0.14399999999999999"/>
    <x v="41"/>
    <n v="25"/>
    <x v="12"/>
    <n v="911.72"/>
    <x v="91"/>
    <n v="13183.250000000002"/>
    <x v="91"/>
    <n v="0.32431040272652978"/>
    <s v="C"/>
  </r>
  <r>
    <x v="92"/>
    <x v="87"/>
    <d v="2023-06-23T00:00:00"/>
    <x v="89"/>
    <x v="2"/>
    <x v="5"/>
    <s v="Rio de Janeiro"/>
    <s v="Non-Profit"/>
    <x v="0"/>
    <x v="6"/>
    <x v="1"/>
    <x v="92"/>
    <n v="804.01"/>
    <n v="1405.07"/>
    <n v="9.6000000000000002E-2"/>
    <x v="72"/>
    <n v="8"/>
    <x v="1"/>
    <n v="1405.07"/>
    <x v="92"/>
    <n v="6432.08"/>
    <x v="92"/>
    <n v="0.36701260939287439"/>
    <s v="C"/>
  </r>
  <r>
    <x v="93"/>
    <x v="88"/>
    <d v="2024-11-02T00:00:00"/>
    <x v="90"/>
    <x v="0"/>
    <x v="1"/>
    <s v="Abuja"/>
    <s v="Corporate"/>
    <x v="3"/>
    <x v="9"/>
    <x v="6"/>
    <x v="93"/>
    <n v="412.09"/>
    <n v="968.94"/>
    <n v="9.9000000000000005E-2"/>
    <x v="73"/>
    <n v="23"/>
    <x v="10"/>
    <n v="968.94"/>
    <x v="93"/>
    <n v="9478.07"/>
    <x v="93"/>
    <n v="0.52796913189137418"/>
    <s v="C"/>
  </r>
  <r>
    <x v="94"/>
    <x v="59"/>
    <d v="2025-09-30T00:00:00"/>
    <x v="14"/>
    <x v="0"/>
    <x v="0"/>
    <s v="Mombasa"/>
    <s v="Corporate"/>
    <x v="4"/>
    <x v="4"/>
    <x v="3"/>
    <x v="94"/>
    <n v="1009.48"/>
    <n v="1088.81"/>
    <n v="0.16"/>
    <x v="74"/>
    <n v="6"/>
    <x v="8"/>
    <n v="1088.81"/>
    <x v="94"/>
    <n v="6056.88"/>
    <x v="94"/>
    <n v="-0.10373885688219693"/>
    <s v="C"/>
  </r>
  <r>
    <x v="95"/>
    <x v="89"/>
    <d v="2023-04-27T00:00:00"/>
    <x v="91"/>
    <x v="3"/>
    <x v="8"/>
    <s v="Manchester"/>
    <s v="Enterprise"/>
    <x v="3"/>
    <x v="2"/>
    <x v="1"/>
    <x v="95"/>
    <n v="1084.79"/>
    <n v="2484.9899999999998"/>
    <n v="3.4000000000000002E-2"/>
    <x v="75"/>
    <n v="18"/>
    <x v="28"/>
    <n v="2484.9899999999998"/>
    <x v="95"/>
    <n v="19526.22"/>
    <x v="95"/>
    <n v="0.54809837685755114"/>
    <s v="C"/>
  </r>
  <r>
    <x v="96"/>
    <x v="90"/>
    <d v="2025-08-16T00:00:00"/>
    <x v="92"/>
    <x v="1"/>
    <x v="4"/>
    <s v="Unknown"/>
    <s v="Enterprise"/>
    <x v="4"/>
    <x v="7"/>
    <x v="5"/>
    <x v="96"/>
    <n v="24.44"/>
    <n v="28.69"/>
    <n v="0.14599999999999999"/>
    <x v="34"/>
    <n v="6"/>
    <x v="14"/>
    <n v="28.69"/>
    <x v="96"/>
    <n v="146.64000000000001"/>
    <x v="96"/>
    <n v="2.5002795774584476E-3"/>
    <s v="C"/>
  </r>
  <r>
    <x v="97"/>
    <x v="91"/>
    <d v="2024-05-26T00:00:00"/>
    <x v="93"/>
    <x v="0"/>
    <x v="1"/>
    <s v="Abuja"/>
    <s v="Enterprise"/>
    <x v="1"/>
    <x v="9"/>
    <x v="6"/>
    <x v="97"/>
    <n v="1227.08"/>
    <n v="1896.62"/>
    <n v="0"/>
    <x v="5"/>
    <n v="18"/>
    <x v="1"/>
    <n v="1896.62"/>
    <x v="97"/>
    <n v="22087.439999999999"/>
    <x v="97"/>
    <n v="0.353017473189147"/>
    <s v="C"/>
  </r>
  <r>
    <x v="98"/>
    <x v="92"/>
    <d v="2025-08-18T00:00:00"/>
    <x v="94"/>
    <x v="1"/>
    <x v="9"/>
    <s v="Shenzhen"/>
    <s v="Non-Profit"/>
    <x v="2"/>
    <x v="12"/>
    <x v="2"/>
    <x v="98"/>
    <n v="547.32000000000005"/>
    <n v="419.17"/>
    <n v="9.1999999999999998E-2"/>
    <x v="76"/>
    <n v="14"/>
    <x v="29"/>
    <n v="419.17"/>
    <x v="98"/>
    <n v="7662.4800000000005"/>
    <x v="98"/>
    <n v="-0.43802116181137907"/>
    <s v="C"/>
  </r>
  <r>
    <x v="99"/>
    <x v="2"/>
    <d v="2023-03-20T00:00:00"/>
    <x v="95"/>
    <x v="3"/>
    <x v="6"/>
    <s v="Berlin"/>
    <s v="Small Business"/>
    <x v="4"/>
    <x v="10"/>
    <x v="4"/>
    <x v="99"/>
    <n v="1200.78"/>
    <n v="2001.17"/>
    <n v="0.29199999999999998"/>
    <x v="39"/>
    <n v="18"/>
    <x v="8"/>
    <n v="2001.17"/>
    <x v="99"/>
    <n v="21614.04"/>
    <x v="99"/>
    <n v="0.15248732034132906"/>
    <s v="C"/>
  </r>
  <r>
    <x v="100"/>
    <x v="93"/>
    <d v="2025-02-15T00:00:00"/>
    <x v="96"/>
    <x v="1"/>
    <x v="9"/>
    <s v="Shenzhen"/>
    <s v="Non-Profit"/>
    <x v="4"/>
    <x v="4"/>
    <x v="3"/>
    <x v="100"/>
    <n v="1253.22"/>
    <n v="3104.71"/>
    <n v="0"/>
    <x v="5"/>
    <n v="17"/>
    <x v="6"/>
    <n v="3104.71"/>
    <x v="100"/>
    <n v="21304.74"/>
    <x v="100"/>
    <n v="0.59634877331538205"/>
    <s v="C"/>
  </r>
  <r>
    <x v="101"/>
    <x v="94"/>
    <d v="2024-01-22T00:00:00"/>
    <x v="97"/>
    <x v="1"/>
    <x v="4"/>
    <s v="Mumbai"/>
    <s v="Enterprise"/>
    <x v="2"/>
    <x v="1"/>
    <x v="0"/>
    <x v="101"/>
    <n v="313.60000000000002"/>
    <n v="334.28"/>
    <n v="0.14000000000000001"/>
    <x v="77"/>
    <n v="22"/>
    <x v="26"/>
    <n v="334.28"/>
    <x v="101"/>
    <n v="6899.2000000000007"/>
    <x v="101"/>
    <n v="-9.0855458868905517E-2"/>
    <s v="C"/>
  </r>
  <r>
    <x v="102"/>
    <x v="95"/>
    <d v="2025-04-04T00:00:00"/>
    <x v="98"/>
    <x v="0"/>
    <x v="0"/>
    <s v="Nakuru"/>
    <s v="Corporate"/>
    <x v="4"/>
    <x v="0"/>
    <x v="4"/>
    <x v="102"/>
    <n v="862.08"/>
    <n v="1952.83"/>
    <n v="0"/>
    <x v="5"/>
    <n v="7"/>
    <x v="3"/>
    <n v="1952.83"/>
    <x v="102"/>
    <n v="6034.56"/>
    <x v="102"/>
    <n v="0.5585483631447693"/>
    <s v="C"/>
  </r>
  <r>
    <x v="103"/>
    <x v="96"/>
    <d v="2024-12-28T00:00:00"/>
    <x v="99"/>
    <x v="2"/>
    <x v="3"/>
    <s v="Vancouver"/>
    <s v="Corporate"/>
    <x v="4"/>
    <x v="9"/>
    <x v="6"/>
    <x v="103"/>
    <n v="107.03"/>
    <n v="242.29"/>
    <n v="0.18"/>
    <x v="78"/>
    <n v="30"/>
    <x v="20"/>
    <n v="242.29"/>
    <x v="103"/>
    <n v="3210.9"/>
    <x v="103"/>
    <n v="0.46128857879440988"/>
    <s v="C"/>
  </r>
  <r>
    <x v="104"/>
    <x v="97"/>
    <d v="2024-10-05T00:00:00"/>
    <x v="100"/>
    <x v="1"/>
    <x v="9"/>
    <s v="Shanghai"/>
    <s v="Small Business"/>
    <x v="1"/>
    <x v="10"/>
    <x v="4"/>
    <x v="104"/>
    <n v="1405.56"/>
    <n v="2968.87"/>
    <n v="0.16900000000000001"/>
    <x v="36"/>
    <n v="5"/>
    <x v="28"/>
    <n v="2968.87"/>
    <x v="104"/>
    <n v="7027.7999999999993"/>
    <x v="104"/>
    <n v="0.4302856163327235"/>
    <s v="C"/>
  </r>
  <r>
    <x v="105"/>
    <x v="98"/>
    <d v="2024-05-27T00:00:00"/>
    <x v="101"/>
    <x v="0"/>
    <x v="11"/>
    <s v="Johannesburg"/>
    <s v="Non-Profit"/>
    <x v="1"/>
    <x v="12"/>
    <x v="0"/>
    <x v="105"/>
    <n v="1157.51"/>
    <n v="1394.3"/>
    <n v="0.27800000000000002"/>
    <x v="79"/>
    <n v="12"/>
    <x v="30"/>
    <n v="1394.3"/>
    <x v="105"/>
    <n v="13890.119999999999"/>
    <x v="105"/>
    <n v="-0.14982388724333326"/>
    <s v="C"/>
  </r>
  <r>
    <x v="106"/>
    <x v="20"/>
    <d v="2023-06-07T00:00:00"/>
    <x v="102"/>
    <x v="0"/>
    <x v="0"/>
    <s v="Mombasa"/>
    <s v="Corporate"/>
    <x v="1"/>
    <x v="1"/>
    <x v="3"/>
    <x v="106"/>
    <n v="12.85"/>
    <n v="15.41"/>
    <n v="0.13700000000000001"/>
    <x v="80"/>
    <n v="39"/>
    <x v="29"/>
    <n v="15.41"/>
    <x v="106"/>
    <n v="501.15"/>
    <x v="106"/>
    <n v="3.3749585489851353E-2"/>
    <s v="C"/>
  </r>
  <r>
    <x v="107"/>
    <x v="99"/>
    <d v="2024-09-04T00:00:00"/>
    <x v="103"/>
    <x v="3"/>
    <x v="8"/>
    <s v="Manchester"/>
    <s v="Non-Profit"/>
    <x v="1"/>
    <x v="1"/>
    <x v="3"/>
    <x v="107"/>
    <n v="1138.8"/>
    <n v="2250.81"/>
    <n v="0.123"/>
    <x v="81"/>
    <n v="12"/>
    <x v="28"/>
    <n v="2250.81"/>
    <x v="107"/>
    <n v="13665.599999999999"/>
    <x v="107"/>
    <n v="0.42308872188756258"/>
    <s v="C"/>
  </r>
  <r>
    <x v="108"/>
    <x v="100"/>
    <d v="2024-11-08T00:00:00"/>
    <x v="46"/>
    <x v="1"/>
    <x v="2"/>
    <s v="Osaka"/>
    <s v="Small Business"/>
    <x v="0"/>
    <x v="1"/>
    <x v="2"/>
    <x v="108"/>
    <n v="82.14"/>
    <n v="166.04"/>
    <n v="0"/>
    <x v="5"/>
    <n v="10"/>
    <x v="20"/>
    <n v="166.04"/>
    <x v="108"/>
    <n v="821.4"/>
    <x v="108"/>
    <n v="0.50529992772825827"/>
    <s v="C"/>
  </r>
  <r>
    <x v="109"/>
    <x v="101"/>
    <d v="2024-06-08T00:00:00"/>
    <x v="104"/>
    <x v="0"/>
    <x v="0"/>
    <s v="Kisumu"/>
    <s v="Consumer"/>
    <x v="2"/>
    <x v="8"/>
    <x v="6"/>
    <x v="109"/>
    <n v="292.94"/>
    <n v="356.55"/>
    <n v="0.22900000000000001"/>
    <x v="82"/>
    <n v="2"/>
    <x v="30"/>
    <n v="356.55"/>
    <x v="109"/>
    <n v="585.88"/>
    <x v="109"/>
    <n v="-6.5623669402751925E-2"/>
    <s v="C"/>
  </r>
  <r>
    <x v="110"/>
    <x v="102"/>
    <d v="2024-07-07T00:00:00"/>
    <x v="75"/>
    <x v="1"/>
    <x v="9"/>
    <s v="Shenzhen"/>
    <s v="Corporate"/>
    <x v="1"/>
    <x v="1"/>
    <x v="0"/>
    <x v="110"/>
    <n v="550.22"/>
    <n v="1025.05"/>
    <n v="0"/>
    <x v="5"/>
    <n v="27"/>
    <x v="27"/>
    <n v="1025.05"/>
    <x v="110"/>
    <n v="14855.94"/>
    <x v="110"/>
    <n v="0.46322618408858102"/>
    <s v="C"/>
  </r>
  <r>
    <x v="111"/>
    <x v="103"/>
    <d v="2024-06-11T00:00:00"/>
    <x v="105"/>
    <x v="3"/>
    <x v="8"/>
    <s v="Birmingham"/>
    <s v="Small Business"/>
    <x v="2"/>
    <x v="12"/>
    <x v="4"/>
    <x v="111"/>
    <n v="1187.1300000000001"/>
    <n v="1795.17"/>
    <n v="1.2E-2"/>
    <x v="83"/>
    <n v="17"/>
    <x v="25"/>
    <n v="1795.17"/>
    <x v="111"/>
    <n v="20181.210000000003"/>
    <x v="111"/>
    <n v="0.33067699271046663"/>
    <s v="C"/>
  </r>
  <r>
    <x v="112"/>
    <x v="104"/>
    <d v="2024-07-26T00:00:00"/>
    <x v="106"/>
    <x v="0"/>
    <x v="11"/>
    <s v="Durban"/>
    <s v="Enterprise"/>
    <x v="3"/>
    <x v="5"/>
    <x v="2"/>
    <x v="112"/>
    <n v="5.36"/>
    <n v="4.37"/>
    <n v="0.11799999999999999"/>
    <x v="84"/>
    <n v="9"/>
    <x v="29"/>
    <n v="4.37"/>
    <x v="112"/>
    <n v="48.24"/>
    <x v="112"/>
    <n v="-0.39064016148030545"/>
    <s v="C"/>
  </r>
  <r>
    <x v="113"/>
    <x v="105"/>
    <d v="2025-01-24T00:00:00"/>
    <x v="107"/>
    <x v="2"/>
    <x v="10"/>
    <s v="Austin"/>
    <s v="Enterprise"/>
    <x v="1"/>
    <x v="3"/>
    <x v="6"/>
    <x v="113"/>
    <n v="142.09"/>
    <n v="218.5"/>
    <n v="0.11899999999999999"/>
    <x v="45"/>
    <n v="11"/>
    <x v="1"/>
    <n v="218.5"/>
    <x v="113"/>
    <n v="1562.99"/>
    <x v="113"/>
    <n v="0.26186437816398561"/>
    <s v="C"/>
  </r>
  <r>
    <x v="114"/>
    <x v="106"/>
    <d v="2023-12-05T00:00:00"/>
    <x v="108"/>
    <x v="1"/>
    <x v="2"/>
    <s v="Tokyo"/>
    <s v="Enterprise"/>
    <x v="0"/>
    <x v="4"/>
    <x v="2"/>
    <x v="114"/>
    <n v="354.24"/>
    <n v="249.87"/>
    <n v="0"/>
    <x v="5"/>
    <n v="6"/>
    <x v="14"/>
    <n v="249.87"/>
    <x v="114"/>
    <n v="2125.44"/>
    <x v="114"/>
    <n v="-0.41769720254532355"/>
    <s v="C"/>
  </r>
  <r>
    <x v="115"/>
    <x v="107"/>
    <d v="2023-03-05T00:00:00"/>
    <x v="109"/>
    <x v="2"/>
    <x v="5"/>
    <s v="Brasília"/>
    <s v="Enterprise"/>
    <x v="4"/>
    <x v="3"/>
    <x v="5"/>
    <x v="115"/>
    <n v="1473.58"/>
    <n v="3436.52"/>
    <n v="0.108"/>
    <x v="85"/>
    <n v="8"/>
    <x v="4"/>
    <n v="3436.52"/>
    <x v="115"/>
    <n v="11788.64"/>
    <x v="115"/>
    <n v="0.51928243813652564"/>
    <s v="C"/>
  </r>
  <r>
    <x v="116"/>
    <x v="108"/>
    <d v="2025-06-10T00:00:00"/>
    <x v="110"/>
    <x v="2"/>
    <x v="3"/>
    <s v="Toronto"/>
    <s v="Consumer"/>
    <x v="3"/>
    <x v="7"/>
    <x v="1"/>
    <x v="116"/>
    <n v="75.180000000000007"/>
    <n v="53.45"/>
    <n v="0.157"/>
    <x v="86"/>
    <n v="17"/>
    <x v="1"/>
    <n v="53.45"/>
    <x v="116"/>
    <n v="1278.0600000000002"/>
    <x v="116"/>
    <n v="-0.66850317421743144"/>
    <s v="C"/>
  </r>
  <r>
    <x v="117"/>
    <x v="6"/>
    <d v="2025-01-02T00:00:00"/>
    <x v="111"/>
    <x v="3"/>
    <x v="6"/>
    <s v="Frankfurt"/>
    <s v="Education"/>
    <x v="4"/>
    <x v="9"/>
    <x v="4"/>
    <x v="117"/>
    <n v="1391.99"/>
    <n v="3469.7"/>
    <n v="0.184"/>
    <x v="50"/>
    <n v="23"/>
    <x v="30"/>
    <n v="3469.7"/>
    <x v="117"/>
    <n v="32015.77"/>
    <x v="117"/>
    <n v="0.50835227886006973"/>
    <s v="C"/>
  </r>
  <r>
    <x v="118"/>
    <x v="109"/>
    <d v="2023-06-19T00:00:00"/>
    <x v="112"/>
    <x v="1"/>
    <x v="9"/>
    <s v="Beijing"/>
    <s v="Enterprise"/>
    <x v="0"/>
    <x v="9"/>
    <x v="5"/>
    <x v="118"/>
    <n v="339.61"/>
    <n v="621.02"/>
    <n v="7.0999999999999994E-2"/>
    <x v="87"/>
    <n v="10"/>
    <x v="23"/>
    <n v="621.02"/>
    <x v="118"/>
    <n v="3396.1000000000004"/>
    <x v="118"/>
    <n v="0.41134726129750981"/>
    <s v="C"/>
  </r>
  <r>
    <x v="119"/>
    <x v="110"/>
    <d v="2025-07-18T00:00:00"/>
    <x v="113"/>
    <x v="2"/>
    <x v="3"/>
    <s v="Vancouver"/>
    <s v="Education"/>
    <x v="3"/>
    <x v="2"/>
    <x v="4"/>
    <x v="119"/>
    <n v="57.96"/>
    <n v="88.51"/>
    <n v="4.2999999999999997E-2"/>
    <x v="88"/>
    <n v="7"/>
    <x v="26"/>
    <n v="88.51"/>
    <x v="119"/>
    <n v="405.72"/>
    <x v="119"/>
    <n v="0.3157353595877978"/>
    <s v="C"/>
  </r>
  <r>
    <x v="120"/>
    <x v="111"/>
    <d v="2025-07-12T00:00:00"/>
    <x v="114"/>
    <x v="3"/>
    <x v="8"/>
    <s v="Unknown"/>
    <s v="Non-Profit"/>
    <x v="4"/>
    <x v="15"/>
    <x v="2"/>
    <x v="120"/>
    <n v="801.24"/>
    <n v="1959.09"/>
    <n v="0.123"/>
    <x v="81"/>
    <n v="23"/>
    <x v="20"/>
    <n v="1959.09"/>
    <x v="120"/>
    <n v="18428.52"/>
    <x v="120"/>
    <n v="0.53365358650651762"/>
    <s v="C"/>
  </r>
  <r>
    <x v="121"/>
    <x v="112"/>
    <d v="2023-12-13T00:00:00"/>
    <x v="115"/>
    <x v="3"/>
    <x v="7"/>
    <s v="Lyon"/>
    <s v="Non-Profit"/>
    <x v="4"/>
    <x v="10"/>
    <x v="5"/>
    <x v="121"/>
    <n v="1297.42"/>
    <n v="2742.97"/>
    <n v="6.9000000000000006E-2"/>
    <x v="89"/>
    <n v="9"/>
    <x v="9"/>
    <n v="2742.97"/>
    <x v="121"/>
    <n v="11676.78"/>
    <x v="121"/>
    <n v="0.49194602961727291"/>
    <s v="C"/>
  </r>
  <r>
    <x v="122"/>
    <x v="113"/>
    <d v="2024-01-20T00:00:00"/>
    <x v="116"/>
    <x v="0"/>
    <x v="0"/>
    <s v="Kisumu"/>
    <s v="Corporate"/>
    <x v="4"/>
    <x v="4"/>
    <x v="3"/>
    <x v="122"/>
    <n v="1395.49"/>
    <n v="1679.42"/>
    <n v="0.20300000000000001"/>
    <x v="90"/>
    <n v="12"/>
    <x v="21"/>
    <n v="1679.42"/>
    <x v="122"/>
    <n v="16745.88"/>
    <x v="122"/>
    <n v="-4.2579272490964493E-2"/>
    <s v="C"/>
  </r>
  <r>
    <x v="123"/>
    <x v="61"/>
    <d v="2024-11-29T00:00:00"/>
    <x v="117"/>
    <x v="2"/>
    <x v="5"/>
    <s v="Brasília"/>
    <s v="Small Business"/>
    <x v="4"/>
    <x v="2"/>
    <x v="2"/>
    <x v="123"/>
    <n v="1363.51"/>
    <n v="1433.9"/>
    <n v="5.7000000000000002E-2"/>
    <x v="91"/>
    <n v="8"/>
    <x v="29"/>
    <n v="1433.9"/>
    <x v="123"/>
    <n v="10908.08"/>
    <x v="123"/>
    <n v="-8.3882346842037592E-3"/>
    <s v="C"/>
  </r>
  <r>
    <x v="124"/>
    <x v="114"/>
    <d v="2023-09-04T00:00:00"/>
    <x v="118"/>
    <x v="2"/>
    <x v="3"/>
    <s v="Montreal"/>
    <s v="Education"/>
    <x v="3"/>
    <x v="9"/>
    <x v="0"/>
    <x v="124"/>
    <n v="178.19"/>
    <n v="284.43"/>
    <n v="8.8999999999999996E-2"/>
    <x v="25"/>
    <n v="8"/>
    <x v="16"/>
    <n v="284.43"/>
    <x v="124"/>
    <n v="1425.52"/>
    <x v="124"/>
    <n v="0.31231500302972742"/>
    <s v="C"/>
  </r>
  <r>
    <x v="125"/>
    <x v="115"/>
    <d v="2023-09-06T00:00:00"/>
    <x v="119"/>
    <x v="1"/>
    <x v="9"/>
    <s v="Shanghai"/>
    <s v="Small Business"/>
    <x v="0"/>
    <x v="5"/>
    <x v="0"/>
    <x v="125"/>
    <n v="950.77"/>
    <n v="694.78"/>
    <n v="8.4000000000000005E-2"/>
    <x v="26"/>
    <n v="14"/>
    <x v="2"/>
    <n v="694.78"/>
    <x v="125"/>
    <n v="13310.779999999999"/>
    <x v="125"/>
    <n v="-0.49393839097821279"/>
    <s v="C"/>
  </r>
  <r>
    <x v="126"/>
    <x v="116"/>
    <d v="2024-06-26T00:00:00"/>
    <x v="120"/>
    <x v="3"/>
    <x v="6"/>
    <s v="Berlin"/>
    <s v="Non-Profit"/>
    <x v="2"/>
    <x v="12"/>
    <x v="0"/>
    <x v="126"/>
    <n v="1064.32"/>
    <n v="1848.39"/>
    <n v="7.2999999999999995E-2"/>
    <x v="92"/>
    <n v="38"/>
    <x v="6"/>
    <n v="1848.39"/>
    <x v="126"/>
    <n v="40444.159999999996"/>
    <x v="126"/>
    <n v="0.3788465827921631"/>
    <s v="C"/>
  </r>
  <r>
    <x v="127"/>
    <x v="117"/>
    <d v="2025-08-14T00:00:00"/>
    <x v="121"/>
    <x v="3"/>
    <x v="8"/>
    <s v="London"/>
    <s v="Non-Profit"/>
    <x v="4"/>
    <x v="6"/>
    <x v="0"/>
    <x v="127"/>
    <n v="41.76"/>
    <n v="45.19"/>
    <n v="0.17899999999999999"/>
    <x v="93"/>
    <n v="23"/>
    <x v="26"/>
    <n v="45.19"/>
    <x v="127"/>
    <n v="960.4799999999999"/>
    <x v="127"/>
    <n v="-0.12557643340514638"/>
    <s v="C"/>
  </r>
  <r>
    <x v="128"/>
    <x v="118"/>
    <d v="2024-06-13T00:00:00"/>
    <x v="122"/>
    <x v="2"/>
    <x v="10"/>
    <s v="San Francisco"/>
    <s v="Small Business"/>
    <x v="0"/>
    <x v="9"/>
    <x v="3"/>
    <x v="128"/>
    <n v="157.78"/>
    <n v="361.1"/>
    <n v="0.187"/>
    <x v="37"/>
    <n v="9"/>
    <x v="16"/>
    <n v="361.1"/>
    <x v="128"/>
    <n v="1420.02"/>
    <x v="128"/>
    <n v="0.46255513510549112"/>
    <s v="C"/>
  </r>
  <r>
    <x v="129"/>
    <x v="119"/>
    <d v="2023-01-30T00:00:00"/>
    <x v="123"/>
    <x v="2"/>
    <x v="10"/>
    <s v="San Francisco"/>
    <s v="Small Business"/>
    <x v="1"/>
    <x v="8"/>
    <x v="2"/>
    <x v="129"/>
    <n v="413.52"/>
    <n v="1004.34"/>
    <n v="0.111"/>
    <x v="94"/>
    <n v="18"/>
    <x v="11"/>
    <n v="1004.34"/>
    <x v="129"/>
    <n v="7443.36"/>
    <x v="129"/>
    <n v="0.53685817948304593"/>
    <s v="C"/>
  </r>
  <r>
    <x v="130"/>
    <x v="120"/>
    <d v="2025-02-28T00:00:00"/>
    <x v="124"/>
    <x v="2"/>
    <x v="5"/>
    <s v="São Paulo"/>
    <s v="Non-Profit"/>
    <x v="4"/>
    <x v="5"/>
    <x v="5"/>
    <x v="130"/>
    <n v="414.95"/>
    <n v="1027.73"/>
    <n v="6.3E-2"/>
    <x v="95"/>
    <n v="8"/>
    <x v="12"/>
    <n v="1027.73"/>
    <x v="130"/>
    <n v="3319.6"/>
    <x v="130"/>
    <n v="0.56909935513815568"/>
    <s v="C"/>
  </r>
  <r>
    <x v="131"/>
    <x v="121"/>
    <d v="2025-03-24T00:00:00"/>
    <x v="125"/>
    <x v="0"/>
    <x v="1"/>
    <s v="Abuja"/>
    <s v="Enterprise"/>
    <x v="4"/>
    <x v="10"/>
    <x v="6"/>
    <x v="131"/>
    <n v="555.95000000000005"/>
    <n v="468.09"/>
    <n v="0.14199999999999999"/>
    <x v="56"/>
    <n v="11"/>
    <x v="28"/>
    <n v="468.09"/>
    <x v="131"/>
    <n v="6115.4500000000007"/>
    <x v="131"/>
    <n v="-0.38426450674095375"/>
    <s v="C"/>
  </r>
  <r>
    <x v="132"/>
    <x v="122"/>
    <d v="2023-01-31T00:00:00"/>
    <x v="126"/>
    <x v="3"/>
    <x v="8"/>
    <s v="Manchester"/>
    <s v="Enterprise"/>
    <x v="1"/>
    <x v="13"/>
    <x v="4"/>
    <x v="132"/>
    <n v="941.2"/>
    <n v="668.02"/>
    <n v="0.22"/>
    <x v="96"/>
    <n v="16"/>
    <x v="3"/>
    <n v="668.02"/>
    <x v="132"/>
    <n v="15059.2"/>
    <x v="132"/>
    <n v="-0.80633314371825193"/>
    <s v="C"/>
  </r>
  <r>
    <x v="133"/>
    <x v="123"/>
    <d v="2025-01-15T00:00:00"/>
    <x v="30"/>
    <x v="1"/>
    <x v="9"/>
    <s v="Beijing"/>
    <s v="Education"/>
    <x v="1"/>
    <x v="0"/>
    <x v="3"/>
    <x v="133"/>
    <n v="304.77999999999997"/>
    <n v="537.27"/>
    <n v="0.187"/>
    <x v="37"/>
    <n v="8"/>
    <x v="30"/>
    <n v="537.27"/>
    <x v="133"/>
    <n v="2438.2399999999998"/>
    <x v="133"/>
    <n v="0.3022444044307549"/>
    <s v="C"/>
  </r>
  <r>
    <x v="134"/>
    <x v="124"/>
    <d v="2024-12-26T00:00:00"/>
    <x v="127"/>
    <x v="2"/>
    <x v="10"/>
    <s v="San Francisco"/>
    <s v="Consumer"/>
    <x v="2"/>
    <x v="12"/>
    <x v="1"/>
    <x v="134"/>
    <n v="699.57"/>
    <n v="572.71"/>
    <n v="0.192"/>
    <x v="97"/>
    <n v="26"/>
    <x v="15"/>
    <n v="572.71"/>
    <x v="134"/>
    <n v="18188.82"/>
    <x v="134"/>
    <n v="-0.51176765805651114"/>
    <s v="C"/>
  </r>
  <r>
    <x v="135"/>
    <x v="125"/>
    <d v="2023-04-17T00:00:00"/>
    <x v="128"/>
    <x v="3"/>
    <x v="7"/>
    <s v="Lyon"/>
    <s v="Enterprise"/>
    <x v="4"/>
    <x v="6"/>
    <x v="5"/>
    <x v="135"/>
    <n v="1087.81"/>
    <n v="2323.87"/>
    <n v="9.4E-2"/>
    <x v="12"/>
    <n v="13"/>
    <x v="15"/>
    <n v="2323.87"/>
    <x v="135"/>
    <n v="14141.529999999999"/>
    <x v="135"/>
    <n v="0.48333026839572651"/>
    <s v="C"/>
  </r>
  <r>
    <x v="136"/>
    <x v="126"/>
    <d v="2025-01-12T00:00:00"/>
    <x v="129"/>
    <x v="1"/>
    <x v="9"/>
    <s v="Shenzhen"/>
    <s v="Education"/>
    <x v="1"/>
    <x v="1"/>
    <x v="0"/>
    <x v="136"/>
    <n v="1412.15"/>
    <n v="1631.04"/>
    <n v="8.9999999999999993E-3"/>
    <x v="98"/>
    <n v="6"/>
    <x v="10"/>
    <n v="1631.04"/>
    <x v="136"/>
    <n v="8472.9000000000015"/>
    <x v="136"/>
    <n v="0.12633977526203535"/>
    <s v="C"/>
  </r>
  <r>
    <x v="137"/>
    <x v="50"/>
    <d v="2023-04-12T00:00:00"/>
    <x v="130"/>
    <x v="0"/>
    <x v="0"/>
    <s v="Mombasa"/>
    <s v="Small Business"/>
    <x v="1"/>
    <x v="0"/>
    <x v="3"/>
    <x v="137"/>
    <n v="304.22000000000003"/>
    <n v="393.31"/>
    <n v="0.26500000000000001"/>
    <x v="99"/>
    <n v="15"/>
    <x v="7"/>
    <n v="393.31"/>
    <x v="137"/>
    <n v="4563.3"/>
    <x v="137"/>
    <n v="-5.2362670424759034E-2"/>
    <s v="C"/>
  </r>
  <r>
    <x v="138"/>
    <x v="127"/>
    <d v="2024-12-15T00:00:00"/>
    <x v="131"/>
    <x v="3"/>
    <x v="7"/>
    <s v="Paris"/>
    <s v="Corporate"/>
    <x v="1"/>
    <x v="3"/>
    <x v="1"/>
    <x v="138"/>
    <n v="1203.58"/>
    <n v="1856.16"/>
    <n v="0.129"/>
    <x v="31"/>
    <n v="22"/>
    <x v="2"/>
    <n v="1856.16"/>
    <x v="138"/>
    <n v="26478.76"/>
    <x v="138"/>
    <n v="0.25553994860295032"/>
    <s v="C"/>
  </r>
  <r>
    <x v="139"/>
    <x v="128"/>
    <d v="2024-02-14T00:00:00"/>
    <x v="132"/>
    <x v="1"/>
    <x v="9"/>
    <s v="Beijing"/>
    <s v="Corporate"/>
    <x v="3"/>
    <x v="4"/>
    <x v="6"/>
    <x v="139"/>
    <n v="65.930000000000007"/>
    <n v="84.9"/>
    <n v="0.25900000000000001"/>
    <x v="100"/>
    <n v="23"/>
    <x v="18"/>
    <n v="84.9"/>
    <x v="139"/>
    <n v="1516.39"/>
    <x v="139"/>
    <n v="-4.7990093926489688E-2"/>
    <s v="C"/>
  </r>
  <r>
    <x v="140"/>
    <x v="129"/>
    <d v="2023-05-18T00:00:00"/>
    <x v="133"/>
    <x v="1"/>
    <x v="4"/>
    <s v="Delhi"/>
    <s v="Small Business"/>
    <x v="2"/>
    <x v="11"/>
    <x v="5"/>
    <x v="140"/>
    <n v="1463.92"/>
    <n v="2252.2399999999998"/>
    <n v="0.11799999999999999"/>
    <x v="84"/>
    <n v="44"/>
    <x v="12"/>
    <n v="2252.2399999999998"/>
    <x v="140"/>
    <n v="64412.480000000003"/>
    <x v="140"/>
    <n v="0.26305667130040061"/>
    <s v="C"/>
  </r>
  <r>
    <x v="141"/>
    <x v="130"/>
    <d v="2025-01-11T00:00:00"/>
    <x v="134"/>
    <x v="3"/>
    <x v="6"/>
    <s v="Berlin"/>
    <s v="Education"/>
    <x v="0"/>
    <x v="11"/>
    <x v="3"/>
    <x v="141"/>
    <n v="501.81"/>
    <n v="921.62"/>
    <n v="0.01"/>
    <x v="19"/>
    <n v="9"/>
    <x v="6"/>
    <n v="921.62"/>
    <x v="141"/>
    <n v="4516.29"/>
    <x v="141"/>
    <n v="0.45001325071202031"/>
    <s v="C"/>
  </r>
  <r>
    <x v="142"/>
    <x v="131"/>
    <d v="2023-08-25T00:00:00"/>
    <x v="135"/>
    <x v="2"/>
    <x v="10"/>
    <s v="New York"/>
    <s v="Consumer"/>
    <x v="0"/>
    <x v="12"/>
    <x v="6"/>
    <x v="142"/>
    <n v="1261.48"/>
    <n v="1643.18"/>
    <n v="0.151"/>
    <x v="101"/>
    <n v="23"/>
    <x v="17"/>
    <n v="1643.18"/>
    <x v="142"/>
    <n v="29014.04"/>
    <x v="142"/>
    <n v="9.5752037357079045E-2"/>
    <s v="C"/>
  </r>
  <r>
    <x v="143"/>
    <x v="132"/>
    <d v="2024-07-06T00:00:00"/>
    <x v="136"/>
    <x v="2"/>
    <x v="3"/>
    <s v="Toronto"/>
    <s v="Enterprise"/>
    <x v="3"/>
    <x v="4"/>
    <x v="1"/>
    <x v="143"/>
    <n v="817.23"/>
    <n v="1467.17"/>
    <n v="0.245"/>
    <x v="102"/>
    <n v="9"/>
    <x v="28"/>
    <n v="1467.17"/>
    <x v="143"/>
    <n v="7355.07"/>
    <x v="143"/>
    <n v="0.26223693160328893"/>
    <s v="C"/>
  </r>
  <r>
    <x v="144"/>
    <x v="133"/>
    <d v="2023-07-14T00:00:00"/>
    <x v="137"/>
    <x v="2"/>
    <x v="5"/>
    <s v="Brasília"/>
    <s v="Enterprise"/>
    <x v="4"/>
    <x v="5"/>
    <x v="2"/>
    <x v="144"/>
    <n v="578.85"/>
    <n v="998.76"/>
    <n v="8.2000000000000003E-2"/>
    <x v="103"/>
    <n v="28"/>
    <x v="26"/>
    <n v="998.76"/>
    <x v="144"/>
    <n v="16207.800000000001"/>
    <x v="144"/>
    <n v="0.36866158480960831"/>
    <s v="C"/>
  </r>
  <r>
    <x v="145"/>
    <x v="134"/>
    <d v="2023-11-29T00:00:00"/>
    <x v="138"/>
    <x v="0"/>
    <x v="11"/>
    <s v="Durban"/>
    <s v="Small Business"/>
    <x v="2"/>
    <x v="6"/>
    <x v="4"/>
    <x v="145"/>
    <n v="275.56"/>
    <n v="630.72"/>
    <n v="0.107"/>
    <x v="104"/>
    <n v="23"/>
    <x v="1"/>
    <n v="630.72"/>
    <x v="145"/>
    <n v="6337.88"/>
    <x v="145"/>
    <n v="0.5107530638831933"/>
    <s v="C"/>
  </r>
  <r>
    <x v="146"/>
    <x v="135"/>
    <d v="2025-09-28T00:00:00"/>
    <x v="139"/>
    <x v="0"/>
    <x v="0"/>
    <s v="Nairobi"/>
    <s v="Non-Profit"/>
    <x v="3"/>
    <x v="1"/>
    <x v="4"/>
    <x v="146"/>
    <n v="891.46"/>
    <n v="728.61"/>
    <n v="0.185"/>
    <x v="57"/>
    <n v="6"/>
    <x v="13"/>
    <n v="728.61"/>
    <x v="146"/>
    <n v="5348.76"/>
    <x v="146"/>
    <n v="-0.50123653383874167"/>
    <s v="C"/>
  </r>
  <r>
    <x v="147"/>
    <x v="136"/>
    <d v="2024-04-24T00:00:00"/>
    <x v="140"/>
    <x v="3"/>
    <x v="6"/>
    <s v="Frankfurt"/>
    <s v="Non-Profit"/>
    <x v="4"/>
    <x v="7"/>
    <x v="6"/>
    <x v="147"/>
    <n v="683.42"/>
    <n v="951.51"/>
    <n v="0"/>
    <x v="5"/>
    <n v="14"/>
    <x v="8"/>
    <n v="951.51"/>
    <x v="147"/>
    <n v="9567.8799999999992"/>
    <x v="147"/>
    <n v="0.28175216235247136"/>
    <s v="C"/>
  </r>
  <r>
    <x v="148"/>
    <x v="137"/>
    <d v="2023-09-16T00:00:00"/>
    <x v="141"/>
    <x v="3"/>
    <x v="7"/>
    <s v="Lyon"/>
    <s v="Non-Profit"/>
    <x v="4"/>
    <x v="5"/>
    <x v="1"/>
    <x v="148"/>
    <n v="376.83"/>
    <n v="732.88"/>
    <n v="0.188"/>
    <x v="69"/>
    <n v="25"/>
    <x v="24"/>
    <n v="732.88"/>
    <x v="148"/>
    <n v="9420.75"/>
    <x v="148"/>
    <n v="0.36677716040852132"/>
    <s v="C"/>
  </r>
  <r>
    <x v="149"/>
    <x v="138"/>
    <d v="2024-10-18T00:00:00"/>
    <x v="142"/>
    <x v="2"/>
    <x v="3"/>
    <s v="Vancouver"/>
    <s v="Small Business"/>
    <x v="1"/>
    <x v="13"/>
    <x v="3"/>
    <x v="149"/>
    <n v="1297"/>
    <n v="2411.52"/>
    <n v="2.1000000000000001E-2"/>
    <x v="105"/>
    <n v="18"/>
    <x v="2"/>
    <n v="2411.52"/>
    <x v="149"/>
    <n v="23346"/>
    <x v="149"/>
    <n v="0.45062813239385913"/>
    <s v="C"/>
  </r>
  <r>
    <x v="150"/>
    <x v="139"/>
    <d v="2025-05-16T00:00:00"/>
    <x v="143"/>
    <x v="2"/>
    <x v="3"/>
    <s v="Montreal"/>
    <s v="Enterprise"/>
    <x v="3"/>
    <x v="11"/>
    <x v="1"/>
    <x v="150"/>
    <n v="763.32"/>
    <n v="568.29"/>
    <n v="0.13100000000000001"/>
    <x v="2"/>
    <n v="16"/>
    <x v="17"/>
    <n v="568.29"/>
    <x v="150"/>
    <n v="12213.12"/>
    <x v="150"/>
    <n v="-0.54567026134426555"/>
    <s v="C"/>
  </r>
  <r>
    <x v="151"/>
    <x v="140"/>
    <d v="2023-07-23T00:00:00"/>
    <x v="144"/>
    <x v="0"/>
    <x v="11"/>
    <s v="Johannesburg"/>
    <s v="Small Business"/>
    <x v="3"/>
    <x v="9"/>
    <x v="4"/>
    <x v="151"/>
    <n v="1001.96"/>
    <n v="1254.95"/>
    <n v="4.4999999999999998E-2"/>
    <x v="106"/>
    <n v="18"/>
    <x v="8"/>
    <n v="1254.95"/>
    <x v="151"/>
    <n v="18035.28"/>
    <x v="151"/>
    <n v="0.16397244920585699"/>
    <s v="C"/>
  </r>
  <r>
    <x v="152"/>
    <x v="141"/>
    <d v="2023-12-05T00:00:00"/>
    <x v="145"/>
    <x v="1"/>
    <x v="2"/>
    <s v="Tokyo"/>
    <s v="Non-Profit"/>
    <x v="2"/>
    <x v="10"/>
    <x v="1"/>
    <x v="152"/>
    <n v="1097.5899999999999"/>
    <n v="845.55"/>
    <n v="0.184"/>
    <x v="50"/>
    <n v="6"/>
    <x v="1"/>
    <n v="845.55"/>
    <x v="152"/>
    <n v="6585.5399999999991"/>
    <x v="152"/>
    <n v="-0.59078207594314402"/>
    <s v="C"/>
  </r>
  <r>
    <x v="153"/>
    <x v="142"/>
    <d v="2024-03-04T00:00:00"/>
    <x v="146"/>
    <x v="0"/>
    <x v="0"/>
    <s v="Kisumu"/>
    <s v="Education"/>
    <x v="4"/>
    <x v="11"/>
    <x v="1"/>
    <x v="153"/>
    <n v="928.68"/>
    <n v="2145.17"/>
    <n v="0.13600000000000001"/>
    <x v="29"/>
    <n v="16"/>
    <x v="14"/>
    <n v="2145.17"/>
    <x v="153"/>
    <n v="14858.88"/>
    <x v="153"/>
    <n v="0.49893896003062177"/>
    <s v="C"/>
  </r>
  <r>
    <x v="154"/>
    <x v="143"/>
    <d v="2023-11-02T00:00:00"/>
    <x v="147"/>
    <x v="0"/>
    <x v="0"/>
    <s v="Kisumu"/>
    <s v="Education"/>
    <x v="0"/>
    <x v="7"/>
    <x v="6"/>
    <x v="154"/>
    <n v="867.89"/>
    <n v="1349.94"/>
    <n v="0.184"/>
    <x v="50"/>
    <n v="10"/>
    <x v="24"/>
    <n v="1349.94"/>
    <x v="154"/>
    <n v="8678.9"/>
    <x v="154"/>
    <n v="0.21212003031652557"/>
    <s v="C"/>
  </r>
  <r>
    <x v="155"/>
    <x v="144"/>
    <d v="2024-08-17T00:00:00"/>
    <x v="148"/>
    <x v="1"/>
    <x v="2"/>
    <s v="Osaka"/>
    <s v="Consumer"/>
    <x v="1"/>
    <x v="11"/>
    <x v="2"/>
    <x v="155"/>
    <n v="436.58"/>
    <n v="527.48"/>
    <n v="0.111"/>
    <x v="94"/>
    <n v="19"/>
    <x v="23"/>
    <n v="527.48"/>
    <x v="155"/>
    <n v="8295.02"/>
    <x v="155"/>
    <n v="6.8986286473802644E-2"/>
    <s v="C"/>
  </r>
  <r>
    <x v="156"/>
    <x v="145"/>
    <d v="2024-02-21T00:00:00"/>
    <x v="149"/>
    <x v="3"/>
    <x v="7"/>
    <s v="Paris"/>
    <s v="Small Business"/>
    <x v="2"/>
    <x v="8"/>
    <x v="2"/>
    <x v="156"/>
    <n v="656.2"/>
    <n v="1467.17"/>
    <n v="1.7999999999999999E-2"/>
    <x v="107"/>
    <n v="5"/>
    <x v="8"/>
    <n v="1467.17"/>
    <x v="156"/>
    <n v="3281"/>
    <x v="156"/>
    <n v="0.54454623124360946"/>
    <s v="C"/>
  </r>
  <r>
    <x v="157"/>
    <x v="38"/>
    <d v="2024-09-18T00:00:00"/>
    <x v="150"/>
    <x v="1"/>
    <x v="4"/>
    <s v="Delhi"/>
    <s v="Consumer"/>
    <x v="4"/>
    <x v="5"/>
    <x v="0"/>
    <x v="157"/>
    <n v="896.75"/>
    <n v="1651.14"/>
    <n v="2.5000000000000001E-2"/>
    <x v="108"/>
    <n v="15"/>
    <x v="21"/>
    <n v="1651.14"/>
    <x v="157"/>
    <n v="13451.25"/>
    <x v="157"/>
    <n v="0.44296450346815552"/>
    <s v="C"/>
  </r>
  <r>
    <x v="158"/>
    <x v="146"/>
    <d v="2025-02-15T00:00:00"/>
    <x v="96"/>
    <x v="3"/>
    <x v="6"/>
    <s v="Frankfurt"/>
    <s v="Small Business"/>
    <x v="2"/>
    <x v="4"/>
    <x v="6"/>
    <x v="158"/>
    <n v="815.83"/>
    <n v="1982.18"/>
    <n v="0.127"/>
    <x v="109"/>
    <n v="6"/>
    <x v="18"/>
    <n v="1982.18"/>
    <x v="158"/>
    <n v="4894.9800000000005"/>
    <x v="158"/>
    <n v="0.52854272923408507"/>
    <s v="C"/>
  </r>
  <r>
    <x v="159"/>
    <x v="90"/>
    <d v="2025-08-21T00:00:00"/>
    <x v="151"/>
    <x v="1"/>
    <x v="9"/>
    <s v="Shanghai"/>
    <s v="Corporate"/>
    <x v="4"/>
    <x v="2"/>
    <x v="3"/>
    <x v="159"/>
    <n v="1220.4100000000001"/>
    <n v="2552.2199999999998"/>
    <n v="0.18099999999999999"/>
    <x v="110"/>
    <n v="14"/>
    <x v="8"/>
    <n v="2552.2199999999998"/>
    <x v="159"/>
    <n v="17085.740000000002"/>
    <x v="159"/>
    <n v="0.41614668793360271"/>
    <s v="C"/>
  </r>
  <r>
    <x v="160"/>
    <x v="147"/>
    <d v="2023-03-04T00:00:00"/>
    <x v="152"/>
    <x v="1"/>
    <x v="4"/>
    <s v="Delhi"/>
    <s v="Consumer"/>
    <x v="3"/>
    <x v="12"/>
    <x v="5"/>
    <x v="160"/>
    <n v="299.75"/>
    <n v="523.01"/>
    <n v="0.157"/>
    <x v="86"/>
    <n v="50"/>
    <x v="7"/>
    <n v="523.01"/>
    <x v="160"/>
    <n v="14987.5"/>
    <x v="160"/>
    <n v="0.32013665854210122"/>
    <s v="C"/>
  </r>
  <r>
    <x v="161"/>
    <x v="148"/>
    <d v="2024-11-24T00:00:00"/>
    <x v="153"/>
    <x v="1"/>
    <x v="9"/>
    <s v="Shenzhen"/>
    <s v="Small Business"/>
    <x v="1"/>
    <x v="6"/>
    <x v="0"/>
    <x v="161"/>
    <n v="811.05"/>
    <n v="1217.71"/>
    <n v="7.1999999999999995E-2"/>
    <x v="3"/>
    <n v="5"/>
    <x v="2"/>
    <n v="1217.71"/>
    <x v="161"/>
    <n v="4055.25"/>
    <x v="161"/>
    <n v="0.28227879125288602"/>
    <s v="C"/>
  </r>
  <r>
    <x v="162"/>
    <x v="149"/>
    <d v="2024-04-07T00:00:00"/>
    <x v="154"/>
    <x v="2"/>
    <x v="5"/>
    <s v="Brasília"/>
    <s v="Non-Profit"/>
    <x v="4"/>
    <x v="13"/>
    <x v="3"/>
    <x v="162"/>
    <n v="1023.27"/>
    <n v="1343.64"/>
    <n v="0.13300000000000001"/>
    <x v="111"/>
    <n v="7"/>
    <x v="3"/>
    <n v="1343.64"/>
    <x v="162"/>
    <n v="7162.8899999999994"/>
    <x v="162"/>
    <n v="0.12160830688810116"/>
    <s v="C"/>
  </r>
  <r>
    <x v="163"/>
    <x v="150"/>
    <d v="2023-03-26T00:00:00"/>
    <x v="155"/>
    <x v="1"/>
    <x v="2"/>
    <s v="Osaka"/>
    <s v="Small Business"/>
    <x v="3"/>
    <x v="2"/>
    <x v="5"/>
    <x v="163"/>
    <n v="135.12"/>
    <n v="301.7"/>
    <n v="0.14000000000000001"/>
    <x v="77"/>
    <n v="47"/>
    <x v="25"/>
    <n v="301.7"/>
    <x v="163"/>
    <n v="6350.64"/>
    <x v="163"/>
    <n v="0.47923009920527859"/>
    <s v="C"/>
  </r>
  <r>
    <x v="164"/>
    <x v="151"/>
    <d v="2024-06-16T00:00:00"/>
    <x v="156"/>
    <x v="1"/>
    <x v="9"/>
    <s v="Shanghai"/>
    <s v="Corporate"/>
    <x v="0"/>
    <x v="1"/>
    <x v="1"/>
    <x v="164"/>
    <n v="918.42"/>
    <n v="1511.71"/>
    <n v="0.02"/>
    <x v="112"/>
    <n v="8"/>
    <x v="7"/>
    <n v="1511.71"/>
    <x v="164"/>
    <n v="7347.36"/>
    <x v="164"/>
    <n v="0.38006412254590999"/>
    <s v="C"/>
  </r>
  <r>
    <x v="165"/>
    <x v="152"/>
    <d v="2023-03-12T00:00:00"/>
    <x v="157"/>
    <x v="3"/>
    <x v="6"/>
    <s v="Berlin"/>
    <s v="Small Business"/>
    <x v="4"/>
    <x v="4"/>
    <x v="5"/>
    <x v="165"/>
    <n v="1234.81"/>
    <n v="2055.2399999999998"/>
    <n v="5.2999999999999999E-2"/>
    <x v="113"/>
    <n v="44"/>
    <x v="28"/>
    <n v="2055.2399999999998"/>
    <x v="165"/>
    <n v="54331.64"/>
    <x v="165"/>
    <n v="0.36556429680441616"/>
    <s v="C"/>
  </r>
  <r>
    <x v="166"/>
    <x v="153"/>
    <d v="2023-05-18T00:00:00"/>
    <x v="133"/>
    <x v="1"/>
    <x v="9"/>
    <s v="Shenzhen"/>
    <s v="Non-Profit"/>
    <x v="0"/>
    <x v="10"/>
    <x v="4"/>
    <x v="166"/>
    <n v="329.03"/>
    <n v="391.15"/>
    <n v="0.19700000000000001"/>
    <x v="114"/>
    <n v="46"/>
    <x v="17"/>
    <n v="391.15"/>
    <x v="166"/>
    <n v="15135.38"/>
    <x v="166"/>
    <n v="-4.7554477815440081E-2"/>
    <s v="C"/>
  </r>
  <r>
    <x v="167"/>
    <x v="154"/>
    <d v="2024-06-14T00:00:00"/>
    <x v="158"/>
    <x v="3"/>
    <x v="7"/>
    <s v="Marseille"/>
    <s v="Small Business"/>
    <x v="1"/>
    <x v="13"/>
    <x v="5"/>
    <x v="167"/>
    <n v="1481.74"/>
    <n v="1848.97"/>
    <n v="0.254"/>
    <x v="115"/>
    <n v="9"/>
    <x v="21"/>
    <n v="1848.97"/>
    <x v="167"/>
    <n v="13335.66"/>
    <x v="167"/>
    <n v="-7.4244930309072407E-2"/>
    <s v="C"/>
  </r>
  <r>
    <x v="168"/>
    <x v="155"/>
    <d v="2023-10-23T00:00:00"/>
    <x v="159"/>
    <x v="1"/>
    <x v="4"/>
    <s v="Hyderabad"/>
    <s v="Consumer"/>
    <x v="0"/>
    <x v="3"/>
    <x v="5"/>
    <x v="168"/>
    <n v="906.81"/>
    <n v="1395.56"/>
    <n v="0.185"/>
    <x v="57"/>
    <n v="6"/>
    <x v="12"/>
    <n v="1395.56"/>
    <x v="168"/>
    <n v="5440.86"/>
    <x v="168"/>
    <n v="0.20272126834498974"/>
    <s v="C"/>
  </r>
  <r>
    <x v="169"/>
    <x v="156"/>
    <d v="2024-11-08T00:00:00"/>
    <x v="46"/>
    <x v="3"/>
    <x v="8"/>
    <s v="Manchester"/>
    <s v="Small Business"/>
    <x v="3"/>
    <x v="1"/>
    <x v="0"/>
    <x v="169"/>
    <n v="343.85"/>
    <n v="538.04"/>
    <n v="0.13900000000000001"/>
    <x v="23"/>
    <n v="5"/>
    <x v="17"/>
    <n v="538.04"/>
    <x v="169"/>
    <n v="1719.25"/>
    <x v="169"/>
    <n v="0.25774810813732563"/>
    <s v="C"/>
  </r>
  <r>
    <x v="170"/>
    <x v="157"/>
    <d v="2024-07-15T00:00:00"/>
    <x v="160"/>
    <x v="1"/>
    <x v="2"/>
    <s v="Tokyo"/>
    <s v="Small Business"/>
    <x v="2"/>
    <x v="3"/>
    <x v="6"/>
    <x v="170"/>
    <n v="801.77"/>
    <n v="1218.92"/>
    <n v="0.254"/>
    <x v="115"/>
    <n v="16"/>
    <x v="18"/>
    <n v="1218.92"/>
    <x v="170"/>
    <n v="12828.32"/>
    <x v="170"/>
    <n v="0.11826968698788344"/>
    <s v="C"/>
  </r>
  <r>
    <x v="171"/>
    <x v="158"/>
    <d v="2023-10-10T00:00:00"/>
    <x v="161"/>
    <x v="1"/>
    <x v="2"/>
    <s v="Tokyo"/>
    <s v="Education"/>
    <x v="1"/>
    <x v="14"/>
    <x v="0"/>
    <x v="171"/>
    <n v="845.63"/>
    <n v="2062.12"/>
    <n v="0.13400000000000001"/>
    <x v="60"/>
    <n v="5"/>
    <x v="6"/>
    <n v="2062.12"/>
    <x v="171"/>
    <n v="4228.1499999999996"/>
    <x v="171"/>
    <n v="0.52646884757133949"/>
    <s v="C"/>
  </r>
  <r>
    <x v="172"/>
    <x v="159"/>
    <d v="2023-03-09T00:00:00"/>
    <x v="162"/>
    <x v="2"/>
    <x v="10"/>
    <s v="New York"/>
    <s v="Enterprise"/>
    <x v="1"/>
    <x v="12"/>
    <x v="0"/>
    <x v="172"/>
    <n v="6.85"/>
    <n v="10.18"/>
    <n v="4.7E-2"/>
    <x v="58"/>
    <n v="10"/>
    <x v="19"/>
    <n v="10.18"/>
    <x v="172"/>
    <n v="68.5"/>
    <x v="172"/>
    <n v="0.2939265312517394"/>
    <s v="C"/>
  </r>
  <r>
    <x v="173"/>
    <x v="9"/>
    <d v="2025-05-19T00:00:00"/>
    <x v="19"/>
    <x v="0"/>
    <x v="11"/>
    <s v="Johannesburg"/>
    <s v="Non-Profit"/>
    <x v="3"/>
    <x v="7"/>
    <x v="4"/>
    <x v="173"/>
    <n v="1263.8399999999999"/>
    <n v="2281.7199999999998"/>
    <n v="7.8E-2"/>
    <x v="116"/>
    <n v="15"/>
    <x v="1"/>
    <n v="2281.7199999999998"/>
    <x v="173"/>
    <n v="18957.599999999999"/>
    <x v="173"/>
    <n v="0.39924301882398494"/>
    <s v="C"/>
  </r>
  <r>
    <x v="174"/>
    <x v="154"/>
    <d v="2024-06-03T00:00:00"/>
    <x v="163"/>
    <x v="0"/>
    <x v="11"/>
    <s v="Johannesburg"/>
    <s v="Small Business"/>
    <x v="3"/>
    <x v="9"/>
    <x v="1"/>
    <x v="174"/>
    <n v="180.89"/>
    <n v="249.57"/>
    <n v="2.1999999999999999E-2"/>
    <x v="117"/>
    <n v="8"/>
    <x v="22"/>
    <n v="249.57"/>
    <x v="174"/>
    <n v="1447.12"/>
    <x v="174"/>
    <n v="0.25888888806948362"/>
    <s v="C"/>
  </r>
  <r>
    <x v="175"/>
    <x v="160"/>
    <d v="2025-05-04T00:00:00"/>
    <x v="164"/>
    <x v="3"/>
    <x v="8"/>
    <s v="Birmingham"/>
    <s v="Enterprise"/>
    <x v="2"/>
    <x v="11"/>
    <x v="5"/>
    <x v="175"/>
    <n v="1413.87"/>
    <n v="3275"/>
    <n v="0.255"/>
    <x v="48"/>
    <n v="38"/>
    <x v="8"/>
    <n v="3275"/>
    <x v="175"/>
    <n v="53727.06"/>
    <x v="175"/>
    <n v="0.42051539525590453"/>
    <s v="C"/>
  </r>
  <r>
    <x v="176"/>
    <x v="161"/>
    <d v="2023-09-11T00:00:00"/>
    <x v="165"/>
    <x v="3"/>
    <x v="8"/>
    <s v="London"/>
    <s v="Consumer"/>
    <x v="2"/>
    <x v="13"/>
    <x v="1"/>
    <x v="176"/>
    <n v="943.79"/>
    <n v="1913.76"/>
    <n v="9.0999999999999998E-2"/>
    <x v="118"/>
    <n v="9"/>
    <x v="14"/>
    <n v="1913.76"/>
    <x v="176"/>
    <n v="8494.11"/>
    <x v="176"/>
    <n v="0.45746967891338081"/>
    <s v="C"/>
  </r>
  <r>
    <x v="177"/>
    <x v="162"/>
    <d v="2024-02-21T00:00:00"/>
    <x v="149"/>
    <x v="3"/>
    <x v="6"/>
    <s v="Frankfurt"/>
    <s v="Corporate"/>
    <x v="0"/>
    <x v="10"/>
    <x v="0"/>
    <x v="177"/>
    <n v="39.229999999999997"/>
    <n v="30.09"/>
    <n v="0.17699999999999999"/>
    <x v="119"/>
    <n v="13"/>
    <x v="5"/>
    <n v="30.09"/>
    <x v="177"/>
    <n v="509.98999999999995"/>
    <x v="177"/>
    <n v="-0.58414993981199359"/>
    <s v="C"/>
  </r>
  <r>
    <x v="178"/>
    <x v="163"/>
    <d v="2023-04-16T00:00:00"/>
    <x v="166"/>
    <x v="2"/>
    <x v="3"/>
    <s v="Vancouver"/>
    <s v="Non-Profit"/>
    <x v="1"/>
    <x v="7"/>
    <x v="5"/>
    <x v="178"/>
    <n v="213.1"/>
    <n v="501.31"/>
    <n v="5.6000000000000001E-2"/>
    <x v="120"/>
    <n v="15"/>
    <x v="22"/>
    <n v="501.31"/>
    <x v="178"/>
    <n v="3196.5"/>
    <x v="178"/>
    <n v="0.54969674368409005"/>
    <s v="C"/>
  </r>
  <r>
    <x v="179"/>
    <x v="164"/>
    <d v="2025-09-12T00:00:00"/>
    <x v="59"/>
    <x v="1"/>
    <x v="9"/>
    <s v="Shenzhen"/>
    <s v="Education"/>
    <x v="0"/>
    <x v="5"/>
    <x v="1"/>
    <x v="179"/>
    <n v="352.66"/>
    <n v="411.18"/>
    <n v="0.17299999999999999"/>
    <x v="121"/>
    <n v="13"/>
    <x v="21"/>
    <n v="411.18"/>
    <x v="179"/>
    <n v="4584.58"/>
    <x v="179"/>
    <n v="-3.7095408248758066E-2"/>
    <s v="C"/>
  </r>
  <r>
    <x v="180"/>
    <x v="165"/>
    <d v="2025-09-18T00:00:00"/>
    <x v="167"/>
    <x v="2"/>
    <x v="5"/>
    <s v="Rio de Janeiro"/>
    <s v="Non-Profit"/>
    <x v="4"/>
    <x v="4"/>
    <x v="6"/>
    <x v="180"/>
    <n v="5.5"/>
    <n v="5.92"/>
    <n v="0.21199999999999999"/>
    <x v="122"/>
    <n v="4"/>
    <x v="4"/>
    <n v="5.92"/>
    <x v="180"/>
    <n v="22"/>
    <x v="180"/>
    <n v="-0.17900260666758133"/>
    <s v="C"/>
  </r>
  <r>
    <x v="181"/>
    <x v="166"/>
    <d v="2024-10-11T00:00:00"/>
    <x v="168"/>
    <x v="1"/>
    <x v="9"/>
    <s v="Beijing"/>
    <s v="Enterprise"/>
    <x v="4"/>
    <x v="5"/>
    <x v="3"/>
    <x v="181"/>
    <n v="1132.6099999999999"/>
    <n v="2206.63"/>
    <n v="6.3E-2"/>
    <x v="95"/>
    <n v="20"/>
    <x v="11"/>
    <n v="2206.63"/>
    <x v="181"/>
    <n v="22652.199999999997"/>
    <x v="181"/>
    <n v="0.45221355351671338"/>
    <s v="C"/>
  </r>
  <r>
    <x v="182"/>
    <x v="167"/>
    <d v="2025-03-04T00:00:00"/>
    <x v="169"/>
    <x v="1"/>
    <x v="2"/>
    <s v="Osaka"/>
    <s v="Education"/>
    <x v="3"/>
    <x v="4"/>
    <x v="6"/>
    <x v="182"/>
    <n v="766.59"/>
    <n v="1912.8"/>
    <n v="0.19600000000000001"/>
    <x v="123"/>
    <n v="5"/>
    <x v="17"/>
    <n v="1912.8"/>
    <x v="182"/>
    <n v="3832.9500000000003"/>
    <x v="182"/>
    <n v="0.50153170783472845"/>
    <s v="C"/>
  </r>
  <r>
    <x v="183"/>
    <x v="66"/>
    <d v="2023-08-23T00:00:00"/>
    <x v="170"/>
    <x v="0"/>
    <x v="1"/>
    <s v="Abuja"/>
    <s v="Small Business"/>
    <x v="1"/>
    <x v="1"/>
    <x v="5"/>
    <x v="183"/>
    <n v="790.63"/>
    <n v="1382.31"/>
    <n v="0.10100000000000001"/>
    <x v="27"/>
    <n v="7"/>
    <x v="3"/>
    <n v="1382.31"/>
    <x v="183"/>
    <n v="5534.41"/>
    <x v="183"/>
    <n v="0.36377878338116448"/>
    <s v="C"/>
  </r>
  <r>
    <x v="184"/>
    <x v="168"/>
    <d v="2024-10-29T00:00:00"/>
    <x v="171"/>
    <x v="0"/>
    <x v="1"/>
    <s v="Port Harcourt"/>
    <s v="Enterprise"/>
    <x v="3"/>
    <x v="12"/>
    <x v="5"/>
    <x v="184"/>
    <n v="1023.06"/>
    <n v="1355.61"/>
    <n v="0.153"/>
    <x v="124"/>
    <n v="23"/>
    <x v="1"/>
    <n v="1355.61"/>
    <x v="184"/>
    <n v="23530.379999999997"/>
    <x v="184"/>
    <n v="0.10898927711888809"/>
    <s v="C"/>
  </r>
  <r>
    <x v="185"/>
    <x v="169"/>
    <d v="2023-07-21T00:00:00"/>
    <x v="172"/>
    <x v="3"/>
    <x v="7"/>
    <s v="Lyon"/>
    <s v="Corporate"/>
    <x v="0"/>
    <x v="1"/>
    <x v="6"/>
    <x v="185"/>
    <n v="734.34"/>
    <n v="887.9"/>
    <n v="2.5000000000000001E-2"/>
    <x v="108"/>
    <n v="12"/>
    <x v="10"/>
    <n v="887.9"/>
    <x v="185"/>
    <n v="8812.08"/>
    <x v="185"/>
    <n v="0.15174092716608753"/>
    <s v="C"/>
  </r>
  <r>
    <x v="186"/>
    <x v="170"/>
    <d v="2025-02-08T00:00:00"/>
    <x v="173"/>
    <x v="3"/>
    <x v="7"/>
    <s v="Paris"/>
    <s v="Non-Profit"/>
    <x v="5"/>
    <x v="6"/>
    <x v="5"/>
    <x v="186"/>
    <n v="594.74"/>
    <n v="1020.69"/>
    <n v="0.21099999999999999"/>
    <x v="125"/>
    <n v="6"/>
    <x v="0"/>
    <n v="1020.69"/>
    <x v="186"/>
    <n v="3568.44"/>
    <x v="186"/>
    <n v="0.26149016146176424"/>
    <s v="C"/>
  </r>
  <r>
    <x v="129"/>
    <x v="171"/>
    <d v="2023-02-28T00:00:00"/>
    <x v="174"/>
    <x v="1"/>
    <x v="4"/>
    <s v="Bengaluru"/>
    <s v="Non-Profit"/>
    <x v="0"/>
    <x v="5"/>
    <x v="6"/>
    <x v="187"/>
    <n v="1262.0999999999999"/>
    <n v="1395.53"/>
    <n v="0.23300000000000001"/>
    <x v="126"/>
    <n v="25"/>
    <x v="17"/>
    <n v="1395.53"/>
    <x v="187"/>
    <n v="31552.499999999996"/>
    <x v="187"/>
    <n v="-0.17912331205452198"/>
    <s v="C"/>
  </r>
  <r>
    <x v="187"/>
    <x v="172"/>
    <d v="2023-07-31T00:00:00"/>
    <x v="175"/>
    <x v="2"/>
    <x v="5"/>
    <s v="Rio de Janeiro"/>
    <s v="Corporate"/>
    <x v="0"/>
    <x v="0"/>
    <x v="5"/>
    <x v="188"/>
    <n v="1334.64"/>
    <n v="2273.42"/>
    <n v="0.11799999999999999"/>
    <x v="84"/>
    <n v="14"/>
    <x v="7"/>
    <n v="2273.42"/>
    <x v="188"/>
    <n v="18684.960000000003"/>
    <x v="188"/>
    <n v="0.33439607335575267"/>
    <s v="C"/>
  </r>
  <r>
    <x v="188"/>
    <x v="173"/>
    <d v="2024-06-08T00:00:00"/>
    <x v="104"/>
    <x v="2"/>
    <x v="5"/>
    <s v="Brasília"/>
    <s v="Small Business"/>
    <x v="0"/>
    <x v="6"/>
    <x v="5"/>
    <x v="189"/>
    <n v="1075.9000000000001"/>
    <n v="1242.1500000000001"/>
    <n v="1.2E-2"/>
    <x v="83"/>
    <n v="7"/>
    <x v="8"/>
    <n v="1242.1500000000001"/>
    <x v="189"/>
    <n v="7531.3000000000011"/>
    <x v="189"/>
    <n v="0.12332036280961853"/>
    <s v="C"/>
  </r>
  <r>
    <x v="189"/>
    <x v="162"/>
    <d v="2024-02-19T00:00:00"/>
    <x v="176"/>
    <x v="1"/>
    <x v="9"/>
    <s v="Shenzhen"/>
    <s v="Small Business"/>
    <x v="1"/>
    <x v="10"/>
    <x v="4"/>
    <x v="190"/>
    <n v="993.75"/>
    <n v="1310.29"/>
    <n v="0.215"/>
    <x v="65"/>
    <n v="19"/>
    <x v="12"/>
    <n v="1310.29"/>
    <x v="190"/>
    <n v="18881.25"/>
    <x v="190"/>
    <n v="3.3860010471742245E-2"/>
    <s v="C"/>
  </r>
  <r>
    <x v="190"/>
    <x v="174"/>
    <d v="2023-08-22T00:00:00"/>
    <x v="177"/>
    <x v="3"/>
    <x v="8"/>
    <s v="Birmingham"/>
    <s v="Non-Profit"/>
    <x v="4"/>
    <x v="13"/>
    <x v="5"/>
    <x v="191"/>
    <n v="446.69"/>
    <n v="967.25"/>
    <n v="9.4E-2"/>
    <x v="12"/>
    <n v="10"/>
    <x v="16"/>
    <n v="967.25"/>
    <x v="191"/>
    <n v="4466.8999999999996"/>
    <x v="191"/>
    <n v="0.49027105702941309"/>
    <s v="C"/>
  </r>
  <r>
    <x v="191"/>
    <x v="175"/>
    <d v="2024-09-03T00:00:00"/>
    <x v="178"/>
    <x v="2"/>
    <x v="10"/>
    <s v="Austin"/>
    <s v="Consumer"/>
    <x v="3"/>
    <x v="2"/>
    <x v="4"/>
    <x v="192"/>
    <n v="797.8"/>
    <n v="886.22"/>
    <n v="0.23599999999999999"/>
    <x v="127"/>
    <n v="36"/>
    <x v="21"/>
    <n v="886.22"/>
    <x v="192"/>
    <n v="28720.799999999999"/>
    <x v="192"/>
    <n v="-0.17830881462428633"/>
    <s v="C"/>
  </r>
  <r>
    <x v="192"/>
    <x v="176"/>
    <d v="2023-11-13T00:00:00"/>
    <x v="179"/>
    <x v="1"/>
    <x v="9"/>
    <s v="Shenzhen"/>
    <s v="Non-Profit"/>
    <x v="3"/>
    <x v="1"/>
    <x v="1"/>
    <x v="193"/>
    <n v="986.44"/>
    <n v="790.61"/>
    <n v="7.1999999999999995E-2"/>
    <x v="3"/>
    <n v="6"/>
    <x v="10"/>
    <n v="790.61"/>
    <x v="193"/>
    <n v="5918.64"/>
    <x v="193"/>
    <n v="-0.34449872621271499"/>
    <s v="C"/>
  </r>
  <r>
    <x v="193"/>
    <x v="177"/>
    <d v="2023-05-26T00:00:00"/>
    <x v="180"/>
    <x v="2"/>
    <x v="10"/>
    <s v="San Francisco"/>
    <s v="Enterprise"/>
    <x v="1"/>
    <x v="1"/>
    <x v="2"/>
    <x v="194"/>
    <n v="249.71"/>
    <n v="361.33"/>
    <n v="9.4E-2"/>
    <x v="12"/>
    <n v="12"/>
    <x v="21"/>
    <n v="361.33"/>
    <x v="194"/>
    <n v="2996.52"/>
    <x v="194"/>
    <n v="0.23721223937881206"/>
    <s v="C"/>
  </r>
  <r>
    <x v="194"/>
    <x v="178"/>
    <d v="2024-10-01T00:00:00"/>
    <x v="181"/>
    <x v="2"/>
    <x v="5"/>
    <s v="São Paulo"/>
    <s v="Non-Profit"/>
    <x v="1"/>
    <x v="11"/>
    <x v="5"/>
    <x v="195"/>
    <n v="1378.8"/>
    <n v="1952.04"/>
    <n v="0.159"/>
    <x v="128"/>
    <n v="19"/>
    <x v="26"/>
    <n v="1952.04"/>
    <x v="195"/>
    <n v="26197.200000000001"/>
    <x v="195"/>
    <n v="0.16012130216723058"/>
    <s v="C"/>
  </r>
  <r>
    <x v="195"/>
    <x v="1"/>
    <d v="2024-11-14T00:00:00"/>
    <x v="41"/>
    <x v="1"/>
    <x v="2"/>
    <s v="Osaka"/>
    <s v="Non-Profit"/>
    <x v="4"/>
    <x v="5"/>
    <x v="3"/>
    <x v="196"/>
    <n v="1406.4"/>
    <n v="1564.76"/>
    <n v="0.185"/>
    <x v="57"/>
    <n v="17"/>
    <x v="21"/>
    <n v="1564.76"/>
    <x v="196"/>
    <n v="23908.800000000003"/>
    <x v="196"/>
    <n v="-0.10281715520536151"/>
    <s v="C"/>
  </r>
  <r>
    <x v="196"/>
    <x v="179"/>
    <d v="2024-03-03T00:00:00"/>
    <x v="182"/>
    <x v="0"/>
    <x v="0"/>
    <s v="Kisumu"/>
    <s v="Enterprise"/>
    <x v="1"/>
    <x v="5"/>
    <x v="3"/>
    <x v="197"/>
    <n v="516.86"/>
    <n v="852.54"/>
    <n v="5.0999999999999997E-2"/>
    <x v="129"/>
    <n v="14"/>
    <x v="28"/>
    <n v="852.54"/>
    <x v="197"/>
    <n v="7236.04"/>
    <x v="197"/>
    <n v="0.36116022775355994"/>
    <s v="C"/>
  </r>
  <r>
    <x v="197"/>
    <x v="180"/>
    <d v="2023-02-21T00:00:00"/>
    <x v="183"/>
    <x v="3"/>
    <x v="6"/>
    <s v="Munich"/>
    <s v="Small Business"/>
    <x v="2"/>
    <x v="3"/>
    <x v="2"/>
    <x v="198"/>
    <n v="1142.8800000000001"/>
    <n v="1465.29"/>
    <n v="0.186"/>
    <x v="62"/>
    <n v="7"/>
    <x v="21"/>
    <n v="1465.29"/>
    <x v="198"/>
    <n v="8000.1600000000008"/>
    <x v="198"/>
    <n v="4.1807775915017401E-2"/>
    <s v="C"/>
  </r>
  <r>
    <x v="198"/>
    <x v="27"/>
    <d v="2023-05-13T00:00:00"/>
    <x v="184"/>
    <x v="3"/>
    <x v="6"/>
    <s v="Frankfurt"/>
    <s v="Consumer"/>
    <x v="4"/>
    <x v="1"/>
    <x v="1"/>
    <x v="199"/>
    <n v="1320.33"/>
    <n v="2645.23"/>
    <n v="0.155"/>
    <x v="130"/>
    <n v="25"/>
    <x v="10"/>
    <n v="2645.23"/>
    <x v="199"/>
    <n v="33008.25"/>
    <x v="199"/>
    <n v="0.40930629470436536"/>
    <s v="C"/>
  </r>
  <r>
    <x v="199"/>
    <x v="181"/>
    <d v="2023-01-19T00:00:00"/>
    <x v="185"/>
    <x v="2"/>
    <x v="10"/>
    <s v="Chicago"/>
    <s v="Corporate"/>
    <x v="4"/>
    <x v="10"/>
    <x v="3"/>
    <x v="200"/>
    <n v="833.57"/>
    <n v="881.57"/>
    <n v="5.7000000000000002E-2"/>
    <x v="91"/>
    <n v="18"/>
    <x v="30"/>
    <n v="881.57"/>
    <x v="200"/>
    <n v="15004.26"/>
    <x v="200"/>
    <n v="-2.7059238560107821E-3"/>
    <s v="C"/>
  </r>
  <r>
    <x v="200"/>
    <x v="182"/>
    <d v="2024-01-29T00:00:00"/>
    <x v="186"/>
    <x v="2"/>
    <x v="10"/>
    <s v="Chicago"/>
    <s v="Education"/>
    <x v="3"/>
    <x v="8"/>
    <x v="1"/>
    <x v="201"/>
    <n v="493.76"/>
    <n v="625.04"/>
    <n v="0.25800000000000001"/>
    <x v="131"/>
    <n v="10"/>
    <x v="13"/>
    <n v="625.04"/>
    <x v="201"/>
    <n v="4937.6000000000004"/>
    <x v="201"/>
    <n v="-6.464345311549663E-2"/>
    <s v="C"/>
  </r>
  <r>
    <x v="201"/>
    <x v="183"/>
    <d v="2023-09-07T00:00:00"/>
    <x v="66"/>
    <x v="2"/>
    <x v="10"/>
    <s v="New York"/>
    <s v="Enterprise"/>
    <x v="1"/>
    <x v="11"/>
    <x v="3"/>
    <x v="202"/>
    <n v="590.33000000000004"/>
    <n v="973.04"/>
    <n v="0"/>
    <x v="5"/>
    <n v="26"/>
    <x v="20"/>
    <n v="973.04"/>
    <x v="202"/>
    <n v="15348.580000000002"/>
    <x v="202"/>
    <n v="0.39331373838691108"/>
    <s v="C"/>
  </r>
  <r>
    <x v="202"/>
    <x v="184"/>
    <d v="2023-02-03T00:00:00"/>
    <x v="187"/>
    <x v="0"/>
    <x v="0"/>
    <s v="Kisumu"/>
    <s v="Corporate"/>
    <x v="0"/>
    <x v="12"/>
    <x v="2"/>
    <x v="203"/>
    <n v="884.36"/>
    <n v="1545.34"/>
    <n v="0.24299999999999999"/>
    <x v="28"/>
    <n v="41"/>
    <x v="16"/>
    <n v="1545.34"/>
    <x v="203"/>
    <n v="36258.76"/>
    <x v="203"/>
    <n v="0.24402198562827965"/>
    <s v="C"/>
  </r>
  <r>
    <x v="203"/>
    <x v="185"/>
    <d v="2025-02-25T00:00:00"/>
    <x v="188"/>
    <x v="3"/>
    <x v="8"/>
    <s v="Birmingham"/>
    <s v="Corporate"/>
    <x v="2"/>
    <x v="14"/>
    <x v="5"/>
    <x v="204"/>
    <n v="1016.32"/>
    <n v="2253.42"/>
    <n v="5.5E-2"/>
    <x v="132"/>
    <n v="12"/>
    <x v="28"/>
    <n v="2253.42"/>
    <x v="204"/>
    <n v="12195.84"/>
    <x v="204"/>
    <n v="0.52273837124419797"/>
    <s v="C"/>
  </r>
  <r>
    <x v="204"/>
    <x v="43"/>
    <d v="2023-04-28T00:00:00"/>
    <x v="189"/>
    <x v="3"/>
    <x v="6"/>
    <s v="Berlin"/>
    <s v="Education"/>
    <x v="1"/>
    <x v="6"/>
    <x v="5"/>
    <x v="205"/>
    <n v="1178.42"/>
    <n v="2446.56"/>
    <n v="2.9000000000000001E-2"/>
    <x v="133"/>
    <n v="11"/>
    <x v="26"/>
    <n v="2446.56"/>
    <x v="205"/>
    <n v="12962.62"/>
    <x v="205"/>
    <n v="0.5039505141618883"/>
    <s v="C"/>
  </r>
  <r>
    <x v="205"/>
    <x v="186"/>
    <d v="2023-08-01T00:00:00"/>
    <x v="47"/>
    <x v="3"/>
    <x v="8"/>
    <s v="Birmingham"/>
    <s v="Small Business"/>
    <x v="0"/>
    <x v="5"/>
    <x v="0"/>
    <x v="206"/>
    <n v="137.46"/>
    <n v="188.3"/>
    <n v="3.7999999999999999E-2"/>
    <x v="16"/>
    <n v="37"/>
    <x v="17"/>
    <n v="188.3"/>
    <x v="206"/>
    <n v="5086.0200000000004"/>
    <x v="206"/>
    <n v="0.24115872071262398"/>
    <s v="C"/>
  </r>
  <r>
    <x v="206"/>
    <x v="51"/>
    <d v="2025-02-14T00:00:00"/>
    <x v="190"/>
    <x v="0"/>
    <x v="0"/>
    <s v="Nairobi"/>
    <s v="Small Business"/>
    <x v="0"/>
    <x v="1"/>
    <x v="6"/>
    <x v="207"/>
    <n v="1030.44"/>
    <n v="2562.84"/>
    <n v="0.14799999999999999"/>
    <x v="134"/>
    <n v="13"/>
    <x v="9"/>
    <n v="2562.84"/>
    <x v="207"/>
    <n v="13395.720000000001"/>
    <x v="207"/>
    <n v="0.52808734852027039"/>
    <s v="C"/>
  </r>
  <r>
    <x v="207"/>
    <x v="187"/>
    <d v="2024-10-07T00:00:00"/>
    <x v="191"/>
    <x v="0"/>
    <x v="0"/>
    <s v="Kisumu"/>
    <s v="Consumer"/>
    <x v="0"/>
    <x v="4"/>
    <x v="1"/>
    <x v="208"/>
    <n v="1248.3900000000001"/>
    <n v="1805.11"/>
    <n v="0.20300000000000001"/>
    <x v="90"/>
    <n v="11"/>
    <x v="29"/>
    <n v="1805.11"/>
    <x v="208"/>
    <n v="13732.29"/>
    <x v="208"/>
    <n v="0.13226265707820786"/>
    <s v="C"/>
  </r>
  <r>
    <x v="208"/>
    <x v="188"/>
    <d v="2025-08-07T00:00:00"/>
    <x v="192"/>
    <x v="0"/>
    <x v="1"/>
    <s v="Lagos"/>
    <s v="Enterprise"/>
    <x v="4"/>
    <x v="12"/>
    <x v="6"/>
    <x v="209"/>
    <n v="1204.95"/>
    <n v="2065.73"/>
    <n v="0.13600000000000001"/>
    <x v="29"/>
    <n v="10"/>
    <x v="13"/>
    <n v="2065.73"/>
    <x v="209"/>
    <n v="12049.5"/>
    <x v="209"/>
    <n v="0.32487882949100039"/>
    <s v="C"/>
  </r>
  <r>
    <x v="209"/>
    <x v="189"/>
    <d v="2024-10-23T00:00:00"/>
    <x v="193"/>
    <x v="0"/>
    <x v="11"/>
    <s v="Durban"/>
    <s v="Corporate"/>
    <x v="2"/>
    <x v="8"/>
    <x v="0"/>
    <x v="210"/>
    <n v="1095.6099999999999"/>
    <n v="2366.5100000000002"/>
    <n v="0.152"/>
    <x v="135"/>
    <n v="9"/>
    <x v="28"/>
    <n v="2366.5100000000002"/>
    <x v="210"/>
    <n v="9860.49"/>
    <x v="210"/>
    <n v="0.4540513564158607"/>
    <s v="C"/>
  </r>
  <r>
    <x v="210"/>
    <x v="190"/>
    <d v="2025-08-04T00:00:00"/>
    <x v="194"/>
    <x v="2"/>
    <x v="3"/>
    <s v="Montreal"/>
    <s v="Consumer"/>
    <x v="1"/>
    <x v="10"/>
    <x v="5"/>
    <x v="211"/>
    <n v="90.3"/>
    <n v="131.76"/>
    <n v="0.10199999999999999"/>
    <x v="4"/>
    <n v="15"/>
    <x v="28"/>
    <n v="131.76"/>
    <x v="211"/>
    <n v="1354.5"/>
    <x v="211"/>
    <n v="0.23681851189244668"/>
    <s v="C"/>
  </r>
  <r>
    <x v="211"/>
    <x v="191"/>
    <d v="2024-10-01T00:00:00"/>
    <x v="181"/>
    <x v="1"/>
    <x v="9"/>
    <s v="Shenzhen"/>
    <s v="Consumer"/>
    <x v="4"/>
    <x v="4"/>
    <x v="1"/>
    <x v="212"/>
    <n v="1166.18"/>
    <n v="1335.02"/>
    <n v="0.128"/>
    <x v="136"/>
    <n v="6"/>
    <x v="21"/>
    <n v="1335.02"/>
    <x v="212"/>
    <n v="6997.08"/>
    <x v="212"/>
    <n v="-1.7545694604582242E-3"/>
    <s v="C"/>
  </r>
  <r>
    <x v="212"/>
    <x v="192"/>
    <d v="2025-02-06T00:00:00"/>
    <x v="195"/>
    <x v="0"/>
    <x v="0"/>
    <s v="Kisumu"/>
    <s v="Education"/>
    <x v="0"/>
    <x v="5"/>
    <x v="3"/>
    <x v="213"/>
    <n v="1445.27"/>
    <n v="2691.45"/>
    <n v="0"/>
    <x v="5"/>
    <n v="9"/>
    <x v="11"/>
    <n v="2691.45"/>
    <x v="213"/>
    <n v="13007.43"/>
    <x v="213"/>
    <n v="0.46301436028906351"/>
    <s v="C"/>
  </r>
  <r>
    <x v="213"/>
    <x v="193"/>
    <d v="2023-11-28T00:00:00"/>
    <x v="196"/>
    <x v="2"/>
    <x v="5"/>
    <s v="Brasília"/>
    <s v="Education"/>
    <x v="2"/>
    <x v="4"/>
    <x v="6"/>
    <x v="214"/>
    <n v="388.51"/>
    <n v="776.46"/>
    <n v="0.157"/>
    <x v="86"/>
    <n v="12"/>
    <x v="5"/>
    <n v="776.46"/>
    <x v="214"/>
    <n v="4662.12"/>
    <x v="214"/>
    <n v="0.40645241876864946"/>
    <s v="C"/>
  </r>
  <r>
    <x v="214"/>
    <x v="194"/>
    <d v="2024-03-30T00:00:00"/>
    <x v="197"/>
    <x v="1"/>
    <x v="2"/>
    <s v="Nagoya"/>
    <s v="Small Business"/>
    <x v="4"/>
    <x v="2"/>
    <x v="2"/>
    <x v="215"/>
    <n v="231.11"/>
    <n v="318.17"/>
    <n v="0.20100000000000001"/>
    <x v="137"/>
    <n v="60"/>
    <x v="17"/>
    <n v="318.17"/>
    <x v="215"/>
    <n v="13866.6"/>
    <x v="215"/>
    <n v="9.0897754889969692E-2"/>
    <s v="C"/>
  </r>
  <r>
    <x v="215"/>
    <x v="195"/>
    <d v="2024-01-14T00:00:00"/>
    <x v="198"/>
    <x v="1"/>
    <x v="4"/>
    <s v="Mumbai"/>
    <s v="Non-Profit"/>
    <x v="2"/>
    <x v="4"/>
    <x v="5"/>
    <x v="216"/>
    <n v="1085.6099999999999"/>
    <n v="1246.4100000000001"/>
    <n v="0.113"/>
    <x v="138"/>
    <n v="7"/>
    <x v="2"/>
    <n v="1246.4100000000001"/>
    <x v="216"/>
    <n v="7599.2699999999995"/>
    <x v="216"/>
    <n v="1.8050189637310417E-2"/>
    <s v="C"/>
  </r>
  <r>
    <x v="216"/>
    <x v="119"/>
    <d v="2023-01-21T00:00:00"/>
    <x v="199"/>
    <x v="3"/>
    <x v="6"/>
    <s v="Munich"/>
    <s v="Corporate"/>
    <x v="4"/>
    <x v="9"/>
    <x v="5"/>
    <x v="217"/>
    <n v="150.86000000000001"/>
    <n v="346.96"/>
    <n v="0.19600000000000001"/>
    <x v="123"/>
    <n v="8"/>
    <x v="1"/>
    <n v="346.96"/>
    <x v="217"/>
    <n v="1206.8800000000001"/>
    <x v="217"/>
    <n v="0.45919755614365343"/>
    <s v="C"/>
  </r>
  <r>
    <x v="217"/>
    <x v="196"/>
    <d v="2024-11-09T00:00:00"/>
    <x v="200"/>
    <x v="1"/>
    <x v="9"/>
    <s v="Shanghai"/>
    <s v="Non-Profit"/>
    <x v="1"/>
    <x v="9"/>
    <x v="1"/>
    <x v="218"/>
    <n v="391.64"/>
    <n v="504.76"/>
    <n v="4.0000000000000001E-3"/>
    <x v="139"/>
    <n v="13"/>
    <x v="10"/>
    <n v="504.76"/>
    <x v="218"/>
    <n v="5091.32"/>
    <x v="218"/>
    <n v="0.22099046793402319"/>
    <s v="C"/>
  </r>
  <r>
    <x v="218"/>
    <x v="197"/>
    <d v="2024-10-14T00:00:00"/>
    <x v="201"/>
    <x v="2"/>
    <x v="5"/>
    <s v="Rio de Janeiro"/>
    <s v="Small Business"/>
    <x v="0"/>
    <x v="11"/>
    <x v="1"/>
    <x v="219"/>
    <n v="386.96"/>
    <n v="937.46"/>
    <n v="0.26600000000000001"/>
    <x v="140"/>
    <n v="41"/>
    <x v="2"/>
    <n v="937.46"/>
    <x v="219"/>
    <n v="15865.359999999999"/>
    <x v="219"/>
    <n v="0.43763631462626335"/>
    <s v="C"/>
  </r>
  <r>
    <x v="219"/>
    <x v="198"/>
    <d v="2025-09-24T00:00:00"/>
    <x v="202"/>
    <x v="0"/>
    <x v="0"/>
    <s v="Nairobi"/>
    <s v="Consumer"/>
    <x v="4"/>
    <x v="5"/>
    <x v="0"/>
    <x v="220"/>
    <n v="589.14"/>
    <n v="1300.58"/>
    <n v="5.5E-2"/>
    <x v="132"/>
    <n v="11"/>
    <x v="17"/>
    <n v="1300.58"/>
    <x v="220"/>
    <n v="6480.54"/>
    <x v="220"/>
    <n v="0.52065342275863724"/>
    <s v="C"/>
  </r>
  <r>
    <x v="220"/>
    <x v="199"/>
    <d v="2023-10-02T00:00:00"/>
    <x v="203"/>
    <x v="2"/>
    <x v="10"/>
    <s v="New York"/>
    <s v="Education"/>
    <x v="2"/>
    <x v="2"/>
    <x v="6"/>
    <x v="221"/>
    <n v="145.58000000000001"/>
    <n v="228.15"/>
    <n v="0.20399999999999999"/>
    <x v="53"/>
    <n v="5"/>
    <x v="1"/>
    <n v="228.15"/>
    <x v="221"/>
    <n v="727.90000000000009"/>
    <x v="221"/>
    <n v="0.19838068272548359"/>
    <s v="C"/>
  </r>
  <r>
    <x v="221"/>
    <x v="200"/>
    <d v="2023-09-10T00:00:00"/>
    <x v="204"/>
    <x v="0"/>
    <x v="11"/>
    <s v="Cape Town"/>
    <s v="Non-Profit"/>
    <x v="4"/>
    <x v="13"/>
    <x v="0"/>
    <x v="222"/>
    <n v="241.14"/>
    <n v="496.52"/>
    <n v="9.2999999999999999E-2"/>
    <x v="141"/>
    <n v="10"/>
    <x v="14"/>
    <n v="496.52"/>
    <x v="222"/>
    <n v="2411.3999999999996"/>
    <x v="222"/>
    <n v="0.46454223268257994"/>
    <s v="C"/>
  </r>
  <r>
    <x v="222"/>
    <x v="201"/>
    <d v="2025-07-17T00:00:00"/>
    <x v="205"/>
    <x v="0"/>
    <x v="11"/>
    <s v="Durban"/>
    <s v="Small Business"/>
    <x v="3"/>
    <x v="5"/>
    <x v="2"/>
    <x v="223"/>
    <n v="1198.9000000000001"/>
    <n v="2941.2"/>
    <n v="5.0999999999999997E-2"/>
    <x v="129"/>
    <n v="24"/>
    <x v="25"/>
    <n v="2941.2"/>
    <x v="223"/>
    <n v="28773.600000000002"/>
    <x v="223"/>
    <n v="0.57047129713583977"/>
    <s v="C"/>
  </r>
  <r>
    <x v="223"/>
    <x v="43"/>
    <d v="2023-05-07T00:00:00"/>
    <x v="206"/>
    <x v="3"/>
    <x v="8"/>
    <s v="Birmingham"/>
    <s v="Enterprise"/>
    <x v="0"/>
    <x v="13"/>
    <x v="4"/>
    <x v="224"/>
    <n v="1089.1500000000001"/>
    <n v="1088.2"/>
    <n v="5.0999999999999997E-2"/>
    <x v="129"/>
    <n v="15"/>
    <x v="5"/>
    <n v="1088.2"/>
    <x v="224"/>
    <n v="16337.250000000002"/>
    <x v="224"/>
    <n v="-5.4660696824582002E-2"/>
    <s v="C"/>
  </r>
  <r>
    <x v="224"/>
    <x v="202"/>
    <d v="2023-12-20T00:00:00"/>
    <x v="207"/>
    <x v="2"/>
    <x v="5"/>
    <s v="Rio de Janeiro"/>
    <s v="Consumer"/>
    <x v="3"/>
    <x v="1"/>
    <x v="3"/>
    <x v="225"/>
    <n v="1080.43"/>
    <n v="2529.15"/>
    <n v="0.14699999999999999"/>
    <x v="6"/>
    <n v="10"/>
    <x v="25"/>
    <n v="2529.15"/>
    <x v="225"/>
    <n v="10804.300000000001"/>
    <x v="225"/>
    <n v="0.49918997247081437"/>
    <s v="C"/>
  </r>
  <r>
    <x v="225"/>
    <x v="203"/>
    <d v="2023-08-07T00:00:00"/>
    <x v="208"/>
    <x v="1"/>
    <x v="2"/>
    <s v="Nagoya"/>
    <s v="Education"/>
    <x v="2"/>
    <x v="8"/>
    <x v="2"/>
    <x v="226"/>
    <n v="1352.44"/>
    <n v="2698.01"/>
    <n v="0.13100000000000001"/>
    <x v="2"/>
    <n v="13"/>
    <x v="11"/>
    <n v="2698.01"/>
    <x v="226"/>
    <n v="17581.72"/>
    <x v="226"/>
    <n v="0.42316091992090887"/>
    <s v="C"/>
  </r>
  <r>
    <x v="226"/>
    <x v="204"/>
    <d v="2023-10-29T00:00:00"/>
    <x v="209"/>
    <x v="2"/>
    <x v="10"/>
    <s v="San Francisco"/>
    <s v="Small Business"/>
    <x v="3"/>
    <x v="7"/>
    <x v="6"/>
    <x v="227"/>
    <n v="1239.8399999999999"/>
    <n v="1482.75"/>
    <n v="6.7000000000000004E-2"/>
    <x v="142"/>
    <n v="4"/>
    <x v="2"/>
    <n v="1482.75"/>
    <x v="227"/>
    <n v="4959.3599999999997"/>
    <x v="227"/>
    <n v="0.10377703721413634"/>
    <s v="C"/>
  </r>
  <r>
    <x v="227"/>
    <x v="205"/>
    <d v="2025-08-30T00:00:00"/>
    <x v="210"/>
    <x v="2"/>
    <x v="10"/>
    <s v="San Francisco"/>
    <s v="Corporate"/>
    <x v="2"/>
    <x v="11"/>
    <x v="1"/>
    <x v="228"/>
    <n v="933.29"/>
    <n v="1456.81"/>
    <n v="0.123"/>
    <x v="81"/>
    <n v="13"/>
    <x v="8"/>
    <n v="1456.81"/>
    <x v="228"/>
    <n v="12132.77"/>
    <x v="228"/>
    <n v="0.26951028573489977"/>
    <s v="C"/>
  </r>
  <r>
    <x v="228"/>
    <x v="206"/>
    <d v="2023-04-01T00:00:00"/>
    <x v="211"/>
    <x v="0"/>
    <x v="0"/>
    <s v="Nairobi"/>
    <s v="Consumer"/>
    <x v="2"/>
    <x v="14"/>
    <x v="1"/>
    <x v="229"/>
    <n v="1024.0999999999999"/>
    <n v="918.19"/>
    <n v="0.189"/>
    <x v="51"/>
    <n v="10"/>
    <x v="2"/>
    <n v="918.19"/>
    <x v="229"/>
    <n v="10241"/>
    <x v="229"/>
    <n v="-0.37527311579827827"/>
    <s v="C"/>
  </r>
  <r>
    <x v="229"/>
    <x v="207"/>
    <d v="2023-06-10T00:00:00"/>
    <x v="212"/>
    <x v="1"/>
    <x v="9"/>
    <s v="Shanghai"/>
    <s v="Corporate"/>
    <x v="3"/>
    <x v="6"/>
    <x v="0"/>
    <x v="230"/>
    <n v="54.62"/>
    <n v="48.94"/>
    <n v="0.14799999999999999"/>
    <x v="134"/>
    <n v="16"/>
    <x v="5"/>
    <n v="48.94"/>
    <x v="230"/>
    <n v="873.92"/>
    <x v="230"/>
    <n v="-0.3099301434543783"/>
    <s v="C"/>
  </r>
  <r>
    <x v="230"/>
    <x v="208"/>
    <d v="2025-05-06T00:00:00"/>
    <x v="69"/>
    <x v="2"/>
    <x v="5"/>
    <s v="Brasília"/>
    <s v="Consumer"/>
    <x v="1"/>
    <x v="0"/>
    <x v="3"/>
    <x v="231"/>
    <n v="394.13"/>
    <n v="932.29"/>
    <n v="0.109"/>
    <x v="14"/>
    <n v="7"/>
    <x v="7"/>
    <n v="932.29"/>
    <x v="231"/>
    <n v="2758.91"/>
    <x v="231"/>
    <n v="0.5255278089303268"/>
    <s v="C"/>
  </r>
  <r>
    <x v="231"/>
    <x v="209"/>
    <d v="2024-09-08T00:00:00"/>
    <x v="213"/>
    <x v="0"/>
    <x v="1"/>
    <s v="Lagos"/>
    <s v="Small Business"/>
    <x v="4"/>
    <x v="11"/>
    <x v="1"/>
    <x v="232"/>
    <n v="197.63"/>
    <n v="325.79000000000002"/>
    <n v="0.11600000000000001"/>
    <x v="143"/>
    <n v="10"/>
    <x v="15"/>
    <n v="325.79000000000002"/>
    <x v="232"/>
    <n v="1976.3"/>
    <x v="232"/>
    <n v="0.31378081458519419"/>
    <s v="C"/>
  </r>
  <r>
    <x v="232"/>
    <x v="210"/>
    <d v="2024-09-25T00:00:00"/>
    <x v="74"/>
    <x v="1"/>
    <x v="2"/>
    <s v="Osaka"/>
    <s v="Enterprise"/>
    <x v="3"/>
    <x v="14"/>
    <x v="5"/>
    <x v="233"/>
    <n v="195.54"/>
    <n v="405.97"/>
    <n v="0.187"/>
    <x v="37"/>
    <n v="16"/>
    <x v="8"/>
    <n v="405.97"/>
    <x v="233"/>
    <n v="3128.64"/>
    <x v="233"/>
    <n v="0.40755079152141377"/>
    <s v="C"/>
  </r>
  <r>
    <x v="233"/>
    <x v="211"/>
    <d v="2023-03-30T00:00:00"/>
    <x v="214"/>
    <x v="0"/>
    <x v="11"/>
    <s v="Cape Town"/>
    <s v="Consumer"/>
    <x v="3"/>
    <x v="11"/>
    <x v="0"/>
    <x v="234"/>
    <n v="1309.77"/>
    <n v="1589.07"/>
    <n v="0.10199999999999999"/>
    <x v="4"/>
    <n v="10"/>
    <x v="12"/>
    <n v="1589.07"/>
    <x v="234"/>
    <n v="13097.7"/>
    <x v="234"/>
    <n v="8.2141628328137886E-2"/>
    <s v="C"/>
  </r>
  <r>
    <x v="234"/>
    <x v="39"/>
    <d v="2024-02-02T00:00:00"/>
    <x v="40"/>
    <x v="1"/>
    <x v="2"/>
    <s v="Nagoya"/>
    <s v="Small Business"/>
    <x v="1"/>
    <x v="15"/>
    <x v="1"/>
    <x v="235"/>
    <n v="1237.68"/>
    <n v="1432.8"/>
    <n v="6.8000000000000005E-2"/>
    <x v="55"/>
    <n v="13"/>
    <x v="21"/>
    <n v="1432.8"/>
    <x v="235"/>
    <n v="16089.84"/>
    <x v="235"/>
    <n v="7.315547695559331E-2"/>
    <s v="C"/>
  </r>
  <r>
    <x v="235"/>
    <x v="212"/>
    <d v="2024-10-02T00:00:00"/>
    <x v="215"/>
    <x v="0"/>
    <x v="0"/>
    <s v="Mombasa"/>
    <s v="Small Business"/>
    <x v="0"/>
    <x v="12"/>
    <x v="3"/>
    <x v="236"/>
    <n v="1338.99"/>
    <n v="1765.76"/>
    <n v="0.126"/>
    <x v="38"/>
    <n v="24"/>
    <x v="6"/>
    <n v="1765.76"/>
    <x v="236"/>
    <n v="32135.760000000002"/>
    <x v="236"/>
    <n v="0.1323706666677725"/>
    <s v="C"/>
  </r>
  <r>
    <x v="236"/>
    <x v="213"/>
    <d v="2025-07-23T00:00:00"/>
    <x v="216"/>
    <x v="2"/>
    <x v="3"/>
    <s v="Vancouver"/>
    <s v="Consumer"/>
    <x v="1"/>
    <x v="10"/>
    <x v="0"/>
    <x v="237"/>
    <n v="1364.89"/>
    <n v="2757.54"/>
    <n v="0.17199999999999999"/>
    <x v="144"/>
    <n v="61"/>
    <x v="30"/>
    <n v="2757.54"/>
    <x v="237"/>
    <n v="83258.290000000008"/>
    <x v="237"/>
    <n v="0.4022143379983118"/>
    <s v="C"/>
  </r>
  <r>
    <x v="237"/>
    <x v="214"/>
    <d v="2023-12-07T00:00:00"/>
    <x v="138"/>
    <x v="1"/>
    <x v="4"/>
    <s v="Delhi"/>
    <s v="Enterprise"/>
    <x v="2"/>
    <x v="4"/>
    <x v="3"/>
    <x v="238"/>
    <n v="699.33"/>
    <n v="873.75"/>
    <n v="0.23499999999999999"/>
    <x v="145"/>
    <n v="10"/>
    <x v="26"/>
    <n v="873.75"/>
    <x v="238"/>
    <n v="6993.3"/>
    <x v="238"/>
    <n v="-4.6245336475076469E-2"/>
    <s v="C"/>
  </r>
  <r>
    <x v="238"/>
    <x v="215"/>
    <d v="2024-04-24T00:00:00"/>
    <x v="140"/>
    <x v="2"/>
    <x v="10"/>
    <s v="Austin"/>
    <s v="Non-Profit"/>
    <x v="1"/>
    <x v="3"/>
    <x v="4"/>
    <x v="239"/>
    <n v="160.82"/>
    <n v="258.52"/>
    <n v="0.13"/>
    <x v="49"/>
    <n v="17"/>
    <x v="2"/>
    <n v="258.52"/>
    <x v="239"/>
    <n v="2733.94"/>
    <x v="239"/>
    <n v="0.28496605789631874"/>
    <s v="C"/>
  </r>
  <r>
    <x v="239"/>
    <x v="216"/>
    <d v="2023-10-08T00:00:00"/>
    <x v="73"/>
    <x v="1"/>
    <x v="4"/>
    <s v="Bengaluru"/>
    <s v="Education"/>
    <x v="4"/>
    <x v="1"/>
    <x v="1"/>
    <x v="240"/>
    <n v="385.32"/>
    <n v="606.76"/>
    <n v="8.5999999999999993E-2"/>
    <x v="146"/>
    <n v="8"/>
    <x v="6"/>
    <n v="606.76"/>
    <x v="240"/>
    <n v="3082.56"/>
    <x v="240"/>
    <n v="0.30520223425842735"/>
    <s v="C"/>
  </r>
  <r>
    <x v="240"/>
    <x v="217"/>
    <d v="2025-05-27T00:00:00"/>
    <x v="217"/>
    <x v="1"/>
    <x v="9"/>
    <s v="Beijing"/>
    <s v="Enterprise"/>
    <x v="1"/>
    <x v="9"/>
    <x v="3"/>
    <x v="241"/>
    <n v="918.12"/>
    <n v="1337.69"/>
    <n v="9.5000000000000001E-2"/>
    <x v="147"/>
    <n v="8"/>
    <x v="22"/>
    <n v="1337.69"/>
    <x v="241"/>
    <n v="7344.96"/>
    <x v="241"/>
    <n v="0.24160512707050164"/>
    <s v="C"/>
  </r>
  <r>
    <x v="241"/>
    <x v="218"/>
    <d v="2025-08-08T00:00:00"/>
    <x v="218"/>
    <x v="1"/>
    <x v="2"/>
    <s v="Osaka"/>
    <s v="Consumer"/>
    <x v="4"/>
    <x v="13"/>
    <x v="4"/>
    <x v="242"/>
    <n v="1225.94"/>
    <n v="1793.08"/>
    <n v="0.13600000000000001"/>
    <x v="29"/>
    <n v="22"/>
    <x v="30"/>
    <n v="1793.08"/>
    <x v="242"/>
    <n v="26970.68"/>
    <x v="242"/>
    <n v="0.20867332353434462"/>
    <s v="C"/>
  </r>
  <r>
    <x v="242"/>
    <x v="219"/>
    <d v="2024-12-12T00:00:00"/>
    <x v="219"/>
    <x v="3"/>
    <x v="6"/>
    <s v="Frankfurt"/>
    <s v="Enterprise"/>
    <x v="2"/>
    <x v="5"/>
    <x v="1"/>
    <x v="243"/>
    <n v="72.06"/>
    <n v="122.74"/>
    <n v="0.23799999999999999"/>
    <x v="148"/>
    <n v="8"/>
    <x v="11"/>
    <n v="122.74"/>
    <x v="243"/>
    <n v="576.48"/>
    <x v="243"/>
    <n v="0.22953455162246802"/>
    <s v="C"/>
  </r>
  <r>
    <x v="243"/>
    <x v="43"/>
    <d v="2023-04-28T00:00:00"/>
    <x v="189"/>
    <x v="2"/>
    <x v="5"/>
    <s v="Rio de Janeiro"/>
    <s v="Corporate"/>
    <x v="3"/>
    <x v="12"/>
    <x v="3"/>
    <x v="244"/>
    <n v="1013.54"/>
    <n v="927.93"/>
    <n v="0.17499999999999999"/>
    <x v="30"/>
    <n v="16"/>
    <x v="26"/>
    <n v="927.93"/>
    <x v="244"/>
    <n v="16216.64"/>
    <x v="244"/>
    <n v="-0.32395044166406234"/>
    <s v="C"/>
  </r>
  <r>
    <x v="244"/>
    <x v="220"/>
    <d v="2024-03-26T00:00:00"/>
    <x v="220"/>
    <x v="0"/>
    <x v="1"/>
    <s v="Port Harcourt"/>
    <s v="Consumer"/>
    <x v="2"/>
    <x v="2"/>
    <x v="3"/>
    <x v="245"/>
    <n v="65.64"/>
    <n v="151.88"/>
    <n v="0.16700000000000001"/>
    <x v="149"/>
    <n v="23"/>
    <x v="8"/>
    <n v="151.88"/>
    <x v="245"/>
    <n v="1509.72"/>
    <x v="245"/>
    <n v="0.48117250587356353"/>
    <s v="C"/>
  </r>
  <r>
    <x v="245"/>
    <x v="221"/>
    <d v="2024-03-04T00:00:00"/>
    <x v="146"/>
    <x v="2"/>
    <x v="3"/>
    <s v="Montreal"/>
    <s v="Non-Profit"/>
    <x v="0"/>
    <x v="14"/>
    <x v="4"/>
    <x v="246"/>
    <n v="1350.98"/>
    <n v="2210.4"/>
    <n v="0.26300000000000001"/>
    <x v="150"/>
    <n v="6"/>
    <x v="13"/>
    <n v="2210.4"/>
    <x v="246"/>
    <n v="8105.88"/>
    <x v="246"/>
    <n v="0.17070211080615091"/>
    <s v="C"/>
  </r>
  <r>
    <x v="246"/>
    <x v="222"/>
    <d v="2025-05-02T00:00:00"/>
    <x v="221"/>
    <x v="3"/>
    <x v="6"/>
    <s v="Berlin"/>
    <s v="Corporate"/>
    <x v="2"/>
    <x v="0"/>
    <x v="5"/>
    <x v="247"/>
    <n v="20.149999999999999"/>
    <n v="39.74"/>
    <n v="0.151"/>
    <x v="101"/>
    <n v="18"/>
    <x v="23"/>
    <n v="39.74"/>
    <x v="247"/>
    <n v="362.7"/>
    <x v="247"/>
    <n v="0.4027729120318585"/>
    <s v="C"/>
  </r>
  <r>
    <x v="247"/>
    <x v="223"/>
    <d v="2024-11-08T00:00:00"/>
    <x v="46"/>
    <x v="0"/>
    <x v="0"/>
    <s v="Nakuru"/>
    <s v="Enterprise"/>
    <x v="2"/>
    <x v="12"/>
    <x v="2"/>
    <x v="248"/>
    <n v="803.28"/>
    <n v="1009"/>
    <n v="0.11"/>
    <x v="46"/>
    <n v="4"/>
    <x v="18"/>
    <n v="1009"/>
    <x v="248"/>
    <n v="3213.12"/>
    <x v="248"/>
    <n v="0.10548880302001093"/>
    <s v="C"/>
  </r>
  <r>
    <x v="248"/>
    <x v="224"/>
    <d v="2025-09-30T00:00:00"/>
    <x v="14"/>
    <x v="1"/>
    <x v="2"/>
    <s v="Nagoya"/>
    <s v="Non-Profit"/>
    <x v="2"/>
    <x v="9"/>
    <x v="5"/>
    <x v="249"/>
    <n v="1212.99"/>
    <n v="1653.64"/>
    <n v="0.107"/>
    <x v="104"/>
    <n v="8"/>
    <x v="5"/>
    <n v="1653.64"/>
    <x v="249"/>
    <n v="9703.92"/>
    <x v="249"/>
    <n v="0.17858090819931455"/>
    <s v="C"/>
  </r>
  <r>
    <x v="249"/>
    <x v="225"/>
    <d v="2024-09-08T00:00:00"/>
    <x v="213"/>
    <x v="2"/>
    <x v="10"/>
    <s v="Austin"/>
    <s v="Consumer"/>
    <x v="4"/>
    <x v="10"/>
    <x v="0"/>
    <x v="250"/>
    <n v="462.94"/>
    <n v="1015.7"/>
    <n v="0.14299999999999999"/>
    <x v="17"/>
    <n v="14"/>
    <x v="30"/>
    <n v="1015.7"/>
    <x v="250"/>
    <n v="6481.16"/>
    <x v="250"/>
    <n v="0.46816314090483041"/>
    <s v="C"/>
  </r>
  <r>
    <x v="250"/>
    <x v="226"/>
    <d v="2023-03-24T00:00:00"/>
    <x v="222"/>
    <x v="2"/>
    <x v="3"/>
    <s v="Montreal"/>
    <s v="Consumer"/>
    <x v="3"/>
    <x v="2"/>
    <x v="4"/>
    <x v="251"/>
    <n v="481.71"/>
    <n v="912.45"/>
    <n v="0.20300000000000001"/>
    <x v="90"/>
    <n v="24"/>
    <x v="8"/>
    <n v="912.45"/>
    <x v="251"/>
    <n v="11561.039999999999"/>
    <x v="251"/>
    <n v="0.33760313983619739"/>
    <s v="C"/>
  </r>
  <r>
    <x v="251"/>
    <x v="227"/>
    <d v="2024-04-09T00:00:00"/>
    <x v="58"/>
    <x v="2"/>
    <x v="3"/>
    <s v="Vancouver"/>
    <s v="Consumer"/>
    <x v="1"/>
    <x v="9"/>
    <x v="5"/>
    <x v="252"/>
    <n v="648.64"/>
    <n v="815.19"/>
    <n v="0.22500000000000001"/>
    <x v="151"/>
    <n v="28"/>
    <x v="2"/>
    <n v="815.19"/>
    <x v="252"/>
    <n v="18161.919999999998"/>
    <x v="252"/>
    <n v="-2.6699099240272032E-2"/>
    <s v="C"/>
  </r>
  <r>
    <x v="252"/>
    <x v="228"/>
    <d v="2024-07-31T00:00:00"/>
    <x v="223"/>
    <x v="2"/>
    <x v="10"/>
    <s v="New York"/>
    <s v="Education"/>
    <x v="2"/>
    <x v="2"/>
    <x v="1"/>
    <x v="253"/>
    <n v="798.97"/>
    <n v="1814.06"/>
    <n v="0.122"/>
    <x v="152"/>
    <n v="16"/>
    <x v="24"/>
    <n v="1814.06"/>
    <x v="253"/>
    <n v="12783.52"/>
    <x v="253"/>
    <n v="0.49836906691159061"/>
    <s v="C"/>
  </r>
  <r>
    <x v="253"/>
    <x v="229"/>
    <d v="2024-11-20T00:00:00"/>
    <x v="224"/>
    <x v="1"/>
    <x v="2"/>
    <s v="Nagoya"/>
    <s v="Non-Profit"/>
    <x v="1"/>
    <x v="10"/>
    <x v="5"/>
    <x v="254"/>
    <n v="317.25"/>
    <n v="758.92"/>
    <n v="5.2999999999999999E-2"/>
    <x v="113"/>
    <n v="9"/>
    <x v="9"/>
    <n v="758.92"/>
    <x v="254"/>
    <n v="2855.25"/>
    <x v="254"/>
    <n v="0.5585762928489888"/>
    <s v="C"/>
  </r>
  <r>
    <x v="254"/>
    <x v="230"/>
    <d v="2024-05-19T00:00:00"/>
    <x v="225"/>
    <x v="3"/>
    <x v="6"/>
    <s v="Frankfurt"/>
    <s v="Enterprise"/>
    <x v="2"/>
    <x v="0"/>
    <x v="4"/>
    <x v="255"/>
    <n v="668.97"/>
    <n v="1667.44"/>
    <n v="3.4000000000000002E-2"/>
    <x v="75"/>
    <n v="15"/>
    <x v="8"/>
    <n v="1667.44"/>
    <x v="255"/>
    <n v="10034.550000000001"/>
    <x v="255"/>
    <n v="0.58468339013679016"/>
    <s v="C"/>
  </r>
  <r>
    <x v="255"/>
    <x v="231"/>
    <d v="2023-10-06T00:00:00"/>
    <x v="226"/>
    <x v="1"/>
    <x v="4"/>
    <s v="Bengaluru"/>
    <s v="Non-Profit"/>
    <x v="1"/>
    <x v="2"/>
    <x v="0"/>
    <x v="256"/>
    <n v="1470.26"/>
    <n v="2562.5500000000002"/>
    <n v="0.17299999999999999"/>
    <x v="121"/>
    <n v="9"/>
    <x v="25"/>
    <n v="2562.5500000000002"/>
    <x v="256"/>
    <n v="13232.34"/>
    <x v="256"/>
    <n v="0.30622877279157462"/>
    <s v="C"/>
  </r>
  <r>
    <x v="256"/>
    <x v="43"/>
    <d v="2023-05-07T00:00:00"/>
    <x v="206"/>
    <x v="3"/>
    <x v="8"/>
    <s v="London"/>
    <s v="Non-Profit"/>
    <x v="4"/>
    <x v="10"/>
    <x v="2"/>
    <x v="257"/>
    <n v="516.96"/>
    <n v="745.38"/>
    <n v="0.19700000000000001"/>
    <x v="114"/>
    <n v="4"/>
    <x v="5"/>
    <n v="745.38"/>
    <x v="257"/>
    <n v="2067.84"/>
    <x v="257"/>
    <n v="0.13629852794835101"/>
    <s v="C"/>
  </r>
  <r>
    <x v="257"/>
    <x v="232"/>
    <d v="2025-07-05T00:00:00"/>
    <x v="227"/>
    <x v="3"/>
    <x v="6"/>
    <s v="Munich"/>
    <s v="Small Business"/>
    <x v="4"/>
    <x v="3"/>
    <x v="5"/>
    <x v="258"/>
    <n v="314.93"/>
    <n v="687.95"/>
    <n v="0.20499999999999999"/>
    <x v="44"/>
    <n v="8"/>
    <x v="11"/>
    <n v="687.95"/>
    <x v="258"/>
    <n v="2519.44"/>
    <x v="258"/>
    <n v="0.424175645352316"/>
    <s v="C"/>
  </r>
  <r>
    <x v="258"/>
    <x v="233"/>
    <d v="2023-10-13T00:00:00"/>
    <x v="228"/>
    <x v="2"/>
    <x v="5"/>
    <s v="Brasília"/>
    <s v="Consumer"/>
    <x v="3"/>
    <x v="15"/>
    <x v="6"/>
    <x v="259"/>
    <n v="715.94"/>
    <n v="550.07000000000005"/>
    <n v="0.14000000000000001"/>
    <x v="77"/>
    <n v="16"/>
    <x v="24"/>
    <n v="550.07000000000005"/>
    <x v="259"/>
    <n v="11455.04"/>
    <x v="259"/>
    <n v="-0.51342260456491595"/>
    <s v="C"/>
  </r>
  <r>
    <x v="259"/>
    <x v="72"/>
    <d v="2023-06-07T00:00:00"/>
    <x v="102"/>
    <x v="0"/>
    <x v="1"/>
    <s v="Port Harcourt"/>
    <s v="Enterprise"/>
    <x v="3"/>
    <x v="6"/>
    <x v="0"/>
    <x v="260"/>
    <n v="1120.06"/>
    <n v="2068.21"/>
    <n v="7.8E-2"/>
    <x v="116"/>
    <n v="12"/>
    <x v="5"/>
    <n v="2068.21"/>
    <x v="260"/>
    <n v="13440.72"/>
    <x v="260"/>
    <n v="0.41262462795303284"/>
    <s v="C"/>
  </r>
  <r>
    <x v="260"/>
    <x v="234"/>
    <d v="2023-06-19T00:00:00"/>
    <x v="112"/>
    <x v="3"/>
    <x v="6"/>
    <s v="Berlin"/>
    <s v="Education"/>
    <x v="0"/>
    <x v="7"/>
    <x v="6"/>
    <x v="261"/>
    <n v="1471.58"/>
    <n v="2576.65"/>
    <n v="4.0000000000000001E-3"/>
    <x v="139"/>
    <n v="7"/>
    <x v="20"/>
    <n v="2576.65"/>
    <x v="261"/>
    <n v="10301.06"/>
    <x v="261"/>
    <n v="0.4265849223451546"/>
    <s v="C"/>
  </r>
  <r>
    <x v="261"/>
    <x v="235"/>
    <d v="2023-08-24T00:00:00"/>
    <x v="229"/>
    <x v="2"/>
    <x v="5"/>
    <s v="Brasília"/>
    <s v="Non-Profit"/>
    <x v="4"/>
    <x v="15"/>
    <x v="2"/>
    <x v="262"/>
    <n v="582.88"/>
    <n v="1044.1400000000001"/>
    <n v="0.216"/>
    <x v="153"/>
    <n v="10"/>
    <x v="8"/>
    <n v="1044.1400000000001"/>
    <x v="262"/>
    <n v="5828.8"/>
    <x v="262"/>
    <n v="0.28796005539956138"/>
    <s v="C"/>
  </r>
  <r>
    <x v="262"/>
    <x v="236"/>
    <d v="2025-06-27T00:00:00"/>
    <x v="230"/>
    <x v="0"/>
    <x v="11"/>
    <s v="Durban"/>
    <s v="Enterprise"/>
    <x v="3"/>
    <x v="13"/>
    <x v="3"/>
    <x v="263"/>
    <n v="93.91"/>
    <n v="99.04"/>
    <n v="5.7000000000000002E-2"/>
    <x v="91"/>
    <n v="6"/>
    <x v="30"/>
    <n v="99.04"/>
    <x v="263"/>
    <n v="563.46"/>
    <x v="263"/>
    <n v="-5.5172283829323376E-3"/>
    <s v="C"/>
  </r>
  <r>
    <x v="263"/>
    <x v="139"/>
    <d v="2025-04-26T00:00:00"/>
    <x v="231"/>
    <x v="0"/>
    <x v="1"/>
    <s v="Port Harcourt"/>
    <s v="Enterprise"/>
    <x v="2"/>
    <x v="9"/>
    <x v="4"/>
    <x v="264"/>
    <n v="1457.44"/>
    <n v="1996.81"/>
    <n v="0.126"/>
    <x v="38"/>
    <n v="23"/>
    <x v="23"/>
    <n v="1996.81"/>
    <x v="264"/>
    <n v="33521.120000000003"/>
    <x v="264"/>
    <n v="0.16489225944672353"/>
    <s v="C"/>
  </r>
  <r>
    <x v="264"/>
    <x v="237"/>
    <d v="2025-09-11T00:00:00"/>
    <x v="232"/>
    <x v="2"/>
    <x v="3"/>
    <s v="Toronto"/>
    <s v="Corporate"/>
    <x v="3"/>
    <x v="12"/>
    <x v="1"/>
    <x v="265"/>
    <n v="1207.6300000000001"/>
    <n v="921.68"/>
    <n v="0.19600000000000001"/>
    <x v="123"/>
    <n v="17"/>
    <x v="26"/>
    <n v="921.68"/>
    <x v="265"/>
    <n v="20529.710000000003"/>
    <x v="265"/>
    <n v="-0.62966253274897988"/>
    <s v="C"/>
  </r>
  <r>
    <x v="265"/>
    <x v="238"/>
    <d v="2024-10-08T00:00:00"/>
    <x v="233"/>
    <x v="3"/>
    <x v="8"/>
    <s v="London"/>
    <s v="Corporate"/>
    <x v="1"/>
    <x v="6"/>
    <x v="5"/>
    <x v="266"/>
    <n v="1108.1099999999999"/>
    <n v="2503.79"/>
    <n v="0.184"/>
    <x v="50"/>
    <n v="19"/>
    <x v="18"/>
    <n v="2503.79"/>
    <x v="266"/>
    <n v="21054.089999999997"/>
    <x v="266"/>
    <n v="0.45763105485025896"/>
    <s v="C"/>
  </r>
  <r>
    <x v="266"/>
    <x v="239"/>
    <d v="2023-05-05T00:00:00"/>
    <x v="28"/>
    <x v="0"/>
    <x v="1"/>
    <s v="Port Harcourt"/>
    <s v="Non-Profit"/>
    <x v="2"/>
    <x v="8"/>
    <x v="0"/>
    <x v="267"/>
    <n v="1269.6500000000001"/>
    <n v="2462.77"/>
    <n v="0.107"/>
    <x v="104"/>
    <n v="8"/>
    <x v="1"/>
    <n v="2462.77"/>
    <x v="267"/>
    <n v="10157.200000000001"/>
    <x v="267"/>
    <n v="0.42269050089225502"/>
    <s v="C"/>
  </r>
  <r>
    <x v="267"/>
    <x v="240"/>
    <d v="2024-01-01T00:00:00"/>
    <x v="234"/>
    <x v="2"/>
    <x v="5"/>
    <s v="São Paulo"/>
    <s v="Education"/>
    <x v="4"/>
    <x v="0"/>
    <x v="3"/>
    <x v="268"/>
    <n v="526.49"/>
    <n v="496.2"/>
    <n v="0"/>
    <x v="5"/>
    <n v="14"/>
    <x v="11"/>
    <n v="496.2"/>
    <x v="268"/>
    <n v="7370.8600000000006"/>
    <x v="268"/>
    <n v="-6.1043933897621985E-2"/>
    <s v="C"/>
  </r>
  <r>
    <x v="268"/>
    <x v="241"/>
    <d v="2024-01-23T00:00:00"/>
    <x v="235"/>
    <x v="3"/>
    <x v="7"/>
    <s v="Marseille"/>
    <s v="Corporate"/>
    <x v="4"/>
    <x v="8"/>
    <x v="1"/>
    <x v="269"/>
    <n v="720"/>
    <n v="907.59"/>
    <n v="0.154"/>
    <x v="68"/>
    <n v="10"/>
    <x v="19"/>
    <n v="907.59"/>
    <x v="269"/>
    <n v="7200"/>
    <x v="269"/>
    <n v="6.2281614179052078E-2"/>
    <s v="C"/>
  </r>
  <r>
    <x v="269"/>
    <x v="242"/>
    <d v="2023-08-14T00:00:00"/>
    <x v="236"/>
    <x v="2"/>
    <x v="5"/>
    <s v="Brasília"/>
    <s v="Corporate"/>
    <x v="4"/>
    <x v="1"/>
    <x v="6"/>
    <x v="270"/>
    <n v="232.73"/>
    <n v="334.19"/>
    <n v="0.13400000000000001"/>
    <x v="60"/>
    <n v="25"/>
    <x v="22"/>
    <n v="334.19"/>
    <x v="270"/>
    <n v="5818.25"/>
    <x v="270"/>
    <n v="0.1958426658729559"/>
    <s v="C"/>
  </r>
  <r>
    <x v="270"/>
    <x v="243"/>
    <d v="2025-03-09T00:00:00"/>
    <x v="237"/>
    <x v="1"/>
    <x v="4"/>
    <s v="Delhi"/>
    <s v="Small Business"/>
    <x v="4"/>
    <x v="7"/>
    <x v="5"/>
    <x v="271"/>
    <n v="325.87"/>
    <n v="538.79"/>
    <n v="0.17399999999999999"/>
    <x v="154"/>
    <n v="16"/>
    <x v="5"/>
    <n v="538.79"/>
    <x v="271"/>
    <n v="5213.92"/>
    <x v="271"/>
    <n v="0.26777457172778013"/>
    <s v="C"/>
  </r>
  <r>
    <x v="271"/>
    <x v="244"/>
    <d v="2024-04-17T00:00:00"/>
    <x v="238"/>
    <x v="3"/>
    <x v="6"/>
    <s v="Frankfurt"/>
    <s v="Education"/>
    <x v="4"/>
    <x v="10"/>
    <x v="5"/>
    <x v="272"/>
    <n v="1025.51"/>
    <n v="1436.54"/>
    <n v="0.13900000000000001"/>
    <x v="23"/>
    <n v="28"/>
    <x v="13"/>
    <n v="1436.54"/>
    <x v="272"/>
    <n v="28714.28"/>
    <x v="272"/>
    <n v="0.17087688127656453"/>
    <s v="C"/>
  </r>
  <r>
    <x v="272"/>
    <x v="245"/>
    <d v="2023-08-13T00:00:00"/>
    <x v="239"/>
    <x v="2"/>
    <x v="3"/>
    <s v="Montreal"/>
    <s v="Education"/>
    <x v="4"/>
    <x v="0"/>
    <x v="5"/>
    <x v="273"/>
    <n v="1082.3800000000001"/>
    <n v="1766.55"/>
    <n v="0.16400000000000001"/>
    <x v="155"/>
    <n v="20"/>
    <x v="8"/>
    <n v="1766.55"/>
    <x v="273"/>
    <n v="21647.600000000002"/>
    <x v="273"/>
    <n v="0.26709523157550752"/>
    <s v="C"/>
  </r>
  <r>
    <x v="273"/>
    <x v="246"/>
    <d v="2024-04-13T00:00:00"/>
    <x v="240"/>
    <x v="3"/>
    <x v="7"/>
    <s v="Paris"/>
    <s v="Small Business"/>
    <x v="1"/>
    <x v="11"/>
    <x v="1"/>
    <x v="274"/>
    <n v="287.61"/>
    <n v="628.54"/>
    <n v="0.13500000000000001"/>
    <x v="156"/>
    <n v="21"/>
    <x v="27"/>
    <n v="628.54"/>
    <x v="274"/>
    <n v="6039.81"/>
    <x v="274"/>
    <n v="0.47100087531964613"/>
    <s v="C"/>
  </r>
  <r>
    <x v="274"/>
    <x v="247"/>
    <d v="2024-01-27T00:00:00"/>
    <x v="241"/>
    <x v="2"/>
    <x v="5"/>
    <s v="São Paulo"/>
    <s v="Non-Profit"/>
    <x v="2"/>
    <x v="13"/>
    <x v="4"/>
    <x v="275"/>
    <n v="1410.97"/>
    <n v="1650.75"/>
    <n v="0.13500000000000001"/>
    <x v="156"/>
    <n v="6"/>
    <x v="24"/>
    <n v="1650.75"/>
    <x v="275"/>
    <n v="8465.82"/>
    <x v="275"/>
    <n v="1.1855707556295596E-2"/>
    <s v="C"/>
  </r>
  <r>
    <x v="275"/>
    <x v="248"/>
    <d v="2024-04-11T00:00:00"/>
    <x v="242"/>
    <x v="2"/>
    <x v="10"/>
    <s v="San Francisco"/>
    <s v="Small Business"/>
    <x v="4"/>
    <x v="7"/>
    <x v="2"/>
    <x v="276"/>
    <n v="1338.35"/>
    <n v="2247.14"/>
    <n v="0.115"/>
    <x v="157"/>
    <n v="40"/>
    <x v="14"/>
    <n v="2247.14"/>
    <x v="276"/>
    <n v="53534"/>
    <x v="276"/>
    <n v="0.32702907384246205"/>
    <s v="C"/>
  </r>
  <r>
    <x v="276"/>
    <x v="35"/>
    <d v="2025-07-14T00:00:00"/>
    <x v="243"/>
    <x v="3"/>
    <x v="6"/>
    <s v="Berlin"/>
    <s v="Corporate"/>
    <x v="4"/>
    <x v="7"/>
    <x v="6"/>
    <x v="277"/>
    <n v="385.08"/>
    <n v="893.19"/>
    <n v="0.151"/>
    <x v="101"/>
    <n v="8"/>
    <x v="8"/>
    <n v="893.19"/>
    <x v="277"/>
    <n v="3080.64"/>
    <x v="277"/>
    <n v="0.49219213762621666"/>
    <s v="C"/>
  </r>
  <r>
    <x v="277"/>
    <x v="249"/>
    <d v="2024-07-03T00:00:00"/>
    <x v="244"/>
    <x v="0"/>
    <x v="11"/>
    <s v="Johannesburg"/>
    <s v="Enterprise"/>
    <x v="2"/>
    <x v="9"/>
    <x v="3"/>
    <x v="278"/>
    <n v="1173.83"/>
    <n v="2328.9"/>
    <n v="0.12"/>
    <x v="18"/>
    <n v="17"/>
    <x v="13"/>
    <n v="2328.9"/>
    <x v="278"/>
    <n v="19955.11"/>
    <x v="278"/>
    <n v="0.42724130393201637"/>
    <s v="C"/>
  </r>
  <r>
    <x v="278"/>
    <x v="250"/>
    <d v="2023-11-14T00:00:00"/>
    <x v="245"/>
    <x v="1"/>
    <x v="4"/>
    <s v="Bengaluru"/>
    <s v="Corporate"/>
    <x v="1"/>
    <x v="9"/>
    <x v="4"/>
    <x v="279"/>
    <n v="953.46"/>
    <n v="2066.75"/>
    <n v="0.13800000000000001"/>
    <x v="158"/>
    <n v="5"/>
    <x v="14"/>
    <n v="2066.75"/>
    <x v="279"/>
    <n v="4767.3"/>
    <x v="279"/>
    <n v="0.46481089238318446"/>
    <s v="C"/>
  </r>
  <r>
    <x v="279"/>
    <x v="251"/>
    <d v="2023-06-23T00:00:00"/>
    <x v="246"/>
    <x v="2"/>
    <x v="10"/>
    <s v="San Francisco"/>
    <s v="Consumer"/>
    <x v="3"/>
    <x v="7"/>
    <x v="5"/>
    <x v="280"/>
    <n v="1097.0899999999999"/>
    <n v="2182.31"/>
    <n v="0.112"/>
    <x v="0"/>
    <n v="9"/>
    <x v="11"/>
    <n v="2182.31"/>
    <x v="280"/>
    <n v="9873.81"/>
    <x v="280"/>
    <n v="0.43387432962699546"/>
    <s v="C"/>
  </r>
  <r>
    <x v="280"/>
    <x v="252"/>
    <d v="2025-03-29T00:00:00"/>
    <x v="247"/>
    <x v="1"/>
    <x v="2"/>
    <s v="Tokyo"/>
    <s v="Non-Profit"/>
    <x v="4"/>
    <x v="10"/>
    <x v="2"/>
    <x v="281"/>
    <n v="1106.96"/>
    <n v="2726.62"/>
    <n v="0.317"/>
    <x v="33"/>
    <n v="7"/>
    <x v="14"/>
    <n v="2726.62"/>
    <x v="281"/>
    <n v="7748.72"/>
    <x v="281"/>
    <n v="0.42002500217432992"/>
    <s v="C"/>
  </r>
  <r>
    <x v="281"/>
    <x v="183"/>
    <d v="2023-08-25T00:00:00"/>
    <x v="135"/>
    <x v="0"/>
    <x v="0"/>
    <s v="Nairobi"/>
    <s v="Small Business"/>
    <x v="0"/>
    <x v="13"/>
    <x v="3"/>
    <x v="282"/>
    <n v="91.85"/>
    <n v="111.29"/>
    <n v="0"/>
    <x v="5"/>
    <n v="6"/>
    <x v="23"/>
    <n v="111.29"/>
    <x v="282"/>
    <n v="551.09999999999991"/>
    <x v="282"/>
    <n v="0.17467876718483258"/>
    <s v="C"/>
  </r>
  <r>
    <x v="282"/>
    <x v="253"/>
    <d v="2025-05-28T00:00:00"/>
    <x v="19"/>
    <x v="1"/>
    <x v="4"/>
    <s v="Bengaluru"/>
    <s v="Corporate"/>
    <x v="3"/>
    <x v="5"/>
    <x v="4"/>
    <x v="283"/>
    <n v="623.4"/>
    <n v="1100.0899999999999"/>
    <n v="0.114"/>
    <x v="59"/>
    <n v="12"/>
    <x v="22"/>
    <n v="1100.0899999999999"/>
    <x v="283"/>
    <n v="7480.7999999999993"/>
    <x v="283"/>
    <n v="0.36040529579490388"/>
    <s v="C"/>
  </r>
  <r>
    <x v="283"/>
    <x v="94"/>
    <d v="2024-02-05T00:00:00"/>
    <x v="248"/>
    <x v="3"/>
    <x v="6"/>
    <s v="Frankfurt"/>
    <s v="Education"/>
    <x v="4"/>
    <x v="5"/>
    <x v="4"/>
    <x v="284"/>
    <n v="1017.93"/>
    <n v="1529.14"/>
    <n v="0.155"/>
    <x v="130"/>
    <n v="12"/>
    <x v="20"/>
    <n v="1529.14"/>
    <x v="284"/>
    <n v="12215.16"/>
    <x v="284"/>
    <n v="0.21220366508366503"/>
    <s v="C"/>
  </r>
  <r>
    <x v="284"/>
    <x v="87"/>
    <d v="2023-07-21T00:00:00"/>
    <x v="172"/>
    <x v="1"/>
    <x v="2"/>
    <s v="Nagoya"/>
    <s v="Consumer"/>
    <x v="2"/>
    <x v="1"/>
    <x v="3"/>
    <x v="285"/>
    <n v="554.76"/>
    <n v="728.69"/>
    <n v="0.22"/>
    <x v="96"/>
    <n v="7"/>
    <x v="29"/>
    <n v="728.69"/>
    <x v="285"/>
    <n v="3883.3199999999997"/>
    <x v="285"/>
    <n v="2.395975074343119E-2"/>
    <s v="C"/>
  </r>
  <r>
    <x v="285"/>
    <x v="254"/>
    <d v="2025-04-13T00:00:00"/>
    <x v="249"/>
    <x v="3"/>
    <x v="6"/>
    <s v="Munich"/>
    <s v="Consumer"/>
    <x v="2"/>
    <x v="9"/>
    <x v="3"/>
    <x v="286"/>
    <n v="7.02"/>
    <n v="6.28"/>
    <n v="0.13400000000000001"/>
    <x v="60"/>
    <n v="14"/>
    <x v="26"/>
    <n v="6.28"/>
    <x v="286"/>
    <n v="98.28"/>
    <x v="286"/>
    <n v="-0.29080184169106066"/>
    <s v="C"/>
  </r>
  <r>
    <x v="286"/>
    <x v="255"/>
    <d v="2024-09-07T00:00:00"/>
    <x v="250"/>
    <x v="1"/>
    <x v="4"/>
    <s v="Mumbai"/>
    <s v="Education"/>
    <x v="3"/>
    <x v="5"/>
    <x v="2"/>
    <x v="287"/>
    <n v="1066.6500000000001"/>
    <n v="2569.77"/>
    <n v="0.13400000000000001"/>
    <x v="60"/>
    <n v="9"/>
    <x v="18"/>
    <n v="2569.77"/>
    <x v="287"/>
    <n v="9599.85"/>
    <x v="287"/>
    <n v="0.52069739331368348"/>
    <s v="C"/>
  </r>
  <r>
    <x v="287"/>
    <x v="10"/>
    <d v="2024-01-30T00:00:00"/>
    <x v="251"/>
    <x v="0"/>
    <x v="11"/>
    <s v="Cape Town"/>
    <s v="Consumer"/>
    <x v="4"/>
    <x v="9"/>
    <x v="6"/>
    <x v="288"/>
    <n v="798.45"/>
    <n v="1592.02"/>
    <n v="6.6000000000000003E-2"/>
    <x v="71"/>
    <n v="18"/>
    <x v="24"/>
    <n v="1592.02"/>
    <x v="288"/>
    <n v="14372.1"/>
    <x v="288"/>
    <n v="0.46302714768494585"/>
    <s v="C"/>
  </r>
  <r>
    <x v="288"/>
    <x v="256"/>
    <d v="2023-08-10T00:00:00"/>
    <x v="252"/>
    <x v="0"/>
    <x v="11"/>
    <s v="Johannesburg"/>
    <s v="Small Business"/>
    <x v="0"/>
    <x v="4"/>
    <x v="0"/>
    <x v="289"/>
    <n v="1271.56"/>
    <n v="995.47"/>
    <n v="0.192"/>
    <x v="97"/>
    <n v="13"/>
    <x v="20"/>
    <n v="995.47"/>
    <x v="289"/>
    <n v="16530.28"/>
    <x v="289"/>
    <n v="-0.58087423155607754"/>
    <s v="C"/>
  </r>
  <r>
    <x v="289"/>
    <x v="257"/>
    <d v="2025-08-26T00:00:00"/>
    <x v="253"/>
    <x v="0"/>
    <x v="1"/>
    <s v="Port Harcourt"/>
    <s v="Small Business"/>
    <x v="0"/>
    <x v="8"/>
    <x v="6"/>
    <x v="290"/>
    <n v="521.05999999999995"/>
    <n v="1240.31"/>
    <n v="0.14599999999999999"/>
    <x v="34"/>
    <n v="18"/>
    <x v="1"/>
    <n v="1240.31"/>
    <x v="290"/>
    <n v="9379.0799999999981"/>
    <x v="290"/>
    <n v="0.50807417885650974"/>
    <s v="C"/>
  </r>
  <r>
    <x v="290"/>
    <x v="258"/>
    <d v="2025-04-07T00:00:00"/>
    <x v="254"/>
    <x v="2"/>
    <x v="5"/>
    <s v="São Paulo"/>
    <s v="Non-Profit"/>
    <x v="4"/>
    <x v="4"/>
    <x v="1"/>
    <x v="291"/>
    <n v="71.62"/>
    <n v="118.37"/>
    <n v="0.156"/>
    <x v="159"/>
    <n v="11"/>
    <x v="11"/>
    <n v="118.37"/>
    <x v="291"/>
    <n v="787.82"/>
    <x v="291"/>
    <n v="0.28311379652603474"/>
    <s v="C"/>
  </r>
  <r>
    <x v="291"/>
    <x v="259"/>
    <d v="2023-11-09T00:00:00"/>
    <x v="255"/>
    <x v="3"/>
    <x v="8"/>
    <s v="London"/>
    <s v="Non-Profit"/>
    <x v="4"/>
    <x v="8"/>
    <x v="6"/>
    <x v="292"/>
    <n v="1142.48"/>
    <n v="2105.5300000000002"/>
    <n v="0.20699999999999999"/>
    <x v="160"/>
    <n v="14"/>
    <x v="6"/>
    <n v="2105.5300000000002"/>
    <x v="292"/>
    <n v="15994.720000000001"/>
    <x v="292"/>
    <n v="0.31575129346680658"/>
    <s v="C"/>
  </r>
  <r>
    <x v="292"/>
    <x v="260"/>
    <d v="2023-09-22T00:00:00"/>
    <x v="256"/>
    <x v="3"/>
    <x v="8"/>
    <s v="London"/>
    <s v="Consumer"/>
    <x v="3"/>
    <x v="7"/>
    <x v="6"/>
    <x v="293"/>
    <n v="209.81"/>
    <n v="523"/>
    <n v="5.8999999999999997E-2"/>
    <x v="161"/>
    <n v="15"/>
    <x v="17"/>
    <n v="523"/>
    <x v="293"/>
    <n v="3147.15"/>
    <x v="293"/>
    <n v="0.57368082041195356"/>
    <s v="C"/>
  </r>
  <r>
    <x v="293"/>
    <x v="261"/>
    <d v="2025-05-04T00:00:00"/>
    <x v="164"/>
    <x v="1"/>
    <x v="2"/>
    <s v="Osaka"/>
    <s v="Small Business"/>
    <x v="1"/>
    <x v="12"/>
    <x v="0"/>
    <x v="294"/>
    <n v="786.2"/>
    <n v="1075.3"/>
    <n v="0.08"/>
    <x v="162"/>
    <n v="9"/>
    <x v="20"/>
    <n v="1075.3"/>
    <x v="294"/>
    <n v="7075.8"/>
    <x v="294"/>
    <n v="0.20527739478163815"/>
    <s v="C"/>
  </r>
  <r>
    <x v="294"/>
    <x v="262"/>
    <d v="2025-06-27T00:00:00"/>
    <x v="230"/>
    <x v="3"/>
    <x v="6"/>
    <s v="Munich"/>
    <s v="Consumer"/>
    <x v="3"/>
    <x v="6"/>
    <x v="4"/>
    <x v="295"/>
    <n v="1362.31"/>
    <n v="3294.57"/>
    <n v="0.113"/>
    <x v="138"/>
    <n v="7"/>
    <x v="0"/>
    <n v="3294.57"/>
    <x v="295"/>
    <n v="9536.17"/>
    <x v="295"/>
    <n v="0.5338200561157721"/>
    <s v="C"/>
  </r>
  <r>
    <x v="295"/>
    <x v="263"/>
    <d v="2024-03-16T00:00:00"/>
    <x v="257"/>
    <x v="2"/>
    <x v="3"/>
    <s v="Vancouver"/>
    <s v="Non-Profit"/>
    <x v="4"/>
    <x v="7"/>
    <x v="1"/>
    <x v="296"/>
    <n v="248.24"/>
    <n v="464.05"/>
    <n v="0.16900000000000001"/>
    <x v="36"/>
    <n v="11"/>
    <x v="16"/>
    <n v="464.05"/>
    <x v="296"/>
    <n v="2730.6400000000003"/>
    <x v="296"/>
    <n v="0.3562667203975462"/>
    <s v="C"/>
  </r>
  <r>
    <x v="296"/>
    <x v="264"/>
    <d v="2023-07-08T00:00:00"/>
    <x v="258"/>
    <x v="2"/>
    <x v="10"/>
    <s v="Austin"/>
    <s v="Non-Profit"/>
    <x v="4"/>
    <x v="9"/>
    <x v="5"/>
    <x v="297"/>
    <n v="337"/>
    <n v="511.03"/>
    <n v="0.108"/>
    <x v="85"/>
    <n v="7"/>
    <x v="5"/>
    <n v="511.03"/>
    <x v="297"/>
    <n v="2359"/>
    <x v="297"/>
    <n v="0.26070349963219458"/>
    <s v="C"/>
  </r>
  <r>
    <x v="297"/>
    <x v="265"/>
    <d v="2024-04-05T00:00:00"/>
    <x v="259"/>
    <x v="2"/>
    <x v="10"/>
    <s v="Austin"/>
    <s v="Consumer"/>
    <x v="4"/>
    <x v="1"/>
    <x v="5"/>
    <x v="298"/>
    <n v="5.66"/>
    <n v="4.22"/>
    <n v="0.11899999999999999"/>
    <x v="45"/>
    <n v="18"/>
    <x v="23"/>
    <n v="4.22"/>
    <x v="298"/>
    <n v="101.88"/>
    <x v="298"/>
    <n v="-0.52239753403876454"/>
    <s v="C"/>
  </r>
  <r>
    <x v="298"/>
    <x v="266"/>
    <d v="2025-01-22T00:00:00"/>
    <x v="260"/>
    <x v="3"/>
    <x v="7"/>
    <s v="Lyon"/>
    <s v="Small Business"/>
    <x v="1"/>
    <x v="5"/>
    <x v="6"/>
    <x v="299"/>
    <n v="591.72"/>
    <n v="577.24"/>
    <n v="0"/>
    <x v="5"/>
    <n v="22"/>
    <x v="18"/>
    <n v="577.24"/>
    <x v="299"/>
    <n v="13017.84"/>
    <x v="299"/>
    <n v="-2.5084886702238195E-2"/>
    <s v="C"/>
  </r>
  <r>
    <x v="299"/>
    <x v="267"/>
    <d v="2025-05-27T00:00:00"/>
    <x v="217"/>
    <x v="2"/>
    <x v="3"/>
    <s v="Vancouver"/>
    <s v="Education"/>
    <x v="4"/>
    <x v="0"/>
    <x v="0"/>
    <x v="300"/>
    <n v="862.89"/>
    <n v="1426.03"/>
    <n v="5.6000000000000001E-2"/>
    <x v="120"/>
    <n v="19"/>
    <x v="13"/>
    <n v="1426.03"/>
    <x v="300"/>
    <n v="16394.91"/>
    <x v="300"/>
    <n v="0.35900479665188778"/>
    <s v="C"/>
  </r>
  <r>
    <x v="300"/>
    <x v="231"/>
    <d v="2023-10-31T00:00:00"/>
    <x v="261"/>
    <x v="1"/>
    <x v="9"/>
    <s v="Shanghai"/>
    <s v="Consumer"/>
    <x v="5"/>
    <x v="1"/>
    <x v="1"/>
    <x v="301"/>
    <n v="649.91"/>
    <n v="1360.12"/>
    <n v="0.19400000000000001"/>
    <x v="7"/>
    <n v="9"/>
    <x v="0"/>
    <n v="1360.12"/>
    <x v="301"/>
    <n v="5849.19"/>
    <x v="301"/>
    <n v="0.40715528749506769"/>
    <s v="C"/>
  </r>
  <r>
    <x v="301"/>
    <x v="256"/>
    <d v="2023-07-22T00:00:00"/>
    <x v="262"/>
    <x v="2"/>
    <x v="5"/>
    <s v="São Paulo"/>
    <s v="Consumer"/>
    <x v="4"/>
    <x v="9"/>
    <x v="2"/>
    <x v="302"/>
    <n v="1269.55"/>
    <n v="2071.1"/>
    <n v="0.129"/>
    <x v="31"/>
    <n v="22"/>
    <x v="3"/>
    <n v="2071.1"/>
    <x v="302"/>
    <n v="27930.1"/>
    <x v="302"/>
    <n v="0.29623026549672354"/>
    <s v="C"/>
  </r>
  <r>
    <x v="302"/>
    <x v="268"/>
    <d v="2025-07-08T00:00:00"/>
    <x v="263"/>
    <x v="3"/>
    <x v="8"/>
    <s v="London"/>
    <s v="Education"/>
    <x v="4"/>
    <x v="8"/>
    <x v="3"/>
    <x v="303"/>
    <n v="892.73"/>
    <n v="979.84"/>
    <n v="0.17399999999999999"/>
    <x v="154"/>
    <n v="10"/>
    <x v="12"/>
    <n v="979.84"/>
    <x v="303"/>
    <n v="8927.2999999999993"/>
    <x v="303"/>
    <n v="-0.10302388649112838"/>
    <s v="C"/>
  </r>
  <r>
    <x v="303"/>
    <x v="269"/>
    <d v="2024-06-20T00:00:00"/>
    <x v="264"/>
    <x v="0"/>
    <x v="0"/>
    <s v="Kisumu"/>
    <s v="Small Business"/>
    <x v="4"/>
    <x v="1"/>
    <x v="4"/>
    <x v="304"/>
    <n v="231.63"/>
    <n v="537.39"/>
    <n v="0.08"/>
    <x v="162"/>
    <n v="12"/>
    <x v="25"/>
    <n v="537.39"/>
    <x v="304"/>
    <n v="2779.56"/>
    <x v="304"/>
    <n v="0.53149158129024587"/>
    <s v="C"/>
  </r>
  <r>
    <x v="304"/>
    <x v="69"/>
    <d v="2025-04-12T00:00:00"/>
    <x v="265"/>
    <x v="3"/>
    <x v="7"/>
    <s v="Lyon"/>
    <s v="Small Business"/>
    <x v="3"/>
    <x v="10"/>
    <x v="5"/>
    <x v="305"/>
    <n v="86.68"/>
    <n v="213.32"/>
    <n v="3.7999999999999999E-2"/>
    <x v="16"/>
    <n v="8"/>
    <x v="4"/>
    <n v="213.32"/>
    <x v="305"/>
    <n v="693.44"/>
    <x v="305"/>
    <n v="0.57761133459614611"/>
    <s v="C"/>
  </r>
  <r>
    <x v="305"/>
    <x v="80"/>
    <d v="2025-03-26T00:00:00"/>
    <x v="266"/>
    <x v="0"/>
    <x v="1"/>
    <s v="Lagos"/>
    <s v="Education"/>
    <x v="3"/>
    <x v="3"/>
    <x v="6"/>
    <x v="306"/>
    <n v="1450.43"/>
    <n v="1994.67"/>
    <n v="0.1"/>
    <x v="163"/>
    <n v="24"/>
    <x v="25"/>
    <n v="1994.67"/>
    <x v="306"/>
    <n v="34810.32"/>
    <x v="306"/>
    <n v="0.19205237513529116"/>
    <s v="C"/>
  </r>
  <r>
    <x v="306"/>
    <x v="270"/>
    <d v="2025-06-09T00:00:00"/>
    <x v="9"/>
    <x v="2"/>
    <x v="10"/>
    <s v="New York"/>
    <s v="Consumer"/>
    <x v="0"/>
    <x v="10"/>
    <x v="2"/>
    <x v="307"/>
    <n v="382.96"/>
    <n v="552.84"/>
    <n v="0.17599999999999999"/>
    <x v="164"/>
    <n v="8"/>
    <x v="21"/>
    <n v="552.84"/>
    <x v="307"/>
    <n v="3063.68"/>
    <x v="307"/>
    <n v="0.15932768693763483"/>
    <s v="C"/>
  </r>
  <r>
    <x v="307"/>
    <x v="266"/>
    <d v="2025-02-04T00:00:00"/>
    <x v="267"/>
    <x v="1"/>
    <x v="2"/>
    <s v="Tokyo"/>
    <s v="Small Business"/>
    <x v="3"/>
    <x v="4"/>
    <x v="1"/>
    <x v="308"/>
    <n v="122.29"/>
    <n v="224.95"/>
    <n v="0.153"/>
    <x v="124"/>
    <n v="28"/>
    <x v="19"/>
    <n v="224.95"/>
    <x v="308"/>
    <n v="3424.1200000000003"/>
    <x v="308"/>
    <n v="0.3581677471026618"/>
    <s v="C"/>
  </r>
  <r>
    <x v="308"/>
    <x v="271"/>
    <d v="2023-01-29T00:00:00"/>
    <x v="199"/>
    <x v="3"/>
    <x v="7"/>
    <s v="Lyon"/>
    <s v="Non-Profit"/>
    <x v="4"/>
    <x v="14"/>
    <x v="4"/>
    <x v="309"/>
    <n v="401.66"/>
    <n v="772.09"/>
    <n v="8.8999999999999996E-2"/>
    <x v="25"/>
    <n v="14"/>
    <x v="6"/>
    <n v="772.09"/>
    <x v="309"/>
    <n v="5623.2400000000007"/>
    <x v="309"/>
    <n v="0.42895244107619046"/>
    <s v="C"/>
  </r>
  <r>
    <x v="309"/>
    <x v="272"/>
    <d v="2025-01-12T00:00:00"/>
    <x v="129"/>
    <x v="3"/>
    <x v="8"/>
    <s v="Manchester"/>
    <s v="Corporate"/>
    <x v="4"/>
    <x v="5"/>
    <x v="5"/>
    <x v="310"/>
    <n v="1399.72"/>
    <n v="3149.21"/>
    <n v="0.185"/>
    <x v="57"/>
    <n v="12"/>
    <x v="16"/>
    <n v="3149.21"/>
    <x v="310"/>
    <n v="16796.64"/>
    <x v="310"/>
    <n v="0.45464168703873797"/>
    <s v="C"/>
  </r>
  <r>
    <x v="310"/>
    <x v="154"/>
    <d v="2024-06-06T00:00:00"/>
    <x v="65"/>
    <x v="2"/>
    <x v="5"/>
    <s v="Rio de Janeiro"/>
    <s v="Non-Profit"/>
    <x v="1"/>
    <x v="2"/>
    <x v="2"/>
    <x v="311"/>
    <n v="51.13"/>
    <n v="57.53"/>
    <n v="4.4999999999999998E-2"/>
    <x v="106"/>
    <n v="16"/>
    <x v="16"/>
    <n v="57.53"/>
    <x v="311"/>
    <n v="818.08"/>
    <x v="311"/>
    <n v="6.9367859973808302E-2"/>
    <s v="C"/>
  </r>
  <r>
    <x v="311"/>
    <x v="87"/>
    <d v="2023-06-22T00:00:00"/>
    <x v="89"/>
    <x v="2"/>
    <x v="3"/>
    <s v="Toronto"/>
    <s v="Non-Profit"/>
    <x v="0"/>
    <x v="12"/>
    <x v="6"/>
    <x v="312"/>
    <n v="471.42"/>
    <n v="824.81"/>
    <n v="8.7999999999999995E-2"/>
    <x v="165"/>
    <n v="15"/>
    <x v="1"/>
    <n v="824.81"/>
    <x v="312"/>
    <n v="7071.3"/>
    <x v="312"/>
    <n v="0.37330064531608231"/>
    <s v="C"/>
  </r>
  <r>
    <x v="312"/>
    <x v="273"/>
    <d v="2024-11-05T00:00:00"/>
    <x v="268"/>
    <x v="3"/>
    <x v="8"/>
    <s v="London"/>
    <s v="Corporate"/>
    <x v="0"/>
    <x v="12"/>
    <x v="1"/>
    <x v="313"/>
    <n v="840.68"/>
    <n v="1493.53"/>
    <n v="0"/>
    <x v="5"/>
    <n v="27"/>
    <x v="25"/>
    <n v="1493.53"/>
    <x v="313"/>
    <n v="22698.359999999997"/>
    <x v="313"/>
    <n v="0.43711877230454027"/>
    <s v="C"/>
  </r>
  <r>
    <x v="313"/>
    <x v="274"/>
    <d v="2024-06-24T00:00:00"/>
    <x v="269"/>
    <x v="0"/>
    <x v="11"/>
    <s v="Durban"/>
    <s v="Education"/>
    <x v="3"/>
    <x v="10"/>
    <x v="5"/>
    <x v="314"/>
    <n v="597.85"/>
    <n v="741.92"/>
    <n v="3.1E-2"/>
    <x v="8"/>
    <n v="7"/>
    <x v="12"/>
    <n v="741.92"/>
    <x v="314"/>
    <n v="4184.95"/>
    <x v="314"/>
    <n v="0.16840594108544515"/>
    <s v="C"/>
  </r>
  <r>
    <x v="314"/>
    <x v="262"/>
    <d v="2025-06-06T00:00:00"/>
    <x v="270"/>
    <x v="3"/>
    <x v="7"/>
    <s v="Paris"/>
    <s v="Consumer"/>
    <x v="3"/>
    <x v="3"/>
    <x v="0"/>
    <x v="315"/>
    <n v="379.45"/>
    <n v="742.23"/>
    <n v="0.09"/>
    <x v="166"/>
    <n v="13"/>
    <x v="15"/>
    <n v="742.23"/>
    <x v="315"/>
    <n v="4932.8499999999995"/>
    <x v="315"/>
    <n v="0.43820915083192286"/>
    <s v="C"/>
  </r>
  <r>
    <x v="315"/>
    <x v="275"/>
    <d v="2023-05-14T00:00:00"/>
    <x v="28"/>
    <x v="1"/>
    <x v="2"/>
    <s v="Osaka"/>
    <s v="Enterprise"/>
    <x v="2"/>
    <x v="5"/>
    <x v="3"/>
    <x v="316"/>
    <n v="291.18"/>
    <n v="479.54"/>
    <n v="0.14099999999999999"/>
    <x v="167"/>
    <n v="22"/>
    <x v="11"/>
    <n v="479.54"/>
    <x v="316"/>
    <n v="6405.96"/>
    <x v="316"/>
    <n v="0.29312350801066001"/>
    <s v="C"/>
  </r>
  <r>
    <x v="316"/>
    <x v="276"/>
    <d v="2023-11-30T00:00:00"/>
    <x v="271"/>
    <x v="2"/>
    <x v="5"/>
    <s v="São Paulo"/>
    <s v="Enterprise"/>
    <x v="4"/>
    <x v="11"/>
    <x v="2"/>
    <x v="317"/>
    <n v="1017.92"/>
    <n v="1175.25"/>
    <n v="7.4999999999999997E-2"/>
    <x v="43"/>
    <n v="15"/>
    <x v="12"/>
    <n v="1175.25"/>
    <x v="317"/>
    <n v="15268.8"/>
    <x v="317"/>
    <n v="6.3642583234159542E-2"/>
    <s v="C"/>
  </r>
  <r>
    <x v="317"/>
    <x v="277"/>
    <d v="2025-04-27T00:00:00"/>
    <x v="272"/>
    <x v="2"/>
    <x v="10"/>
    <s v="San Francisco"/>
    <s v="Corporate"/>
    <x v="4"/>
    <x v="2"/>
    <x v="5"/>
    <x v="318"/>
    <n v="156.55000000000001"/>
    <n v="227.45"/>
    <n v="1.4E-2"/>
    <x v="168"/>
    <n v="13"/>
    <x v="0"/>
    <n v="227.45"/>
    <x v="318"/>
    <n v="2035.15"/>
    <x v="318"/>
    <n v="0.3019440779396938"/>
    <s v="C"/>
  </r>
  <r>
    <x v="318"/>
    <x v="278"/>
    <d v="2023-04-15T00:00:00"/>
    <x v="273"/>
    <x v="0"/>
    <x v="0"/>
    <s v="Mombasa"/>
    <s v="Small Business"/>
    <x v="0"/>
    <x v="0"/>
    <x v="6"/>
    <x v="319"/>
    <n v="875.36"/>
    <n v="1178.6199999999999"/>
    <n v="0.151"/>
    <x v="101"/>
    <n v="53"/>
    <x v="20"/>
    <n v="1178.6199999999999"/>
    <x v="319"/>
    <n v="46394.080000000002"/>
    <x v="319"/>
    <n v="0.12520719815685888"/>
    <s v="C"/>
  </r>
  <r>
    <x v="319"/>
    <x v="91"/>
    <d v="2024-06-18T00:00:00"/>
    <x v="274"/>
    <x v="3"/>
    <x v="6"/>
    <s v="Frankfurt"/>
    <s v="Small Business"/>
    <x v="1"/>
    <x v="6"/>
    <x v="3"/>
    <x v="320"/>
    <n v="986.85"/>
    <n v="2422.1"/>
    <n v="7.5999999999999998E-2"/>
    <x v="169"/>
    <n v="10"/>
    <x v="28"/>
    <n v="2422.1"/>
    <x v="320"/>
    <n v="9868.5"/>
    <x v="320"/>
    <n v="0.55905227673527913"/>
    <s v="C"/>
  </r>
  <r>
    <x v="320"/>
    <x v="279"/>
    <d v="2024-01-01T00:00:00"/>
    <x v="275"/>
    <x v="2"/>
    <x v="10"/>
    <s v="Chicago"/>
    <s v="Education"/>
    <x v="2"/>
    <x v="5"/>
    <x v="2"/>
    <x v="321"/>
    <n v="404.77"/>
    <n v="433.88"/>
    <n v="0.215"/>
    <x v="65"/>
    <n v="22"/>
    <x v="1"/>
    <n v="433.88"/>
    <x v="321"/>
    <n v="8904.9399999999987"/>
    <x v="321"/>
    <n v="-0.18841747314558746"/>
    <s v="C"/>
  </r>
  <r>
    <x v="321"/>
    <x v="2"/>
    <d v="2023-02-27T00:00:00"/>
    <x v="276"/>
    <x v="3"/>
    <x v="7"/>
    <s v="Marseille"/>
    <s v="Corporate"/>
    <x v="0"/>
    <x v="11"/>
    <x v="2"/>
    <x v="322"/>
    <n v="1299.81"/>
    <n v="3149.13"/>
    <n v="0.10299999999999999"/>
    <x v="170"/>
    <n v="14"/>
    <x v="1"/>
    <n v="3149.13"/>
    <x v="322"/>
    <n v="18197.34"/>
    <x v="322"/>
    <n v="0.53985273864511729"/>
    <s v="C"/>
  </r>
  <r>
    <x v="322"/>
    <x v="142"/>
    <d v="2024-03-11T00:00:00"/>
    <x v="277"/>
    <x v="2"/>
    <x v="5"/>
    <s v="São Paulo"/>
    <s v="Consumer"/>
    <x v="1"/>
    <x v="8"/>
    <x v="0"/>
    <x v="323"/>
    <n v="80.48"/>
    <n v="65.650000000000006"/>
    <n v="0.17599999999999999"/>
    <x v="164"/>
    <n v="13"/>
    <x v="21"/>
    <n v="65.650000000000006"/>
    <x v="323"/>
    <n v="1046.24"/>
    <x v="323"/>
    <n v="-0.48773652570634191"/>
    <s v="C"/>
  </r>
  <r>
    <x v="323"/>
    <x v="191"/>
    <d v="2024-10-08T00:00:00"/>
    <x v="233"/>
    <x v="2"/>
    <x v="5"/>
    <s v="São Paulo"/>
    <s v="Education"/>
    <x v="4"/>
    <x v="1"/>
    <x v="0"/>
    <x v="324"/>
    <n v="1010.33"/>
    <n v="2492.14"/>
    <n v="5.0999999999999997E-2"/>
    <x v="129"/>
    <n v="11"/>
    <x v="10"/>
    <n v="2492.14"/>
    <x v="324"/>
    <n v="11113.630000000001"/>
    <x v="324"/>
    <n v="0.57280653493656752"/>
    <s v="C"/>
  </r>
  <r>
    <x v="324"/>
    <x v="239"/>
    <d v="2023-05-29T00:00:00"/>
    <x v="278"/>
    <x v="0"/>
    <x v="11"/>
    <s v="Durban"/>
    <s v="Education"/>
    <x v="3"/>
    <x v="11"/>
    <x v="6"/>
    <x v="325"/>
    <n v="653.86"/>
    <n v="931.84"/>
    <n v="0.121"/>
    <x v="171"/>
    <n v="12"/>
    <x v="21"/>
    <n v="931.84"/>
    <x v="325"/>
    <n v="7846.32"/>
    <x v="325"/>
    <n v="0.20172129136506273"/>
    <s v="C"/>
  </r>
  <r>
    <x v="325"/>
    <x v="182"/>
    <d v="2024-01-29T00:00:00"/>
    <x v="186"/>
    <x v="1"/>
    <x v="4"/>
    <s v="Hyderabad"/>
    <s v="Small Business"/>
    <x v="4"/>
    <x v="5"/>
    <x v="0"/>
    <x v="326"/>
    <n v="310.02"/>
    <n v="619.51"/>
    <n v="4.2000000000000003E-2"/>
    <x v="172"/>
    <n v="4"/>
    <x v="13"/>
    <n v="619.51"/>
    <x v="326"/>
    <n v="1240.08"/>
    <x v="326"/>
    <n v="0.47763282106347843"/>
    <s v="C"/>
  </r>
  <r>
    <x v="326"/>
    <x v="280"/>
    <d v="2023-06-18T00:00:00"/>
    <x v="279"/>
    <x v="0"/>
    <x v="0"/>
    <s v="Nakuru"/>
    <s v="Enterprise"/>
    <x v="4"/>
    <x v="10"/>
    <x v="3"/>
    <x v="327"/>
    <n v="894.23"/>
    <n v="1421.55"/>
    <n v="0.109"/>
    <x v="14"/>
    <n v="3"/>
    <x v="11"/>
    <n v="1421.55"/>
    <x v="327"/>
    <n v="2682.69"/>
    <x v="327"/>
    <n v="0.29399237431549574"/>
    <s v="C"/>
  </r>
  <r>
    <x v="327"/>
    <x v="281"/>
    <d v="2025-05-17T00:00:00"/>
    <x v="280"/>
    <x v="2"/>
    <x v="5"/>
    <s v="São Paulo"/>
    <s v="Small Business"/>
    <x v="3"/>
    <x v="4"/>
    <x v="5"/>
    <x v="328"/>
    <n v="383.77"/>
    <n v="952.56"/>
    <n v="0.34599999999999997"/>
    <x v="33"/>
    <n v="10"/>
    <x v="1"/>
    <n v="952.56"/>
    <x v="328"/>
    <n v="3837.7"/>
    <x v="328"/>
    <n v="0.42445320279787385"/>
    <s v="C"/>
  </r>
  <r>
    <x v="328"/>
    <x v="282"/>
    <d v="2023-11-16T00:00:00"/>
    <x v="281"/>
    <x v="2"/>
    <x v="3"/>
    <s v="Toronto"/>
    <s v="Small Business"/>
    <x v="2"/>
    <x v="2"/>
    <x v="4"/>
    <x v="329"/>
    <n v="1373.31"/>
    <n v="3154.14"/>
    <n v="0.2"/>
    <x v="47"/>
    <n v="11"/>
    <x v="2"/>
    <n v="3154.14"/>
    <x v="329"/>
    <n v="15106.41"/>
    <x v="329"/>
    <n v="0.45575101295440279"/>
    <s v="C"/>
  </r>
  <r>
    <x v="329"/>
    <x v="283"/>
    <d v="2025-01-23T00:00:00"/>
    <x v="11"/>
    <x v="2"/>
    <x v="10"/>
    <s v="Austin"/>
    <s v="Consumer"/>
    <x v="3"/>
    <x v="10"/>
    <x v="3"/>
    <x v="330"/>
    <n v="100.69"/>
    <n v="226.14"/>
    <n v="6.5000000000000002E-2"/>
    <x v="173"/>
    <n v="12"/>
    <x v="7"/>
    <n v="226.14"/>
    <x v="330"/>
    <n v="1208.28"/>
    <x v="330"/>
    <n v="0.52379128162999689"/>
    <s v="C"/>
  </r>
  <r>
    <x v="330"/>
    <x v="284"/>
    <d v="2025-09-26T00:00:00"/>
    <x v="282"/>
    <x v="3"/>
    <x v="8"/>
    <s v="London"/>
    <s v="Small Business"/>
    <x v="4"/>
    <x v="13"/>
    <x v="2"/>
    <x v="331"/>
    <n v="425.15"/>
    <n v="885.92"/>
    <n v="0.23899999999999999"/>
    <x v="174"/>
    <n v="13"/>
    <x v="7"/>
    <n v="885.92"/>
    <x v="331"/>
    <n v="5526.95"/>
    <x v="331"/>
    <n v="0.3693868532725848"/>
    <s v="C"/>
  </r>
  <r>
    <x v="331"/>
    <x v="52"/>
    <d v="2023-09-03T00:00:00"/>
    <x v="283"/>
    <x v="1"/>
    <x v="4"/>
    <s v="Delhi"/>
    <s v="Small Business"/>
    <x v="2"/>
    <x v="4"/>
    <x v="6"/>
    <x v="332"/>
    <n v="1082.25"/>
    <n v="2433.34"/>
    <n v="0.27"/>
    <x v="175"/>
    <n v="4"/>
    <x v="3"/>
    <n v="2433.34"/>
    <x v="332"/>
    <n v="4329"/>
    <x v="332"/>
    <n v="0.3907410199251472"/>
    <s v="C"/>
  </r>
  <r>
    <x v="332"/>
    <x v="285"/>
    <d v="2023-12-06T00:00:00"/>
    <x v="284"/>
    <x v="3"/>
    <x v="8"/>
    <s v="Manchester"/>
    <s v="Education"/>
    <x v="4"/>
    <x v="10"/>
    <x v="6"/>
    <x v="333"/>
    <n v="1184.99"/>
    <n v="1154.3399999999999"/>
    <n v="2.8000000000000001E-2"/>
    <x v="176"/>
    <n v="5"/>
    <x v="28"/>
    <n v="1154.3399999999999"/>
    <x v="333"/>
    <n v="5924.95"/>
    <x v="333"/>
    <n v="-5.6123424990290764E-2"/>
    <s v="C"/>
  </r>
  <r>
    <x v="333"/>
    <x v="60"/>
    <d v="2025-05-27T00:00:00"/>
    <x v="217"/>
    <x v="1"/>
    <x v="4"/>
    <s v="Unknown"/>
    <s v="Enterprise"/>
    <x v="2"/>
    <x v="10"/>
    <x v="3"/>
    <x v="334"/>
    <n v="481.32"/>
    <n v="1135.99"/>
    <n v="0.14499999999999999"/>
    <x v="177"/>
    <n v="5"/>
    <x v="17"/>
    <n v="1135.99"/>
    <x v="334"/>
    <n v="2406.6"/>
    <x v="334"/>
    <n v="0.50444337677175621"/>
    <s v="C"/>
  </r>
  <r>
    <x v="334"/>
    <x v="286"/>
    <d v="2024-04-18T00:00:00"/>
    <x v="285"/>
    <x v="3"/>
    <x v="7"/>
    <s v="Lyon"/>
    <s v="Consumer"/>
    <x v="1"/>
    <x v="6"/>
    <x v="1"/>
    <x v="335"/>
    <n v="1288.8499999999999"/>
    <n v="2751.84"/>
    <n v="0.158"/>
    <x v="178"/>
    <n v="7"/>
    <x v="26"/>
    <n v="2751.84"/>
    <x v="335"/>
    <n v="9021.9499999999989"/>
    <x v="335"/>
    <n v="0.44375373837538756"/>
    <s v="C"/>
  </r>
  <r>
    <x v="335"/>
    <x v="287"/>
    <d v="2024-07-31T00:00:00"/>
    <x v="223"/>
    <x v="1"/>
    <x v="9"/>
    <s v="Shenzhen"/>
    <s v="Consumer"/>
    <x v="1"/>
    <x v="3"/>
    <x v="3"/>
    <x v="336"/>
    <n v="647.26"/>
    <n v="1374.72"/>
    <n v="6.6000000000000003E-2"/>
    <x v="71"/>
    <n v="22"/>
    <x v="8"/>
    <n v="1374.72"/>
    <x v="336"/>
    <n v="14239.72"/>
    <x v="336"/>
    <n v="0.49589890401508901"/>
    <s v="C"/>
  </r>
  <r>
    <x v="336"/>
    <x v="142"/>
    <d v="2024-03-03T00:00:00"/>
    <x v="182"/>
    <x v="2"/>
    <x v="5"/>
    <s v="Unknown"/>
    <s v="Enterprise"/>
    <x v="3"/>
    <x v="8"/>
    <x v="1"/>
    <x v="337"/>
    <n v="624.23"/>
    <n v="1318.37"/>
    <n v="0.21"/>
    <x v="179"/>
    <n v="37"/>
    <x v="16"/>
    <n v="1318.37"/>
    <x v="337"/>
    <n v="23096.510000000002"/>
    <x v="337"/>
    <n v="0.40065038118128793"/>
    <s v="C"/>
  </r>
  <r>
    <x v="337"/>
    <x v="288"/>
    <d v="2023-08-10T00:00:00"/>
    <x v="252"/>
    <x v="0"/>
    <x v="1"/>
    <s v="Port Harcourt"/>
    <s v="Corporate"/>
    <x v="3"/>
    <x v="2"/>
    <x v="6"/>
    <x v="338"/>
    <n v="506.83"/>
    <n v="441.74"/>
    <n v="0.24"/>
    <x v="180"/>
    <n v="9"/>
    <x v="12"/>
    <n v="441.74"/>
    <x v="338"/>
    <n v="4561.47"/>
    <x v="338"/>
    <n v="-0.50966989393618067"/>
    <s v="C"/>
  </r>
  <r>
    <x v="338"/>
    <x v="289"/>
    <d v="2023-07-21T00:00:00"/>
    <x v="172"/>
    <x v="0"/>
    <x v="11"/>
    <s v="Durban"/>
    <s v="Enterprise"/>
    <x v="2"/>
    <x v="15"/>
    <x v="5"/>
    <x v="339"/>
    <n v="620.74"/>
    <n v="1330.07"/>
    <n v="0.29899999999999999"/>
    <x v="181"/>
    <n v="28"/>
    <x v="1"/>
    <n v="1330.07"/>
    <x v="339"/>
    <n v="17380.72"/>
    <x v="339"/>
    <n v="0.33424073965967516"/>
    <s v="C"/>
  </r>
  <r>
    <x v="339"/>
    <x v="245"/>
    <d v="2023-08-19T00:00:00"/>
    <x v="286"/>
    <x v="0"/>
    <x v="0"/>
    <s v="Nairobi"/>
    <s v="Enterprise"/>
    <x v="3"/>
    <x v="12"/>
    <x v="6"/>
    <x v="340"/>
    <n v="661.45"/>
    <n v="1634.86"/>
    <n v="0.56499999999999995"/>
    <x v="33"/>
    <n v="24"/>
    <x v="0"/>
    <n v="1634.86"/>
    <x v="340"/>
    <n v="15874.800000000001"/>
    <x v="340"/>
    <n v="0.42201254454291404"/>
    <s v="C"/>
  </r>
  <r>
    <x v="340"/>
    <x v="290"/>
    <d v="2023-04-11T00:00:00"/>
    <x v="287"/>
    <x v="2"/>
    <x v="10"/>
    <s v="San Francisco"/>
    <s v="Education"/>
    <x v="2"/>
    <x v="3"/>
    <x v="2"/>
    <x v="341"/>
    <n v="32.1"/>
    <n v="70.599999999999994"/>
    <n v="0.28199999999999997"/>
    <x v="182"/>
    <n v="22"/>
    <x v="1"/>
    <n v="70.599999999999994"/>
    <x v="341"/>
    <n v="706.2"/>
    <x v="341"/>
    <n v="0.36674899587301818"/>
    <s v="C"/>
  </r>
  <r>
    <x v="341"/>
    <x v="291"/>
    <d v="2024-11-04T00:00:00"/>
    <x v="288"/>
    <x v="0"/>
    <x v="0"/>
    <s v="Nairobi"/>
    <s v="Corporate"/>
    <x v="3"/>
    <x v="12"/>
    <x v="1"/>
    <x v="342"/>
    <n v="805.81"/>
    <n v="1823.04"/>
    <n v="0"/>
    <x v="5"/>
    <n v="11"/>
    <x v="30"/>
    <n v="1823.04"/>
    <x v="342"/>
    <n v="8863.91"/>
    <x v="342"/>
    <n v="0.55798556257679477"/>
    <s v="C"/>
  </r>
  <r>
    <x v="342"/>
    <x v="292"/>
    <d v="2024-03-04T00:00:00"/>
    <x v="146"/>
    <x v="1"/>
    <x v="4"/>
    <s v="Delhi"/>
    <s v="Small Business"/>
    <x v="2"/>
    <x v="9"/>
    <x v="3"/>
    <x v="343"/>
    <n v="1231.8"/>
    <n v="2015.99"/>
    <n v="0.26100000000000001"/>
    <x v="183"/>
    <n v="6"/>
    <x v="12"/>
    <n v="2015.99"/>
    <x v="343"/>
    <n v="7390.7999999999993"/>
    <x v="343"/>
    <n v="0.17318682599464391"/>
    <s v="C"/>
  </r>
  <r>
    <x v="343"/>
    <x v="293"/>
    <d v="2024-07-12T00:00:00"/>
    <x v="289"/>
    <x v="1"/>
    <x v="2"/>
    <s v="Nagoya"/>
    <s v="Small Business"/>
    <x v="2"/>
    <x v="9"/>
    <x v="2"/>
    <x v="344"/>
    <n v="105.13"/>
    <n v="244.13"/>
    <n v="7.0999999999999994E-2"/>
    <x v="87"/>
    <n v="14"/>
    <x v="1"/>
    <n v="244.13"/>
    <x v="344"/>
    <n v="1471.82"/>
    <x v="344"/>
    <n v="0.53645724319618837"/>
    <s v="C"/>
  </r>
  <r>
    <x v="344"/>
    <x v="294"/>
    <d v="2023-12-18T00:00:00"/>
    <x v="290"/>
    <x v="1"/>
    <x v="2"/>
    <s v="Nagoya"/>
    <s v="Small Business"/>
    <x v="4"/>
    <x v="13"/>
    <x v="4"/>
    <x v="345"/>
    <n v="1495.79"/>
    <n v="2783.12"/>
    <n v="0.02"/>
    <x v="112"/>
    <n v="5"/>
    <x v="13"/>
    <n v="2783.12"/>
    <x v="345"/>
    <n v="7478.95"/>
    <x v="345"/>
    <n v="0.45158084217331185"/>
    <s v="C"/>
  </r>
  <r>
    <x v="345"/>
    <x v="19"/>
    <d v="2024-08-02T00:00:00"/>
    <x v="291"/>
    <x v="2"/>
    <x v="3"/>
    <s v="Montreal"/>
    <s v="Consumer"/>
    <x v="4"/>
    <x v="1"/>
    <x v="6"/>
    <x v="346"/>
    <n v="986.81"/>
    <n v="2050.31"/>
    <n v="0.10299999999999999"/>
    <x v="170"/>
    <n v="43"/>
    <x v="11"/>
    <n v="2050.31"/>
    <x v="346"/>
    <n v="42432.829999999994"/>
    <x v="346"/>
    <n v="0.46343595310358138"/>
    <s v="C"/>
  </r>
  <r>
    <x v="346"/>
    <x v="177"/>
    <d v="2023-05-16T00:00:00"/>
    <x v="292"/>
    <x v="0"/>
    <x v="1"/>
    <s v="Abuja"/>
    <s v="Small Business"/>
    <x v="2"/>
    <x v="1"/>
    <x v="3"/>
    <x v="347"/>
    <n v="77.739999999999995"/>
    <n v="147.12"/>
    <n v="0"/>
    <x v="5"/>
    <n v="15"/>
    <x v="7"/>
    <n v="147.12"/>
    <x v="347"/>
    <n v="1166.0999999999999"/>
    <x v="347"/>
    <n v="0.47158781946710177"/>
    <s v="C"/>
  </r>
  <r>
    <x v="347"/>
    <x v="295"/>
    <d v="2024-01-06T00:00:00"/>
    <x v="293"/>
    <x v="0"/>
    <x v="1"/>
    <s v="Unknown"/>
    <s v="Corporate"/>
    <x v="2"/>
    <x v="11"/>
    <x v="0"/>
    <x v="348"/>
    <n v="932.61"/>
    <n v="1982.98"/>
    <n v="0.14399999999999999"/>
    <x v="41"/>
    <n v="16"/>
    <x v="12"/>
    <n v="1982.98"/>
    <x v="348"/>
    <n v="14921.76"/>
    <x v="348"/>
    <n v="0.45057556629345635"/>
    <s v="C"/>
  </r>
  <r>
    <x v="348"/>
    <x v="296"/>
    <d v="2025-07-05T00:00:00"/>
    <x v="227"/>
    <x v="1"/>
    <x v="4"/>
    <s v="Delhi"/>
    <s v="Consumer"/>
    <x v="2"/>
    <x v="4"/>
    <x v="4"/>
    <x v="349"/>
    <n v="982.93"/>
    <n v="2299.3000000000002"/>
    <n v="0.113"/>
    <x v="138"/>
    <n v="6"/>
    <x v="5"/>
    <n v="2299.3000000000002"/>
    <x v="349"/>
    <n v="5897.58"/>
    <x v="349"/>
    <n v="0.51804850562087157"/>
    <s v="C"/>
  </r>
  <r>
    <x v="349"/>
    <x v="29"/>
    <d v="2023-03-08T00:00:00"/>
    <x v="294"/>
    <x v="3"/>
    <x v="8"/>
    <s v="Manchester"/>
    <s v="Small Business"/>
    <x v="4"/>
    <x v="0"/>
    <x v="1"/>
    <x v="350"/>
    <n v="307.37"/>
    <n v="462.61"/>
    <n v="0.188"/>
    <x v="69"/>
    <n v="11"/>
    <x v="19"/>
    <n v="462.61"/>
    <x v="350"/>
    <n v="3381.07"/>
    <x v="350"/>
    <n v="0.18174167709599739"/>
    <s v="C"/>
  </r>
  <r>
    <x v="350"/>
    <x v="297"/>
    <d v="2023-12-16T00:00:00"/>
    <x v="295"/>
    <x v="3"/>
    <x v="6"/>
    <s v="Frankfurt"/>
    <s v="Education"/>
    <x v="4"/>
    <x v="13"/>
    <x v="5"/>
    <x v="351"/>
    <n v="879.08"/>
    <n v="1093.3900000000001"/>
    <n v="0.113"/>
    <x v="138"/>
    <n v="17"/>
    <x v="16"/>
    <n v="1093.3900000000001"/>
    <x v="351"/>
    <n v="14944.36"/>
    <x v="351"/>
    <n v="9.3579577341935186E-2"/>
    <s v="C"/>
  </r>
  <r>
    <x v="351"/>
    <x v="289"/>
    <d v="2023-07-14T00:00:00"/>
    <x v="137"/>
    <x v="0"/>
    <x v="1"/>
    <s v="Lagos"/>
    <s v="Education"/>
    <x v="0"/>
    <x v="2"/>
    <x v="6"/>
    <x v="352"/>
    <n v="956.38"/>
    <n v="1454.22"/>
    <n v="3.9E-2"/>
    <x v="184"/>
    <n v="19"/>
    <x v="18"/>
    <n v="1454.22"/>
    <x v="352"/>
    <n v="18171.22"/>
    <x v="352"/>
    <n v="0.31565202802576603"/>
    <s v="C"/>
  </r>
  <r>
    <x v="352"/>
    <x v="298"/>
    <d v="2024-08-20T00:00:00"/>
    <x v="296"/>
    <x v="1"/>
    <x v="2"/>
    <s v="Osaka"/>
    <s v="Small Business"/>
    <x v="0"/>
    <x v="10"/>
    <x v="2"/>
    <x v="353"/>
    <n v="1233.3599999999999"/>
    <n v="2120.4"/>
    <n v="0.17899999999999999"/>
    <x v="93"/>
    <n v="20"/>
    <x v="7"/>
    <n v="2120.4"/>
    <x v="353"/>
    <n v="24667.199999999997"/>
    <x v="353"/>
    <n v="0.29151785991244278"/>
    <s v="C"/>
  </r>
  <r>
    <x v="353"/>
    <x v="299"/>
    <d v="2024-11-26T00:00:00"/>
    <x v="297"/>
    <x v="2"/>
    <x v="5"/>
    <s v="Rio de Janeiro"/>
    <s v="Non-Profit"/>
    <x v="3"/>
    <x v="1"/>
    <x v="1"/>
    <x v="354"/>
    <n v="55.35"/>
    <n v="128.68"/>
    <n v="0.128"/>
    <x v="136"/>
    <n v="10"/>
    <x v="6"/>
    <n v="128.68"/>
    <x v="354"/>
    <n v="553.5"/>
    <x v="354"/>
    <n v="0.50672388372550647"/>
    <s v="C"/>
  </r>
  <r>
    <x v="354"/>
    <x v="300"/>
    <d v="2024-01-27T00:00:00"/>
    <x v="241"/>
    <x v="3"/>
    <x v="8"/>
    <s v="Manchester"/>
    <s v="Education"/>
    <x v="3"/>
    <x v="14"/>
    <x v="6"/>
    <x v="355"/>
    <n v="657.45"/>
    <n v="1325.96"/>
    <n v="0.16700000000000001"/>
    <x v="149"/>
    <n v="21"/>
    <x v="0"/>
    <n v="1325.96"/>
    <x v="355"/>
    <n v="13806.45"/>
    <x v="355"/>
    <n v="0.40476658249048808"/>
    <s v="C"/>
  </r>
  <r>
    <x v="355"/>
    <x v="301"/>
    <d v="2025-09-11T00:00:00"/>
    <x v="232"/>
    <x v="2"/>
    <x v="5"/>
    <s v="São Paulo"/>
    <s v="Non-Profit"/>
    <x v="4"/>
    <x v="9"/>
    <x v="1"/>
    <x v="356"/>
    <n v="1203.02"/>
    <n v="2439.33"/>
    <n v="0"/>
    <x v="5"/>
    <n v="18"/>
    <x v="27"/>
    <n v="2439.33"/>
    <x v="356"/>
    <n v="21654.36"/>
    <x v="356"/>
    <n v="0.50682359500354612"/>
    <s v="C"/>
  </r>
  <r>
    <x v="356"/>
    <x v="149"/>
    <d v="2024-04-21T00:00:00"/>
    <x v="298"/>
    <x v="2"/>
    <x v="5"/>
    <s v="Brasília"/>
    <s v="Small Business"/>
    <x v="3"/>
    <x v="5"/>
    <x v="2"/>
    <x v="357"/>
    <n v="1176.69"/>
    <n v="2201.54"/>
    <n v="0.17"/>
    <x v="185"/>
    <n v="27"/>
    <x v="5"/>
    <n v="2201.54"/>
    <x v="357"/>
    <n v="31770.63"/>
    <x v="357"/>
    <n v="0.35604222717701106"/>
    <s v="C"/>
  </r>
  <r>
    <x v="357"/>
    <x v="302"/>
    <d v="2024-12-07T00:00:00"/>
    <x v="299"/>
    <x v="1"/>
    <x v="9"/>
    <s v="Shanghai"/>
    <s v="Corporate"/>
    <x v="3"/>
    <x v="8"/>
    <x v="6"/>
    <x v="358"/>
    <n v="769.9"/>
    <n v="814.36"/>
    <n v="0"/>
    <x v="5"/>
    <n v="5"/>
    <x v="7"/>
    <n v="814.36"/>
    <x v="358"/>
    <n v="3849.5"/>
    <x v="358"/>
    <n v="5.4595019401738831E-2"/>
    <s v="C"/>
  </r>
  <r>
    <x v="358"/>
    <x v="303"/>
    <d v="2024-02-03T00:00:00"/>
    <x v="300"/>
    <x v="0"/>
    <x v="11"/>
    <s v="Cape Town"/>
    <s v="Non-Profit"/>
    <x v="3"/>
    <x v="4"/>
    <x v="1"/>
    <x v="359"/>
    <n v="666.23"/>
    <n v="1382.91"/>
    <n v="0.17599999999999999"/>
    <x v="164"/>
    <n v="13"/>
    <x v="12"/>
    <n v="1382.91"/>
    <x v="359"/>
    <n v="8660.99"/>
    <x v="359"/>
    <n v="0.41534043907553048"/>
    <s v="C"/>
  </r>
  <r>
    <x v="359"/>
    <x v="304"/>
    <d v="2024-06-25T00:00:00"/>
    <x v="301"/>
    <x v="3"/>
    <x v="8"/>
    <s v="Birmingham"/>
    <s v="Small Business"/>
    <x v="2"/>
    <x v="4"/>
    <x v="6"/>
    <x v="360"/>
    <n v="951.44"/>
    <n v="1646.43"/>
    <n v="0.11"/>
    <x v="46"/>
    <n v="24"/>
    <x v="24"/>
    <n v="1646.43"/>
    <x v="360"/>
    <n v="22834.560000000001"/>
    <x v="360"/>
    <n v="0.35069592520473475"/>
    <s v="C"/>
  </r>
  <r>
    <x v="360"/>
    <x v="305"/>
    <d v="2025-07-10T00:00:00"/>
    <x v="36"/>
    <x v="3"/>
    <x v="8"/>
    <s v="Birmingham"/>
    <s v="Non-Profit"/>
    <x v="2"/>
    <x v="14"/>
    <x v="3"/>
    <x v="361"/>
    <n v="546.83000000000004"/>
    <n v="400.84"/>
    <n v="7.8E-2"/>
    <x v="116"/>
    <n v="13"/>
    <x v="14"/>
    <n v="400.84"/>
    <x v="361"/>
    <n v="7108.7900000000009"/>
    <x v="361"/>
    <n v="-0.47962056254533608"/>
    <s v="C"/>
  </r>
  <r>
    <x v="361"/>
    <x v="306"/>
    <d v="2023-07-08T00:00:00"/>
    <x v="258"/>
    <x v="0"/>
    <x v="1"/>
    <s v="Port Harcourt"/>
    <s v="Corporate"/>
    <x v="0"/>
    <x v="8"/>
    <x v="4"/>
    <x v="362"/>
    <n v="834.26"/>
    <n v="1780.56"/>
    <n v="1.4E-2"/>
    <x v="168"/>
    <n v="47"/>
    <x v="1"/>
    <n v="1780.56"/>
    <x v="362"/>
    <n v="39210.22"/>
    <x v="362"/>
    <n v="0.5248093427497933"/>
    <s v="C"/>
  </r>
  <r>
    <x v="362"/>
    <x v="307"/>
    <d v="2024-03-26T00:00:00"/>
    <x v="220"/>
    <x v="1"/>
    <x v="9"/>
    <s v="Shenzhen"/>
    <s v="Enterprise"/>
    <x v="1"/>
    <x v="11"/>
    <x v="5"/>
    <x v="363"/>
    <n v="1029.67"/>
    <n v="1118.43"/>
    <n v="0.27200000000000002"/>
    <x v="186"/>
    <n v="9"/>
    <x v="13"/>
    <n v="1118.43"/>
    <x v="363"/>
    <n v="9267.0300000000007"/>
    <x v="363"/>
    <n v="-0.26461367106736061"/>
    <s v="C"/>
  </r>
  <r>
    <x v="363"/>
    <x v="308"/>
    <d v="2023-06-28T00:00:00"/>
    <x v="302"/>
    <x v="3"/>
    <x v="8"/>
    <s v="Birmingham"/>
    <s v="Corporate"/>
    <x v="4"/>
    <x v="11"/>
    <x v="1"/>
    <x v="364"/>
    <n v="605.82000000000005"/>
    <n v="771.12"/>
    <n v="0.13200000000000001"/>
    <x v="187"/>
    <n v="19"/>
    <x v="20"/>
    <n v="771.12"/>
    <x v="364"/>
    <n v="11510.580000000002"/>
    <x v="364"/>
    <n v="9.4888851597986767E-2"/>
    <s v="C"/>
  </r>
  <r>
    <x v="364"/>
    <x v="309"/>
    <d v="2025-04-09T00:00:00"/>
    <x v="303"/>
    <x v="1"/>
    <x v="2"/>
    <s v="Tokyo"/>
    <s v="Small Business"/>
    <x v="3"/>
    <x v="6"/>
    <x v="0"/>
    <x v="365"/>
    <n v="1055.45"/>
    <n v="1210.04"/>
    <n v="8.9999999999999993E-3"/>
    <x v="98"/>
    <n v="18"/>
    <x v="6"/>
    <n v="1210.04"/>
    <x v="365"/>
    <n v="18998.100000000002"/>
    <x v="365"/>
    <n v="0.1198346188053727"/>
    <s v="C"/>
  </r>
  <r>
    <x v="365"/>
    <x v="101"/>
    <d v="2024-06-15T00:00:00"/>
    <x v="304"/>
    <x v="0"/>
    <x v="0"/>
    <s v="Mombasa"/>
    <s v="Education"/>
    <x v="1"/>
    <x v="7"/>
    <x v="3"/>
    <x v="366"/>
    <n v="1295.18"/>
    <n v="3024.03"/>
    <n v="0.192"/>
    <x v="97"/>
    <n v="8"/>
    <x v="19"/>
    <n v="3024.03"/>
    <x v="366"/>
    <n v="10361.44"/>
    <x v="366"/>
    <n v="0.46993067378483178"/>
    <s v="C"/>
  </r>
  <r>
    <x v="366"/>
    <x v="310"/>
    <d v="2025-03-29T00:00:00"/>
    <x v="247"/>
    <x v="1"/>
    <x v="4"/>
    <s v="Mumbai"/>
    <s v="Enterprise"/>
    <x v="4"/>
    <x v="0"/>
    <x v="0"/>
    <x v="367"/>
    <n v="935.83"/>
    <n v="2303.46"/>
    <n v="0.105"/>
    <x v="52"/>
    <n v="9"/>
    <x v="16"/>
    <n v="2303.46"/>
    <x v="367"/>
    <n v="8422.4700000000012"/>
    <x v="367"/>
    <n v="0.54606543559174292"/>
    <s v="C"/>
  </r>
  <r>
    <x v="367"/>
    <x v="199"/>
    <d v="2023-10-09T00:00:00"/>
    <x v="305"/>
    <x v="2"/>
    <x v="10"/>
    <s v="New York"/>
    <s v="Small Business"/>
    <x v="2"/>
    <x v="1"/>
    <x v="4"/>
    <x v="368"/>
    <n v="1279.56"/>
    <n v="3083.8"/>
    <n v="0.106"/>
    <x v="188"/>
    <n v="5"/>
    <x v="16"/>
    <n v="3083.8"/>
    <x v="368"/>
    <n v="6397.7999999999993"/>
    <x v="368"/>
    <n v="0.53587289455047848"/>
    <s v="C"/>
  </r>
  <r>
    <x v="368"/>
    <x v="35"/>
    <d v="2025-07-23T00:00:00"/>
    <x v="216"/>
    <x v="2"/>
    <x v="3"/>
    <s v="Vancouver"/>
    <s v="Non-Profit"/>
    <x v="2"/>
    <x v="2"/>
    <x v="1"/>
    <x v="369"/>
    <n v="255.4"/>
    <n v="322.70999999999998"/>
    <n v="0.115"/>
    <x v="157"/>
    <n v="16"/>
    <x v="10"/>
    <n v="322.70999999999998"/>
    <x v="369"/>
    <n v="4086.4"/>
    <x v="369"/>
    <n v="0.10573713048412212"/>
    <s v="C"/>
  </r>
  <r>
    <x v="369"/>
    <x v="311"/>
    <d v="2024-01-03T00:00:00"/>
    <x v="306"/>
    <x v="3"/>
    <x v="7"/>
    <s v="Lyon"/>
    <s v="Small Business"/>
    <x v="0"/>
    <x v="12"/>
    <x v="4"/>
    <x v="370"/>
    <n v="492.75"/>
    <n v="731.29"/>
    <n v="5.8000000000000003E-2"/>
    <x v="189"/>
    <n v="6"/>
    <x v="11"/>
    <n v="731.29"/>
    <x v="370"/>
    <n v="2956.5"/>
    <x v="370"/>
    <n v="0.28470350753528384"/>
    <s v="C"/>
  </r>
  <r>
    <x v="370"/>
    <x v="312"/>
    <d v="2023-02-28T00:00:00"/>
    <x v="174"/>
    <x v="2"/>
    <x v="10"/>
    <s v="Austin"/>
    <s v="Non-Profit"/>
    <x v="3"/>
    <x v="4"/>
    <x v="3"/>
    <x v="371"/>
    <n v="1214.49"/>
    <n v="1533.95"/>
    <n v="0"/>
    <x v="5"/>
    <n v="11"/>
    <x v="20"/>
    <n v="1533.95"/>
    <x v="371"/>
    <n v="13359.39"/>
    <x v="371"/>
    <n v="0.20825972163369086"/>
    <s v="C"/>
  </r>
  <r>
    <x v="371"/>
    <x v="89"/>
    <d v="2023-04-08T00:00:00"/>
    <x v="307"/>
    <x v="0"/>
    <x v="1"/>
    <s v="Abuja"/>
    <s v="Small Business"/>
    <x v="2"/>
    <x v="11"/>
    <x v="5"/>
    <x v="372"/>
    <n v="720.35"/>
    <n v="1571.66"/>
    <n v="0.107"/>
    <x v="104"/>
    <n v="23"/>
    <x v="24"/>
    <n v="1571.66"/>
    <x v="372"/>
    <n v="16568.05"/>
    <x v="372"/>
    <n v="0.4867446305622265"/>
    <s v="C"/>
  </r>
  <r>
    <x v="372"/>
    <x v="254"/>
    <d v="2025-04-10T00:00:00"/>
    <x v="308"/>
    <x v="3"/>
    <x v="8"/>
    <s v="Birmingham"/>
    <s v="Non-Profit"/>
    <x v="4"/>
    <x v="13"/>
    <x v="1"/>
    <x v="373"/>
    <n v="290.14"/>
    <n v="250.73"/>
    <n v="3.4000000000000002E-2"/>
    <x v="75"/>
    <n v="17"/>
    <x v="30"/>
    <n v="250.73"/>
    <x v="373"/>
    <n v="4932.38"/>
    <x v="373"/>
    <n v="-0.19790997038131072"/>
    <s v="C"/>
  </r>
  <r>
    <x v="373"/>
    <x v="313"/>
    <d v="2024-05-27T00:00:00"/>
    <x v="101"/>
    <x v="2"/>
    <x v="10"/>
    <s v="Austin"/>
    <s v="Non-Profit"/>
    <x v="1"/>
    <x v="0"/>
    <x v="3"/>
    <x v="374"/>
    <n v="1484.23"/>
    <n v="3472.81"/>
    <n v="0.25600000000000001"/>
    <x v="190"/>
    <n v="12"/>
    <x v="23"/>
    <n v="3472.81"/>
    <x v="374"/>
    <n v="17810.760000000002"/>
    <x v="374"/>
    <n v="0.42555659661803413"/>
    <s v="C"/>
  </r>
  <r>
    <x v="374"/>
    <x v="314"/>
    <d v="2024-03-19T00:00:00"/>
    <x v="309"/>
    <x v="1"/>
    <x v="9"/>
    <s v="Beijing"/>
    <s v="Consumer"/>
    <x v="3"/>
    <x v="3"/>
    <x v="3"/>
    <x v="375"/>
    <n v="988.83"/>
    <n v="1206.04"/>
    <n v="6.3E-2"/>
    <x v="95"/>
    <n v="34"/>
    <x v="12"/>
    <n v="1206.04"/>
    <x v="375"/>
    <n v="33620.22"/>
    <x v="375"/>
    <n v="0.12497526236406606"/>
    <s v="C"/>
  </r>
  <r>
    <x v="375"/>
    <x v="232"/>
    <d v="2025-07-11T00:00:00"/>
    <x v="310"/>
    <x v="1"/>
    <x v="9"/>
    <s v="Shanghai"/>
    <s v="Small Business"/>
    <x v="2"/>
    <x v="4"/>
    <x v="2"/>
    <x v="376"/>
    <n v="1227.7"/>
    <n v="2197.23"/>
    <n v="9.9000000000000005E-2"/>
    <x v="73"/>
    <n v="22"/>
    <x v="16"/>
    <n v="2197.23"/>
    <x v="376"/>
    <n v="27009.4"/>
    <x v="376"/>
    <n v="0.37985685871873898"/>
    <s v="C"/>
  </r>
  <r>
    <x v="376"/>
    <x v="315"/>
    <d v="2023-04-04T00:00:00"/>
    <x v="311"/>
    <x v="0"/>
    <x v="11"/>
    <s v="Durban"/>
    <s v="Small Business"/>
    <x v="0"/>
    <x v="8"/>
    <x v="0"/>
    <x v="377"/>
    <n v="1113.7"/>
    <n v="1620.6"/>
    <n v="0.13900000000000001"/>
    <x v="23"/>
    <n v="11"/>
    <x v="21"/>
    <n v="1620.6"/>
    <x v="377"/>
    <n v="12250.7"/>
    <x v="377"/>
    <n v="0.20184133348182787"/>
    <s v="C"/>
  </r>
  <r>
    <x v="377"/>
    <x v="316"/>
    <d v="2025-01-20T00:00:00"/>
    <x v="312"/>
    <x v="0"/>
    <x v="11"/>
    <s v="Cape Town"/>
    <s v="Corporate"/>
    <x v="4"/>
    <x v="11"/>
    <x v="2"/>
    <x v="378"/>
    <n v="432.13"/>
    <n v="1034.6600000000001"/>
    <n v="9.1999999999999998E-2"/>
    <x v="76"/>
    <n v="7"/>
    <x v="19"/>
    <n v="1034.6600000000001"/>
    <x v="378"/>
    <n v="3024.91"/>
    <x v="378"/>
    <n v="0.54002851476204794"/>
    <s v="C"/>
  </r>
  <r>
    <x v="378"/>
    <x v="317"/>
    <d v="2025-02-15T00:00:00"/>
    <x v="96"/>
    <x v="2"/>
    <x v="5"/>
    <s v="São Paulo"/>
    <s v="Non-Profit"/>
    <x v="3"/>
    <x v="9"/>
    <x v="2"/>
    <x v="379"/>
    <n v="837.39"/>
    <n v="1905.42"/>
    <n v="3.2000000000000001E-2"/>
    <x v="191"/>
    <n v="18"/>
    <x v="26"/>
    <n v="1905.42"/>
    <x v="379"/>
    <n v="15073.02"/>
    <x v="379"/>
    <n v="0.54599389423350919"/>
    <s v="C"/>
  </r>
  <r>
    <x v="379"/>
    <x v="318"/>
    <d v="2025-02-17T00:00:00"/>
    <x v="313"/>
    <x v="3"/>
    <x v="8"/>
    <s v="London"/>
    <s v="Enterprise"/>
    <x v="0"/>
    <x v="10"/>
    <x v="0"/>
    <x v="78"/>
    <n v="378.26"/>
    <n v="541.55999999999995"/>
    <n v="0.16300000000000001"/>
    <x v="192"/>
    <n v="25"/>
    <x v="13"/>
    <n v="541.55999999999995"/>
    <x v="380"/>
    <n v="9456.5"/>
    <x v="380"/>
    <n v="0.16551529573885526"/>
    <s v="C"/>
  </r>
  <r>
    <x v="380"/>
    <x v="83"/>
    <d v="2025-09-06T00:00:00"/>
    <x v="314"/>
    <x v="2"/>
    <x v="3"/>
    <s v="Montreal"/>
    <s v="Education"/>
    <x v="4"/>
    <x v="12"/>
    <x v="2"/>
    <x v="380"/>
    <n v="833.73"/>
    <n v="1116.5999999999999"/>
    <n v="0.17599999999999999"/>
    <x v="164"/>
    <n v="14"/>
    <x v="17"/>
    <n v="1116.5999999999999"/>
    <x v="381"/>
    <n v="11672.220000000001"/>
    <x v="381"/>
    <n v="9.3848958958279924E-2"/>
    <s v="C"/>
  </r>
  <r>
    <x v="381"/>
    <x v="319"/>
    <d v="2025-08-17T00:00:00"/>
    <x v="315"/>
    <x v="3"/>
    <x v="8"/>
    <s v="Birmingham"/>
    <s v="Education"/>
    <x v="1"/>
    <x v="2"/>
    <x v="1"/>
    <x v="381"/>
    <n v="1142.06"/>
    <n v="1455"/>
    <n v="7.8E-2"/>
    <x v="116"/>
    <n v="28"/>
    <x v="2"/>
    <n v="1455"/>
    <x v="382"/>
    <n v="31977.68"/>
    <x v="382"/>
    <n v="0.1486757459877302"/>
    <s v="C"/>
  </r>
  <r>
    <x v="382"/>
    <x v="264"/>
    <d v="2023-07-08T00:00:00"/>
    <x v="258"/>
    <x v="2"/>
    <x v="10"/>
    <s v="New York"/>
    <s v="Consumer"/>
    <x v="2"/>
    <x v="7"/>
    <x v="2"/>
    <x v="382"/>
    <n v="1145.53"/>
    <n v="1278.3"/>
    <n v="0.09"/>
    <x v="166"/>
    <n v="41"/>
    <x v="5"/>
    <n v="1278.3"/>
    <x v="383"/>
    <n v="46966.729999999996"/>
    <x v="383"/>
    <n v="1.5235722581416158E-2"/>
    <s v="C"/>
  </r>
  <r>
    <x v="383"/>
    <x v="320"/>
    <d v="2024-08-07T00:00:00"/>
    <x v="316"/>
    <x v="3"/>
    <x v="7"/>
    <s v="Marseille"/>
    <s v="Corporate"/>
    <x v="0"/>
    <x v="9"/>
    <x v="5"/>
    <x v="383"/>
    <n v="941.35"/>
    <n v="899.83"/>
    <n v="5.8000000000000003E-2"/>
    <x v="189"/>
    <n v="18"/>
    <x v="8"/>
    <n v="899.83"/>
    <x v="384"/>
    <n v="16944.3"/>
    <x v="384"/>
    <n v="-0.11055419220139073"/>
    <s v="C"/>
  </r>
  <r>
    <x v="384"/>
    <x v="72"/>
    <d v="2023-06-19T00:00:00"/>
    <x v="112"/>
    <x v="1"/>
    <x v="4"/>
    <s v="Delhi"/>
    <s v="Non-Profit"/>
    <x v="2"/>
    <x v="10"/>
    <x v="4"/>
    <x v="384"/>
    <n v="1161.2"/>
    <n v="878.73"/>
    <n v="0.19"/>
    <x v="193"/>
    <n v="31"/>
    <x v="17"/>
    <n v="878.73"/>
    <x v="385"/>
    <n v="35997.200000000004"/>
    <x v="385"/>
    <n v="-0.63142290227212028"/>
    <s v="C"/>
  </r>
  <r>
    <x v="385"/>
    <x v="321"/>
    <d v="2025-05-26T00:00:00"/>
    <x v="280"/>
    <x v="1"/>
    <x v="4"/>
    <s v="Hyderabad"/>
    <s v="Corporate"/>
    <x v="2"/>
    <x v="3"/>
    <x v="1"/>
    <x v="385"/>
    <n v="320.12"/>
    <n v="594.41999999999996"/>
    <n v="0.104"/>
    <x v="66"/>
    <n v="18"/>
    <x v="16"/>
    <n v="594.41999999999996"/>
    <x v="386"/>
    <n v="5762.16"/>
    <x v="386"/>
    <n v="0.39894891538931104"/>
    <s v="C"/>
  </r>
  <r>
    <x v="386"/>
    <x v="322"/>
    <d v="2024-05-12T00:00:00"/>
    <x v="317"/>
    <x v="0"/>
    <x v="1"/>
    <s v="Abuja"/>
    <s v="Non-Profit"/>
    <x v="3"/>
    <x v="4"/>
    <x v="4"/>
    <x v="386"/>
    <n v="1163.99"/>
    <n v="1617.85"/>
    <n v="0.127"/>
    <x v="109"/>
    <n v="14"/>
    <x v="15"/>
    <n v="1617.85"/>
    <x v="387"/>
    <n v="16295.86"/>
    <x v="387"/>
    <n v="0.17586804797749436"/>
    <s v="C"/>
  </r>
  <r>
    <x v="387"/>
    <x v="323"/>
    <d v="2023-10-03T00:00:00"/>
    <x v="318"/>
    <x v="1"/>
    <x v="9"/>
    <s v="Beijing"/>
    <s v="Non-Profit"/>
    <x v="0"/>
    <x v="1"/>
    <x v="4"/>
    <x v="387"/>
    <n v="1019.36"/>
    <n v="972.91"/>
    <n v="0.14699999999999999"/>
    <x v="6"/>
    <n v="17"/>
    <x v="4"/>
    <n v="972.91"/>
    <x v="388"/>
    <n v="17329.12"/>
    <x v="388"/>
    <n v="-0.22830406545678819"/>
    <s v="C"/>
  </r>
  <r>
    <x v="388"/>
    <x v="324"/>
    <d v="2023-11-05T00:00:00"/>
    <x v="319"/>
    <x v="0"/>
    <x v="11"/>
    <s v="Cape Town"/>
    <s v="Non-Profit"/>
    <x v="1"/>
    <x v="2"/>
    <x v="4"/>
    <x v="388"/>
    <n v="20.38"/>
    <n v="42.56"/>
    <n v="7.1999999999999995E-2"/>
    <x v="3"/>
    <n v="11"/>
    <x v="23"/>
    <n v="42.56"/>
    <x v="389"/>
    <n v="224.17999999999998"/>
    <x v="389"/>
    <n v="0.48399419885921713"/>
    <s v="C"/>
  </r>
  <r>
    <x v="389"/>
    <x v="325"/>
    <d v="2025-06-30T00:00:00"/>
    <x v="320"/>
    <x v="0"/>
    <x v="11"/>
    <s v="Johannesburg"/>
    <s v="Small Business"/>
    <x v="4"/>
    <x v="0"/>
    <x v="5"/>
    <x v="389"/>
    <n v="1487.59"/>
    <n v="1480.83"/>
    <n v="8.9999999999999993E-3"/>
    <x v="98"/>
    <n v="11"/>
    <x v="14"/>
    <n v="1480.83"/>
    <x v="390"/>
    <n v="16363.49"/>
    <x v="390"/>
    <n v="-1.3688201273492908E-2"/>
    <s v="C"/>
  </r>
  <r>
    <x v="390"/>
    <x v="326"/>
    <d v="2024-09-07T00:00:00"/>
    <x v="250"/>
    <x v="3"/>
    <x v="7"/>
    <s v="Marseille"/>
    <s v="Non-Profit"/>
    <x v="4"/>
    <x v="9"/>
    <x v="1"/>
    <x v="390"/>
    <n v="229.96"/>
    <n v="564.26"/>
    <n v="0.105"/>
    <x v="52"/>
    <n v="5"/>
    <x v="27"/>
    <n v="564.26"/>
    <x v="391"/>
    <n v="1149.8"/>
    <x v="391"/>
    <n v="0.54464511486542821"/>
    <s v="C"/>
  </r>
  <r>
    <x v="391"/>
    <x v="327"/>
    <d v="2023-10-26T00:00:00"/>
    <x v="321"/>
    <x v="1"/>
    <x v="9"/>
    <s v="Shanghai"/>
    <s v="Consumer"/>
    <x v="2"/>
    <x v="0"/>
    <x v="0"/>
    <x v="391"/>
    <n v="1132.03"/>
    <n v="2137.21"/>
    <n v="0.35699999999999998"/>
    <x v="33"/>
    <n v="35"/>
    <x v="13"/>
    <n v="2137.21"/>
    <x v="392"/>
    <n v="39621.049999999996"/>
    <x v="392"/>
    <n v="0.24331922727026639"/>
    <s v="C"/>
  </r>
  <r>
    <x v="392"/>
    <x v="307"/>
    <d v="2024-03-26T00:00:00"/>
    <x v="220"/>
    <x v="2"/>
    <x v="10"/>
    <s v="San Francisco"/>
    <s v="Education"/>
    <x v="4"/>
    <x v="2"/>
    <x v="3"/>
    <x v="392"/>
    <n v="1137.4100000000001"/>
    <n v="1680.93"/>
    <n v="0.254"/>
    <x v="115"/>
    <n v="9"/>
    <x v="13"/>
    <n v="1680.93"/>
    <x v="393"/>
    <n v="10236.69"/>
    <x v="393"/>
    <n v="9.2955516183121464E-2"/>
    <s v="C"/>
  </r>
  <r>
    <x v="393"/>
    <x v="328"/>
    <d v="2023-06-20T00:00:00"/>
    <x v="322"/>
    <x v="3"/>
    <x v="8"/>
    <s v="London"/>
    <s v="Small Business"/>
    <x v="4"/>
    <x v="11"/>
    <x v="0"/>
    <x v="393"/>
    <n v="1295.3900000000001"/>
    <n v="2905.06"/>
    <n v="0.14799999999999999"/>
    <x v="134"/>
    <n v="8"/>
    <x v="21"/>
    <n v="2905.06"/>
    <x v="394"/>
    <n v="10363.120000000001"/>
    <x v="394"/>
    <n v="0.47663359857556614"/>
    <s v="C"/>
  </r>
  <r>
    <x v="394"/>
    <x v="329"/>
    <d v="2025-06-08T00:00:00"/>
    <x v="323"/>
    <x v="1"/>
    <x v="2"/>
    <s v="Osaka"/>
    <s v="Corporate"/>
    <x v="0"/>
    <x v="10"/>
    <x v="6"/>
    <x v="394"/>
    <n v="653.6"/>
    <n v="842.09"/>
    <n v="9.8000000000000004E-2"/>
    <x v="194"/>
    <n v="19"/>
    <x v="7"/>
    <n v="842.09"/>
    <x v="395"/>
    <n v="12418.4"/>
    <x v="395"/>
    <n v="0.13950768517324622"/>
    <s v="C"/>
  </r>
  <r>
    <x v="395"/>
    <x v="164"/>
    <d v="2025-09-14T00:00:00"/>
    <x v="324"/>
    <x v="3"/>
    <x v="6"/>
    <s v="Berlin"/>
    <s v="Non-Profit"/>
    <x v="1"/>
    <x v="8"/>
    <x v="5"/>
    <x v="395"/>
    <n v="1397.67"/>
    <n v="3131.37"/>
    <n v="0.10299999999999999"/>
    <x v="170"/>
    <n v="20"/>
    <x v="9"/>
    <n v="3131.37"/>
    <x v="396"/>
    <n v="27953.4"/>
    <x v="396"/>
    <n v="0.50240293062874808"/>
    <s v="C"/>
  </r>
  <r>
    <x v="396"/>
    <x v="330"/>
    <d v="2024-12-20T00:00:00"/>
    <x v="71"/>
    <x v="1"/>
    <x v="2"/>
    <s v="Tokyo"/>
    <s v="Corporate"/>
    <x v="0"/>
    <x v="5"/>
    <x v="4"/>
    <x v="396"/>
    <n v="1202.47"/>
    <n v="1444.72"/>
    <n v="0.24099999999999999"/>
    <x v="64"/>
    <n v="17"/>
    <x v="11"/>
    <n v="1444.72"/>
    <x v="397"/>
    <n v="20441.990000000002"/>
    <x v="397"/>
    <n v="-9.6601382921343834E-2"/>
    <s v="C"/>
  </r>
  <r>
    <x v="397"/>
    <x v="284"/>
    <d v="2025-09-23T00:00:00"/>
    <x v="325"/>
    <x v="0"/>
    <x v="11"/>
    <s v="Durban"/>
    <s v="Non-Profit"/>
    <x v="1"/>
    <x v="14"/>
    <x v="0"/>
    <x v="397"/>
    <n v="1310.3"/>
    <n v="2875.8"/>
    <n v="8.3000000000000004E-2"/>
    <x v="195"/>
    <n v="5"/>
    <x v="26"/>
    <n v="2875.8"/>
    <x v="398"/>
    <n v="6551.5"/>
    <x v="398"/>
    <n v="0.50313005691157353"/>
    <s v="C"/>
  </r>
  <r>
    <x v="398"/>
    <x v="331"/>
    <d v="2024-10-04T00:00:00"/>
    <x v="326"/>
    <x v="0"/>
    <x v="11"/>
    <s v="Cape Town"/>
    <s v="Corporate"/>
    <x v="2"/>
    <x v="14"/>
    <x v="5"/>
    <x v="398"/>
    <n v="1174.17"/>
    <n v="1641.61"/>
    <n v="0.122"/>
    <x v="152"/>
    <n v="9"/>
    <x v="27"/>
    <n v="1641.61"/>
    <x v="399"/>
    <n v="10567.53"/>
    <x v="399"/>
    <n v="0.18535860380079394"/>
    <s v="C"/>
  </r>
  <r>
    <x v="399"/>
    <x v="332"/>
    <d v="2025-04-30T00:00:00"/>
    <x v="53"/>
    <x v="0"/>
    <x v="0"/>
    <s v="Kisumu"/>
    <s v="Corporate"/>
    <x v="2"/>
    <x v="9"/>
    <x v="2"/>
    <x v="399"/>
    <n v="1119.04"/>
    <n v="1299.02"/>
    <n v="2.5000000000000001E-2"/>
    <x v="108"/>
    <n v="14"/>
    <x v="5"/>
    <n v="1299.02"/>
    <x v="400"/>
    <n v="15666.56"/>
    <x v="400"/>
    <n v="0.11646215352085933"/>
    <s v="C"/>
  </r>
  <r>
    <x v="400"/>
    <x v="175"/>
    <d v="2024-08-15T00:00:00"/>
    <x v="327"/>
    <x v="2"/>
    <x v="10"/>
    <s v="Chicago"/>
    <s v="Corporate"/>
    <x v="2"/>
    <x v="14"/>
    <x v="1"/>
    <x v="400"/>
    <n v="850.7"/>
    <n v="1118.56"/>
    <n v="0.18"/>
    <x v="78"/>
    <n v="19"/>
    <x v="4"/>
    <n v="1118.56"/>
    <x v="401"/>
    <n v="16163.300000000001"/>
    <x v="401"/>
    <n v="7.2522685962090688E-2"/>
    <s v="C"/>
  </r>
  <r>
    <x v="401"/>
    <x v="333"/>
    <d v="2024-11-08T00:00:00"/>
    <x v="46"/>
    <x v="2"/>
    <x v="3"/>
    <s v="Toronto"/>
    <s v="Education"/>
    <x v="2"/>
    <x v="7"/>
    <x v="0"/>
    <x v="401"/>
    <n v="1020.4"/>
    <n v="1184.71"/>
    <n v="0.106"/>
    <x v="188"/>
    <n v="16"/>
    <x v="4"/>
    <n v="1184.71"/>
    <x v="402"/>
    <n v="16326.4"/>
    <x v="402"/>
    <n v="3.6568422138328345E-2"/>
    <s v="C"/>
  </r>
  <r>
    <x v="402"/>
    <x v="334"/>
    <d v="2024-08-08T00:00:00"/>
    <x v="328"/>
    <x v="3"/>
    <x v="7"/>
    <s v="Marseille"/>
    <s v="Enterprise"/>
    <x v="2"/>
    <x v="10"/>
    <x v="4"/>
    <x v="402"/>
    <n v="501.5"/>
    <n v="1201.47"/>
    <n v="0.126"/>
    <x v="38"/>
    <n v="5"/>
    <x v="14"/>
    <n v="1201.47"/>
    <x v="403"/>
    <n v="2507.5"/>
    <x v="403"/>
    <n v="0.52241951359394057"/>
    <s v="C"/>
  </r>
  <r>
    <x v="403"/>
    <x v="335"/>
    <d v="2025-02-03T00:00:00"/>
    <x v="329"/>
    <x v="2"/>
    <x v="5"/>
    <s v="Brasília"/>
    <s v="Enterprise"/>
    <x v="2"/>
    <x v="9"/>
    <x v="0"/>
    <x v="403"/>
    <n v="974.11"/>
    <n v="880.99"/>
    <n v="0.111"/>
    <x v="94"/>
    <n v="10"/>
    <x v="16"/>
    <n v="880.99"/>
    <x v="404"/>
    <n v="9741.1"/>
    <x v="404"/>
    <n v="-0.2437562093805121"/>
    <s v="C"/>
  </r>
  <r>
    <x v="404"/>
    <x v="336"/>
    <d v="2023-04-04T00:00:00"/>
    <x v="311"/>
    <x v="1"/>
    <x v="9"/>
    <s v="Beijing"/>
    <s v="Small Business"/>
    <x v="4"/>
    <x v="0"/>
    <x v="5"/>
    <x v="404"/>
    <n v="1126.29"/>
    <n v="2050.87"/>
    <n v="6.4000000000000001E-2"/>
    <x v="196"/>
    <n v="7"/>
    <x v="10"/>
    <n v="2050.87"/>
    <x v="405"/>
    <n v="7884.03"/>
    <x v="405"/>
    <n v="0.41327276616690373"/>
    <s v="C"/>
  </r>
  <r>
    <x v="405"/>
    <x v="337"/>
    <d v="2025-01-14T00:00:00"/>
    <x v="6"/>
    <x v="1"/>
    <x v="4"/>
    <s v="Delhi"/>
    <s v="Small Business"/>
    <x v="0"/>
    <x v="12"/>
    <x v="1"/>
    <x v="405"/>
    <n v="1361.34"/>
    <n v="1737.9"/>
    <n v="7.6999999999999999E-2"/>
    <x v="197"/>
    <n v="14"/>
    <x v="2"/>
    <n v="1737.9"/>
    <x v="406"/>
    <n v="19058.759999999998"/>
    <x v="406"/>
    <n v="0.15132751654731813"/>
    <s v="C"/>
  </r>
  <r>
    <x v="406"/>
    <x v="338"/>
    <d v="2025-03-21T00:00:00"/>
    <x v="330"/>
    <x v="0"/>
    <x v="1"/>
    <s v="Abuja"/>
    <s v="Enterprise"/>
    <x v="2"/>
    <x v="2"/>
    <x v="3"/>
    <x v="406"/>
    <n v="1437.39"/>
    <n v="1388.31"/>
    <n v="0.13800000000000001"/>
    <x v="158"/>
    <n v="18"/>
    <x v="27"/>
    <n v="1388.31"/>
    <x v="407"/>
    <n v="25873.02"/>
    <x v="407"/>
    <n v="-0.20110479681341872"/>
    <s v="C"/>
  </r>
  <r>
    <x v="407"/>
    <x v="339"/>
    <d v="2025-03-15T00:00:00"/>
    <x v="331"/>
    <x v="1"/>
    <x v="4"/>
    <s v="Bengaluru"/>
    <s v="Corporate"/>
    <x v="3"/>
    <x v="11"/>
    <x v="4"/>
    <x v="407"/>
    <n v="475.66"/>
    <n v="529.14"/>
    <n v="0.19600000000000001"/>
    <x v="123"/>
    <n v="11"/>
    <x v="1"/>
    <n v="529.14"/>
    <x v="408"/>
    <n v="5232.26"/>
    <x v="408"/>
    <n v="-0.11807256193613323"/>
    <s v="C"/>
  </r>
  <r>
    <x v="408"/>
    <x v="340"/>
    <d v="2023-12-19T00:00:00"/>
    <x v="332"/>
    <x v="1"/>
    <x v="9"/>
    <s v="Beijing"/>
    <s v="Education"/>
    <x v="0"/>
    <x v="8"/>
    <x v="6"/>
    <x v="408"/>
    <n v="1415.05"/>
    <n v="1972.38"/>
    <n v="0"/>
    <x v="5"/>
    <n v="12"/>
    <x v="4"/>
    <n v="1972.38"/>
    <x v="409"/>
    <n v="16980.599999999999"/>
    <x v="409"/>
    <n v="0.28256725377462771"/>
    <s v="C"/>
  </r>
  <r>
    <x v="409"/>
    <x v="341"/>
    <d v="2024-09-05T00:00:00"/>
    <x v="333"/>
    <x v="1"/>
    <x v="2"/>
    <s v="Nagoya"/>
    <s v="Education"/>
    <x v="1"/>
    <x v="13"/>
    <x v="4"/>
    <x v="409"/>
    <n v="466.16"/>
    <n v="876.81"/>
    <n v="0.24099999999999999"/>
    <x v="64"/>
    <n v="8"/>
    <x v="30"/>
    <n v="876.81"/>
    <x v="410"/>
    <n v="3729.28"/>
    <x v="410"/>
    <n v="0.29953291124691594"/>
    <s v="C"/>
  </r>
  <r>
    <x v="410"/>
    <x v="22"/>
    <d v="2024-05-21T00:00:00"/>
    <x v="334"/>
    <x v="3"/>
    <x v="7"/>
    <s v="Marseille"/>
    <s v="Non-Profit"/>
    <x v="2"/>
    <x v="14"/>
    <x v="1"/>
    <x v="410"/>
    <n v="663.66"/>
    <n v="824.26"/>
    <n v="0.23899999999999999"/>
    <x v="174"/>
    <n v="11"/>
    <x v="4"/>
    <n v="824.26"/>
    <x v="411"/>
    <n v="7300.2599999999993"/>
    <x v="411"/>
    <n v="-5.8027025587048933E-2"/>
    <s v="C"/>
  </r>
  <r>
    <x v="411"/>
    <x v="342"/>
    <d v="2023-04-06T00:00:00"/>
    <x v="335"/>
    <x v="3"/>
    <x v="6"/>
    <s v="Munich"/>
    <s v="Consumer"/>
    <x v="0"/>
    <x v="7"/>
    <x v="3"/>
    <x v="411"/>
    <n v="692.18"/>
    <n v="1159.3499999999999"/>
    <n v="0.112"/>
    <x v="0"/>
    <n v="2"/>
    <x v="8"/>
    <n v="1159.3499999999999"/>
    <x v="412"/>
    <n v="1384.36"/>
    <x v="412"/>
    <n v="0.32765602968734037"/>
    <s v="C"/>
  </r>
  <r>
    <x v="412"/>
    <x v="343"/>
    <d v="2023-09-16T00:00:00"/>
    <x v="141"/>
    <x v="0"/>
    <x v="1"/>
    <s v="Abuja"/>
    <s v="Corporate"/>
    <x v="2"/>
    <x v="4"/>
    <x v="3"/>
    <x v="412"/>
    <n v="1196.83"/>
    <n v="2513.5100000000002"/>
    <n v="8.3000000000000004E-2"/>
    <x v="195"/>
    <n v="7"/>
    <x v="21"/>
    <n v="2513.5100000000002"/>
    <x v="413"/>
    <n v="8377.81"/>
    <x v="413"/>
    <n v="0.48074281609445374"/>
    <s v="C"/>
  </r>
  <r>
    <x v="413"/>
    <x v="344"/>
    <d v="2024-06-24T00:00:00"/>
    <x v="269"/>
    <x v="1"/>
    <x v="4"/>
    <s v="Bengaluru"/>
    <s v="Small Business"/>
    <x v="4"/>
    <x v="10"/>
    <x v="2"/>
    <x v="413"/>
    <n v="1253.25"/>
    <n v="3087.13"/>
    <n v="7.1999999999999995E-2"/>
    <x v="3"/>
    <n v="11"/>
    <x v="5"/>
    <n v="3087.13"/>
    <x v="414"/>
    <n v="13785.75"/>
    <x v="414"/>
    <n v="0.562543555408064"/>
    <s v="C"/>
  </r>
  <r>
    <x v="414"/>
    <x v="345"/>
    <d v="2023-09-13T00:00:00"/>
    <x v="336"/>
    <x v="2"/>
    <x v="3"/>
    <s v="Vancouver"/>
    <s v="Small Business"/>
    <x v="2"/>
    <x v="7"/>
    <x v="1"/>
    <x v="414"/>
    <n v="1287.6400000000001"/>
    <n v="2717.15"/>
    <n v="3.2000000000000001E-2"/>
    <x v="191"/>
    <n v="7"/>
    <x v="14"/>
    <n v="2717.15"/>
    <x v="415"/>
    <n v="9013.4800000000014"/>
    <x v="415"/>
    <n v="0.51044049405802105"/>
    <s v="C"/>
  </r>
  <r>
    <x v="415"/>
    <x v="25"/>
    <d v="2024-12-10T00:00:00"/>
    <x v="337"/>
    <x v="1"/>
    <x v="4"/>
    <s v="Hyderabad"/>
    <s v="Small Business"/>
    <x v="0"/>
    <x v="9"/>
    <x v="6"/>
    <x v="415"/>
    <n v="851.49"/>
    <n v="901.79"/>
    <n v="0.245"/>
    <x v="102"/>
    <n v="16"/>
    <x v="23"/>
    <n v="901.79"/>
    <x v="416"/>
    <n v="13623.84"/>
    <x v="416"/>
    <n v="-0.25062522816100341"/>
    <s v="C"/>
  </r>
  <r>
    <x v="416"/>
    <x v="346"/>
    <d v="2025-06-14T00:00:00"/>
    <x v="338"/>
    <x v="1"/>
    <x v="4"/>
    <s v="Delhi"/>
    <s v="Non-Profit"/>
    <x v="0"/>
    <x v="8"/>
    <x v="6"/>
    <x v="416"/>
    <n v="618.69000000000005"/>
    <n v="796.15"/>
    <n v="0.09"/>
    <x v="166"/>
    <n v="11"/>
    <x v="26"/>
    <n v="796.15"/>
    <x v="417"/>
    <n v="6805.59"/>
    <x v="417"/>
    <n v="0.14604142325049191"/>
    <s v="C"/>
  </r>
  <r>
    <x v="417"/>
    <x v="252"/>
    <d v="2025-04-08T00:00:00"/>
    <x v="339"/>
    <x v="1"/>
    <x v="9"/>
    <s v="Unknown"/>
    <s v="Corporate"/>
    <x v="3"/>
    <x v="14"/>
    <x v="1"/>
    <x v="417"/>
    <n v="80.59"/>
    <n v="157.82"/>
    <n v="0.217"/>
    <x v="198"/>
    <n v="6"/>
    <x v="2"/>
    <n v="157.82"/>
    <x v="418"/>
    <n v="483.54"/>
    <x v="418"/>
    <n v="0.34783519967863541"/>
    <s v="C"/>
  </r>
  <r>
    <x v="418"/>
    <x v="347"/>
    <d v="2024-02-11T00:00:00"/>
    <x v="340"/>
    <x v="3"/>
    <x v="6"/>
    <s v="Frankfurt"/>
    <s v="Non-Profit"/>
    <x v="3"/>
    <x v="6"/>
    <x v="5"/>
    <x v="418"/>
    <n v="504.93"/>
    <n v="819.06"/>
    <n v="0.22600000000000001"/>
    <x v="199"/>
    <n v="15"/>
    <x v="0"/>
    <n v="819.06"/>
    <x v="419"/>
    <n v="7573.95"/>
    <x v="419"/>
    <n v="0.20352069312959814"/>
    <s v="C"/>
  </r>
  <r>
    <x v="419"/>
    <x v="348"/>
    <d v="2023-10-29T00:00:00"/>
    <x v="209"/>
    <x v="1"/>
    <x v="2"/>
    <s v="Nagoya"/>
    <s v="Non-Profit"/>
    <x v="4"/>
    <x v="10"/>
    <x v="3"/>
    <x v="419"/>
    <n v="1102.19"/>
    <n v="1711.16"/>
    <n v="0.151"/>
    <x v="101"/>
    <n v="10"/>
    <x v="13"/>
    <n v="1711.16"/>
    <x v="420"/>
    <n v="11021.900000000001"/>
    <x v="420"/>
    <n v="0.24132083675127525"/>
    <s v="C"/>
  </r>
  <r>
    <x v="420"/>
    <x v="349"/>
    <d v="2025-03-17T00:00:00"/>
    <x v="341"/>
    <x v="2"/>
    <x v="10"/>
    <s v="San Francisco"/>
    <s v="Non-Profit"/>
    <x v="2"/>
    <x v="10"/>
    <x v="3"/>
    <x v="420"/>
    <n v="1205.26"/>
    <n v="1696.35"/>
    <n v="1.9E-2"/>
    <x v="200"/>
    <n v="6"/>
    <x v="8"/>
    <n v="1696.35"/>
    <x v="421"/>
    <n v="7231.5599999999995"/>
    <x v="421"/>
    <n v="0.27573704374028213"/>
    <s v="C"/>
  </r>
  <r>
    <x v="421"/>
    <x v="350"/>
    <d v="2025-07-06T00:00:00"/>
    <x v="342"/>
    <x v="0"/>
    <x v="1"/>
    <s v="Lagos"/>
    <s v="Consumer"/>
    <x v="1"/>
    <x v="15"/>
    <x v="4"/>
    <x v="421"/>
    <n v="1313.3"/>
    <n v="2884.34"/>
    <n v="0.157"/>
    <x v="86"/>
    <n v="42"/>
    <x v="4"/>
    <n v="2884.34"/>
    <x v="422"/>
    <n v="55158.6"/>
    <x v="422"/>
    <n v="0.45988042551305253"/>
    <s v="C"/>
  </r>
  <r>
    <x v="422"/>
    <x v="165"/>
    <d v="2025-09-25T00:00:00"/>
    <x v="343"/>
    <x v="1"/>
    <x v="4"/>
    <s v="Delhi"/>
    <s v="Consumer"/>
    <x v="0"/>
    <x v="8"/>
    <x v="3"/>
    <x v="422"/>
    <n v="1488.91"/>
    <n v="1483.74"/>
    <n v="0.16800000000000001"/>
    <x v="21"/>
    <n v="24"/>
    <x v="23"/>
    <n v="1483.74"/>
    <x v="423"/>
    <n v="35733.840000000004"/>
    <x v="423"/>
    <n v="-0.20611110333450519"/>
    <s v="C"/>
  </r>
  <r>
    <x v="423"/>
    <x v="351"/>
    <d v="2024-03-06T00:00:00"/>
    <x v="344"/>
    <x v="1"/>
    <x v="9"/>
    <s v="Beijing"/>
    <s v="Education"/>
    <x v="2"/>
    <x v="7"/>
    <x v="1"/>
    <x v="423"/>
    <n v="1477.84"/>
    <n v="3197.47"/>
    <n v="0.24299999999999999"/>
    <x v="28"/>
    <n v="24"/>
    <x v="12"/>
    <n v="3197.47"/>
    <x v="424"/>
    <n v="35468.159999999996"/>
    <x v="424"/>
    <n v="0.38944462443823091"/>
    <s v="C"/>
  </r>
  <r>
    <x v="424"/>
    <x v="352"/>
    <d v="2024-03-26T00:00:00"/>
    <x v="220"/>
    <x v="1"/>
    <x v="4"/>
    <s v="Mumbai"/>
    <s v="Education"/>
    <x v="2"/>
    <x v="3"/>
    <x v="4"/>
    <x v="424"/>
    <n v="1035.19"/>
    <n v="2322.6999999999998"/>
    <n v="0.17299999999999999"/>
    <x v="121"/>
    <n v="8"/>
    <x v="27"/>
    <n v="2322.6999999999998"/>
    <x v="425"/>
    <n v="8281.52"/>
    <x v="425"/>
    <n v="0.46108355217047409"/>
    <s v="C"/>
  </r>
  <r>
    <x v="425"/>
    <x v="257"/>
    <d v="2025-09-05T00:00:00"/>
    <x v="345"/>
    <x v="0"/>
    <x v="1"/>
    <s v="Port Harcourt"/>
    <s v="Small Business"/>
    <x v="2"/>
    <x v="6"/>
    <x v="4"/>
    <x v="425"/>
    <n v="1271.0999999999999"/>
    <n v="1932.42"/>
    <n v="0.25"/>
    <x v="11"/>
    <n v="21"/>
    <x v="11"/>
    <n v="1932.42"/>
    <x v="426"/>
    <n v="26693.1"/>
    <x v="426"/>
    <n v="0.12296498690760807"/>
    <s v="C"/>
  </r>
  <r>
    <x v="426"/>
    <x v="353"/>
    <d v="2024-09-12T00:00:00"/>
    <x v="346"/>
    <x v="1"/>
    <x v="4"/>
    <s v="Mumbai"/>
    <s v="Consumer"/>
    <x v="2"/>
    <x v="0"/>
    <x v="3"/>
    <x v="426"/>
    <n v="1154.03"/>
    <n v="1590.36"/>
    <n v="0.314"/>
    <x v="33"/>
    <n v="18"/>
    <x v="2"/>
    <n v="1590.36"/>
    <x v="427"/>
    <n v="20772.54"/>
    <x v="427"/>
    <n v="-3.6629622044245191E-2"/>
    <s v="C"/>
  </r>
  <r>
    <x v="427"/>
    <x v="354"/>
    <d v="2024-03-09T00:00:00"/>
    <x v="347"/>
    <x v="3"/>
    <x v="7"/>
    <s v="Marseille"/>
    <s v="Small Business"/>
    <x v="3"/>
    <x v="6"/>
    <x v="5"/>
    <x v="427"/>
    <n v="322.44"/>
    <n v="395.61"/>
    <n v="0"/>
    <x v="5"/>
    <n v="34"/>
    <x v="19"/>
    <n v="395.61"/>
    <x v="428"/>
    <n v="10962.96"/>
    <x v="428"/>
    <n v="0.18495487980586947"/>
    <s v="C"/>
  </r>
  <r>
    <x v="428"/>
    <x v="355"/>
    <d v="2025-05-13T00:00:00"/>
    <x v="57"/>
    <x v="1"/>
    <x v="4"/>
    <s v="Bengaluru"/>
    <s v="Enterprise"/>
    <x v="4"/>
    <x v="1"/>
    <x v="3"/>
    <x v="428"/>
    <n v="935.98"/>
    <n v="2077.69"/>
    <n v="0.17499999999999999"/>
    <x v="30"/>
    <n v="24"/>
    <x v="30"/>
    <n v="2077.69"/>
    <x v="429"/>
    <n v="22463.52"/>
    <x v="429"/>
    <n v="0.45395067978321491"/>
    <s v="C"/>
  </r>
  <r>
    <x v="429"/>
    <x v="356"/>
    <d v="2024-11-12T00:00:00"/>
    <x v="348"/>
    <x v="3"/>
    <x v="6"/>
    <s v="Frankfurt"/>
    <s v="Consumer"/>
    <x v="1"/>
    <x v="5"/>
    <x v="1"/>
    <x v="429"/>
    <n v="599.84"/>
    <n v="1330.85"/>
    <n v="0.115"/>
    <x v="157"/>
    <n v="11"/>
    <x v="22"/>
    <n v="1330.85"/>
    <x v="430"/>
    <n v="6598.2400000000007"/>
    <x v="430"/>
    <n v="0.49071246892252063"/>
    <s v="C"/>
  </r>
  <r>
    <x v="430"/>
    <x v="357"/>
    <d v="2025-01-08T00:00:00"/>
    <x v="16"/>
    <x v="1"/>
    <x v="9"/>
    <s v="Shenzhen"/>
    <s v="Enterprise"/>
    <x v="1"/>
    <x v="11"/>
    <x v="4"/>
    <x v="430"/>
    <n v="1201.31"/>
    <n v="2764.65"/>
    <n v="0"/>
    <x v="5"/>
    <n v="21"/>
    <x v="22"/>
    <n v="2764.65"/>
    <x v="431"/>
    <n v="25227.51"/>
    <x v="431"/>
    <n v="0.56547483406579491"/>
    <s v="C"/>
  </r>
  <r>
    <x v="431"/>
    <x v="259"/>
    <d v="2023-10-21T00:00:00"/>
    <x v="349"/>
    <x v="3"/>
    <x v="8"/>
    <s v="Manchester"/>
    <s v="Enterprise"/>
    <x v="3"/>
    <x v="1"/>
    <x v="5"/>
    <x v="431"/>
    <n v="384.19"/>
    <n v="278.35000000000002"/>
    <n v="5.6000000000000001E-2"/>
    <x v="120"/>
    <n v="10"/>
    <x v="18"/>
    <n v="278.35000000000002"/>
    <x v="432"/>
    <n v="3841.9"/>
    <x v="432"/>
    <n v="-0.46211938998882657"/>
    <s v="C"/>
  </r>
  <r>
    <x v="432"/>
    <x v="16"/>
    <d v="2024-12-19T00:00:00"/>
    <x v="350"/>
    <x v="0"/>
    <x v="1"/>
    <s v="Lagos"/>
    <s v="Corporate"/>
    <x v="0"/>
    <x v="7"/>
    <x v="5"/>
    <x v="432"/>
    <n v="488.68"/>
    <n v="984.36"/>
    <n v="5.8999999999999997E-2"/>
    <x v="161"/>
    <n v="14"/>
    <x v="26"/>
    <n v="984.36"/>
    <x v="433"/>
    <n v="6841.52"/>
    <x v="433"/>
    <n v="0.47242891576649876"/>
    <s v="C"/>
  </r>
  <r>
    <x v="433"/>
    <x v="255"/>
    <d v="2024-09-18T00:00:00"/>
    <x v="150"/>
    <x v="1"/>
    <x v="9"/>
    <s v="Beijing"/>
    <s v="Consumer"/>
    <x v="3"/>
    <x v="7"/>
    <x v="2"/>
    <x v="433"/>
    <n v="181.74"/>
    <n v="190.84"/>
    <n v="0.214"/>
    <x v="201"/>
    <n v="13"/>
    <x v="22"/>
    <n v="190.84"/>
    <x v="434"/>
    <n v="2362.62"/>
    <x v="434"/>
    <n v="-0.21159806144310159"/>
    <s v="C"/>
  </r>
  <r>
    <x v="434"/>
    <x v="358"/>
    <d v="2023-10-20T00:00:00"/>
    <x v="351"/>
    <x v="0"/>
    <x v="0"/>
    <s v="Kisumu"/>
    <s v="Consumer"/>
    <x v="0"/>
    <x v="1"/>
    <x v="3"/>
    <x v="434"/>
    <n v="774.12"/>
    <n v="908.3"/>
    <n v="0"/>
    <x v="5"/>
    <n v="30"/>
    <x v="24"/>
    <n v="908.3"/>
    <x v="435"/>
    <n v="23223.599999999999"/>
    <x v="435"/>
    <n v="0.14772652207420461"/>
    <s v="C"/>
  </r>
  <r>
    <x v="435"/>
    <x v="359"/>
    <d v="2025-01-13T00:00:00"/>
    <x v="352"/>
    <x v="1"/>
    <x v="4"/>
    <s v="Bengaluru"/>
    <s v="Corporate"/>
    <x v="2"/>
    <x v="14"/>
    <x v="2"/>
    <x v="435"/>
    <n v="126.15"/>
    <n v="284.23"/>
    <n v="0.113"/>
    <x v="138"/>
    <n v="22"/>
    <x v="8"/>
    <n v="284.23"/>
    <x v="436"/>
    <n v="2775.3"/>
    <x v="436"/>
    <n v="0.49962716968541088"/>
    <s v="C"/>
  </r>
  <r>
    <x v="436"/>
    <x v="67"/>
    <d v="2023-04-19T00:00:00"/>
    <x v="189"/>
    <x v="1"/>
    <x v="2"/>
    <s v="Nagoya"/>
    <s v="Small Business"/>
    <x v="4"/>
    <x v="12"/>
    <x v="0"/>
    <x v="436"/>
    <n v="607.04"/>
    <n v="1229.3399999999999"/>
    <n v="0.14699999999999999"/>
    <x v="6"/>
    <n v="7"/>
    <x v="1"/>
    <n v="1229.3399999999999"/>
    <x v="437"/>
    <n v="4249.28"/>
    <x v="437"/>
    <n v="0.42110970972310058"/>
    <s v="C"/>
  </r>
  <r>
    <x v="437"/>
    <x v="360"/>
    <d v="2024-01-08T00:00:00"/>
    <x v="353"/>
    <x v="3"/>
    <x v="7"/>
    <s v="Marseille"/>
    <s v="Consumer"/>
    <x v="2"/>
    <x v="4"/>
    <x v="6"/>
    <x v="437"/>
    <n v="861.1"/>
    <n v="1224.72"/>
    <n v="0.17399999999999999"/>
    <x v="154"/>
    <n v="24"/>
    <x v="26"/>
    <n v="1224.72"/>
    <x v="438"/>
    <n v="20666.400000000001"/>
    <x v="438"/>
    <n v="0.14878997098827909"/>
    <s v="C"/>
  </r>
  <r>
    <x v="438"/>
    <x v="361"/>
    <d v="2023-03-12T00:00:00"/>
    <x v="157"/>
    <x v="0"/>
    <x v="0"/>
    <s v="Nakuru"/>
    <s v="Corporate"/>
    <x v="1"/>
    <x v="9"/>
    <x v="2"/>
    <x v="438"/>
    <n v="352.65"/>
    <n v="485.86"/>
    <n v="4.1000000000000002E-2"/>
    <x v="202"/>
    <n v="6"/>
    <x v="6"/>
    <n v="485.86"/>
    <x v="439"/>
    <n v="2115.8999999999996"/>
    <x v="439"/>
    <n v="0.24314247159943908"/>
    <s v="C"/>
  </r>
  <r>
    <x v="439"/>
    <x v="362"/>
    <d v="2023-06-03T00:00:00"/>
    <x v="354"/>
    <x v="1"/>
    <x v="9"/>
    <s v="Beijing"/>
    <s v="Non-Profit"/>
    <x v="3"/>
    <x v="12"/>
    <x v="1"/>
    <x v="439"/>
    <n v="979.59"/>
    <n v="2210.94"/>
    <n v="0.15"/>
    <x v="203"/>
    <n v="11"/>
    <x v="13"/>
    <n v="2210.94"/>
    <x v="440"/>
    <n v="10775.49"/>
    <x v="440"/>
    <n v="0.47874712858358359"/>
    <s v="C"/>
  </r>
  <r>
    <x v="440"/>
    <x v="363"/>
    <d v="2024-03-26T00:00:00"/>
    <x v="220"/>
    <x v="1"/>
    <x v="4"/>
    <s v="Bengaluru"/>
    <s v="Education"/>
    <x v="4"/>
    <x v="3"/>
    <x v="3"/>
    <x v="440"/>
    <n v="382.21"/>
    <n v="571.89"/>
    <n v="0.14799999999999999"/>
    <x v="134"/>
    <n v="26"/>
    <x v="4"/>
    <n v="571.89"/>
    <x v="441"/>
    <n v="9937.4599999999991"/>
    <x v="441"/>
    <n v="0.2155776698578809"/>
    <s v="C"/>
  </r>
  <r>
    <x v="441"/>
    <x v="364"/>
    <d v="2023-09-28T00:00:00"/>
    <x v="355"/>
    <x v="1"/>
    <x v="4"/>
    <s v="Unknown"/>
    <s v="Corporate"/>
    <x v="5"/>
    <x v="5"/>
    <x v="6"/>
    <x v="441"/>
    <n v="1362.06"/>
    <n v="3398.37"/>
    <n v="0.157"/>
    <x v="86"/>
    <n v="11"/>
    <x v="11"/>
    <n v="3398.37"/>
    <x v="442"/>
    <n v="14982.66"/>
    <x v="442"/>
    <n v="0.52455749745714919"/>
    <s v="C"/>
  </r>
  <r>
    <x v="442"/>
    <x v="365"/>
    <d v="2024-09-04T00:00:00"/>
    <x v="103"/>
    <x v="3"/>
    <x v="6"/>
    <s v="Frankfurt"/>
    <s v="Non-Profit"/>
    <x v="0"/>
    <x v="4"/>
    <x v="1"/>
    <x v="442"/>
    <n v="90.04"/>
    <n v="194.62"/>
    <n v="4.2999999999999997E-2"/>
    <x v="88"/>
    <n v="32"/>
    <x v="19"/>
    <n v="194.62"/>
    <x v="443"/>
    <n v="2881.28"/>
    <x v="443"/>
    <n v="0.51656723650954672"/>
    <s v="C"/>
  </r>
  <r>
    <x v="443"/>
    <x v="366"/>
    <d v="2024-10-03T00:00:00"/>
    <x v="356"/>
    <x v="2"/>
    <x v="3"/>
    <s v="Toronto"/>
    <s v="Consumer"/>
    <x v="1"/>
    <x v="6"/>
    <x v="1"/>
    <x v="443"/>
    <n v="558.19000000000005"/>
    <n v="1031.6400000000001"/>
    <n v="0"/>
    <x v="5"/>
    <n v="21"/>
    <x v="11"/>
    <n v="1031.6400000000001"/>
    <x v="444"/>
    <n v="11721.990000000002"/>
    <x v="444"/>
    <n v="0.45892947152107322"/>
    <s v="C"/>
  </r>
  <r>
    <x v="444"/>
    <x v="367"/>
    <d v="2023-06-24T00:00:00"/>
    <x v="38"/>
    <x v="2"/>
    <x v="3"/>
    <s v="Toronto"/>
    <s v="Corporate"/>
    <x v="1"/>
    <x v="0"/>
    <x v="1"/>
    <x v="444"/>
    <n v="247.07"/>
    <n v="495.19"/>
    <n v="2.8000000000000001E-2"/>
    <x v="176"/>
    <n v="4"/>
    <x v="22"/>
    <n v="495.19"/>
    <x v="445"/>
    <n v="988.28"/>
    <x v="445"/>
    <n v="0.48668744764968214"/>
    <s v="C"/>
  </r>
  <r>
    <x v="445"/>
    <x v="240"/>
    <d v="2024-01-13T00:00:00"/>
    <x v="357"/>
    <x v="1"/>
    <x v="2"/>
    <s v="Nagoya"/>
    <s v="Education"/>
    <x v="4"/>
    <x v="5"/>
    <x v="4"/>
    <x v="445"/>
    <n v="625.37"/>
    <n v="1319.04"/>
    <n v="7.3999999999999996E-2"/>
    <x v="13"/>
    <n v="8"/>
    <x v="8"/>
    <n v="1319.04"/>
    <x v="446"/>
    <n v="5002.96"/>
    <x v="446"/>
    <n v="0.48800220436513547"/>
    <s v="C"/>
  </r>
  <r>
    <x v="446"/>
    <x v="258"/>
    <d v="2025-04-29T00:00:00"/>
    <x v="358"/>
    <x v="0"/>
    <x v="11"/>
    <s v="Durban"/>
    <s v="Consumer"/>
    <x v="2"/>
    <x v="1"/>
    <x v="5"/>
    <x v="446"/>
    <n v="194.6"/>
    <n v="314.87"/>
    <n v="0.29299999999999998"/>
    <x v="204"/>
    <n v="25"/>
    <x v="17"/>
    <n v="314.87"/>
    <x v="447"/>
    <n v="4865"/>
    <x v="447"/>
    <n v="0.1258375686712763"/>
    <s v="C"/>
  </r>
  <r>
    <x v="447"/>
    <x v="368"/>
    <d v="2024-06-24T00:00:00"/>
    <x v="269"/>
    <x v="2"/>
    <x v="3"/>
    <s v="Toronto"/>
    <s v="Small Business"/>
    <x v="4"/>
    <x v="3"/>
    <x v="5"/>
    <x v="447"/>
    <n v="1205.5"/>
    <n v="2210.17"/>
    <n v="0.104"/>
    <x v="66"/>
    <n v="23"/>
    <x v="28"/>
    <n v="2210.17"/>
    <x v="448"/>
    <n v="27726.5"/>
    <x v="448"/>
    <n v="0.39125763758314652"/>
    <s v="C"/>
  </r>
  <r>
    <x v="448"/>
    <x v="369"/>
    <d v="2024-07-09T00:00:00"/>
    <x v="359"/>
    <x v="0"/>
    <x v="1"/>
    <s v="Port Harcourt"/>
    <s v="Corporate"/>
    <x v="2"/>
    <x v="2"/>
    <x v="3"/>
    <x v="448"/>
    <n v="895.54"/>
    <n v="1045"/>
    <n v="0.216"/>
    <x v="153"/>
    <n v="15"/>
    <x v="27"/>
    <n v="1045"/>
    <x v="449"/>
    <n v="13433.099999999999"/>
    <x v="449"/>
    <n v="-9.3081730299775234E-2"/>
    <s v="C"/>
  </r>
  <r>
    <x v="449"/>
    <x v="370"/>
    <d v="2023-07-21T00:00:00"/>
    <x v="360"/>
    <x v="1"/>
    <x v="4"/>
    <s v="Delhi"/>
    <s v="Small Business"/>
    <x v="3"/>
    <x v="6"/>
    <x v="1"/>
    <x v="449"/>
    <n v="946.99"/>
    <n v="2132.19"/>
    <n v="0.16500000000000001"/>
    <x v="205"/>
    <n v="7"/>
    <x v="1"/>
    <n v="2132.19"/>
    <x v="450"/>
    <n v="6628.93"/>
    <x v="450"/>
    <n v="0.46809629513362228"/>
    <s v="C"/>
  </r>
  <r>
    <x v="450"/>
    <x v="371"/>
    <d v="2023-02-03T00:00:00"/>
    <x v="187"/>
    <x v="3"/>
    <x v="8"/>
    <s v="London"/>
    <s v="Enterprise"/>
    <x v="3"/>
    <x v="3"/>
    <x v="6"/>
    <x v="450"/>
    <n v="873.06"/>
    <n v="2101.5500000000002"/>
    <n v="6.6000000000000003E-2"/>
    <x v="71"/>
    <n v="10"/>
    <x v="14"/>
    <n v="2101.5500000000002"/>
    <x v="451"/>
    <n v="8730.5999999999985"/>
    <x v="451"/>
    <n v="0.55520746719167269"/>
    <s v="C"/>
  </r>
  <r>
    <x v="451"/>
    <x v="372"/>
    <d v="2024-05-16T00:00:00"/>
    <x v="361"/>
    <x v="1"/>
    <x v="4"/>
    <s v="Bengaluru"/>
    <s v="Small Business"/>
    <x v="0"/>
    <x v="4"/>
    <x v="0"/>
    <x v="451"/>
    <n v="901.19"/>
    <n v="2125.44"/>
    <n v="7.0999999999999994E-2"/>
    <x v="87"/>
    <n v="12"/>
    <x v="14"/>
    <n v="2125.44"/>
    <x v="452"/>
    <n v="10814.28"/>
    <x v="452"/>
    <n v="0.54359352154100415"/>
    <s v="C"/>
  </r>
  <r>
    <x v="452"/>
    <x v="56"/>
    <d v="2025-06-24T00:00:00"/>
    <x v="362"/>
    <x v="1"/>
    <x v="2"/>
    <s v="Nagoya"/>
    <s v="Corporate"/>
    <x v="4"/>
    <x v="5"/>
    <x v="3"/>
    <x v="452"/>
    <n v="400.39"/>
    <n v="712.75"/>
    <n v="0.115"/>
    <x v="157"/>
    <n v="19"/>
    <x v="14"/>
    <n v="712.75"/>
    <x v="453"/>
    <n v="7607.41"/>
    <x v="453"/>
    <n v="0.36524997671547504"/>
    <s v="C"/>
  </r>
  <r>
    <x v="453"/>
    <x v="373"/>
    <d v="2023-06-21T00:00:00"/>
    <x v="363"/>
    <x v="2"/>
    <x v="10"/>
    <s v="Austin"/>
    <s v="Small Business"/>
    <x v="2"/>
    <x v="3"/>
    <x v="5"/>
    <x v="453"/>
    <n v="813.97"/>
    <n v="1568.83"/>
    <n v="1.7000000000000001E-2"/>
    <x v="206"/>
    <n v="15"/>
    <x v="27"/>
    <n v="1568.83"/>
    <x v="454"/>
    <n v="12209.550000000001"/>
    <x v="454"/>
    <n v="0.4721883215364911"/>
    <s v="C"/>
  </r>
  <r>
    <x v="454"/>
    <x v="6"/>
    <d v="2024-12-29T00:00:00"/>
    <x v="364"/>
    <x v="2"/>
    <x v="3"/>
    <s v="Vancouver"/>
    <s v="Enterprise"/>
    <x v="2"/>
    <x v="0"/>
    <x v="6"/>
    <x v="454"/>
    <n v="1146.72"/>
    <n v="2074.34"/>
    <n v="0.111"/>
    <x v="94"/>
    <n v="8"/>
    <x v="24"/>
    <n v="2074.34"/>
    <x v="455"/>
    <n v="9173.76"/>
    <x v="455"/>
    <n v="0.37816425337472737"/>
    <s v="C"/>
  </r>
  <r>
    <x v="455"/>
    <x v="374"/>
    <d v="2023-12-12T00:00:00"/>
    <x v="365"/>
    <x v="2"/>
    <x v="5"/>
    <s v="Brasília"/>
    <s v="Corporate"/>
    <x v="4"/>
    <x v="9"/>
    <x v="3"/>
    <x v="455"/>
    <n v="307.43"/>
    <n v="495.19"/>
    <n v="0"/>
    <x v="5"/>
    <n v="42"/>
    <x v="1"/>
    <n v="495.19"/>
    <x v="456"/>
    <n v="12912.06"/>
    <x v="456"/>
    <n v="0.37916759223732305"/>
    <s v="C"/>
  </r>
  <r>
    <x v="456"/>
    <x v="129"/>
    <d v="2023-05-19T00:00:00"/>
    <x v="366"/>
    <x v="1"/>
    <x v="9"/>
    <s v="Shanghai"/>
    <s v="Non-Profit"/>
    <x v="4"/>
    <x v="1"/>
    <x v="5"/>
    <x v="456"/>
    <n v="714.28"/>
    <n v="757.59"/>
    <n v="0.13600000000000001"/>
    <x v="29"/>
    <n v="12"/>
    <x v="13"/>
    <n v="757.59"/>
    <x v="457"/>
    <n v="8571.36"/>
    <x v="457"/>
    <n v="-9.1240595787910383E-2"/>
    <s v="C"/>
  </r>
  <r>
    <x v="457"/>
    <x v="134"/>
    <d v="2023-12-10T00:00:00"/>
    <x v="367"/>
    <x v="3"/>
    <x v="6"/>
    <s v="Munich"/>
    <s v="Small Business"/>
    <x v="4"/>
    <x v="9"/>
    <x v="4"/>
    <x v="457"/>
    <n v="174.74"/>
    <n v="415.96"/>
    <n v="0.125"/>
    <x v="22"/>
    <n v="21"/>
    <x v="23"/>
    <n v="415.96"/>
    <x v="458"/>
    <n v="3669.54"/>
    <x v="458"/>
    <n v="0.51989889137691803"/>
    <s v="C"/>
  </r>
  <r>
    <x v="458"/>
    <x v="375"/>
    <d v="2024-05-18T00:00:00"/>
    <x v="368"/>
    <x v="3"/>
    <x v="7"/>
    <s v="Marseille"/>
    <s v="Corporate"/>
    <x v="2"/>
    <x v="8"/>
    <x v="0"/>
    <x v="458"/>
    <n v="1264.04"/>
    <n v="1870.89"/>
    <n v="0"/>
    <x v="5"/>
    <n v="13"/>
    <x v="19"/>
    <n v="1870.89"/>
    <x v="459"/>
    <n v="16432.52"/>
    <x v="459"/>
    <n v="0.32436433996653996"/>
    <s v="C"/>
  </r>
  <r>
    <x v="459"/>
    <x v="376"/>
    <d v="2023-07-19T00:00:00"/>
    <x v="369"/>
    <x v="1"/>
    <x v="2"/>
    <s v="Tokyo"/>
    <s v="Enterprise"/>
    <x v="3"/>
    <x v="13"/>
    <x v="0"/>
    <x v="459"/>
    <n v="141.26"/>
    <n v="206.88"/>
    <n v="0.107"/>
    <x v="104"/>
    <n v="9"/>
    <x v="23"/>
    <n v="206.88"/>
    <x v="460"/>
    <n v="1271.3399999999999"/>
    <x v="460"/>
    <n v="0.23537369365062469"/>
    <s v="C"/>
  </r>
  <r>
    <x v="460"/>
    <x v="362"/>
    <d v="2023-06-15T00:00:00"/>
    <x v="370"/>
    <x v="0"/>
    <x v="11"/>
    <s v="Durban"/>
    <s v="Enterprise"/>
    <x v="0"/>
    <x v="11"/>
    <x v="6"/>
    <x v="460"/>
    <n v="40.89"/>
    <n v="62.82"/>
    <n v="0.129"/>
    <x v="31"/>
    <n v="17"/>
    <x v="10"/>
    <n v="62.82"/>
    <x v="461"/>
    <n v="695.13"/>
    <x v="461"/>
    <n v="0.25268960465470752"/>
    <s v="C"/>
  </r>
  <r>
    <x v="461"/>
    <x v="34"/>
    <d v="2024-04-03T00:00:00"/>
    <x v="371"/>
    <x v="3"/>
    <x v="6"/>
    <s v="Frankfurt"/>
    <s v="Corporate"/>
    <x v="4"/>
    <x v="12"/>
    <x v="1"/>
    <x v="461"/>
    <n v="738.16"/>
    <n v="956.49"/>
    <n v="0.152"/>
    <x v="135"/>
    <n v="5"/>
    <x v="29"/>
    <n v="956.49"/>
    <x v="462"/>
    <n v="3690.7999999999997"/>
    <x v="462"/>
    <n v="8.9931208780847108E-2"/>
    <s v="C"/>
  </r>
  <r>
    <x v="462"/>
    <x v="377"/>
    <d v="2025-04-19T00:00:00"/>
    <x v="372"/>
    <x v="0"/>
    <x v="11"/>
    <s v="Durban"/>
    <s v="Enterprise"/>
    <x v="5"/>
    <x v="3"/>
    <x v="2"/>
    <x v="462"/>
    <n v="113.74"/>
    <n v="165.7"/>
    <n v="0.124"/>
    <x v="207"/>
    <n v="13"/>
    <x v="26"/>
    <n v="165.7"/>
    <x v="463"/>
    <n v="1478.62"/>
    <x v="463"/>
    <n v="0.21641410592394794"/>
    <s v="C"/>
  </r>
  <r>
    <x v="463"/>
    <x v="378"/>
    <d v="2025-08-15T00:00:00"/>
    <x v="373"/>
    <x v="1"/>
    <x v="2"/>
    <s v="Tokyo"/>
    <s v="Small Business"/>
    <x v="2"/>
    <x v="1"/>
    <x v="0"/>
    <x v="463"/>
    <n v="275.43"/>
    <n v="608.36"/>
    <n v="0.25700000000000001"/>
    <x v="61"/>
    <n v="4"/>
    <x v="6"/>
    <n v="608.36"/>
    <x v="464"/>
    <n v="1101.72"/>
    <x v="464"/>
    <n v="0.39065706915231446"/>
    <s v="C"/>
  </r>
  <r>
    <x v="464"/>
    <x v="379"/>
    <d v="2024-12-15T00:00:00"/>
    <x v="131"/>
    <x v="0"/>
    <x v="0"/>
    <s v="Mombasa"/>
    <s v="Non-Profit"/>
    <x v="3"/>
    <x v="0"/>
    <x v="0"/>
    <x v="464"/>
    <n v="1335.76"/>
    <n v="2665.91"/>
    <n v="0.21099999999999999"/>
    <x v="125"/>
    <n v="40"/>
    <x v="20"/>
    <n v="2665.91"/>
    <x v="465"/>
    <n v="53430.400000000001"/>
    <x v="465"/>
    <n v="0.36495288522909253"/>
    <s v="C"/>
  </r>
  <r>
    <x v="465"/>
    <x v="304"/>
    <d v="2024-06-28T00:00:00"/>
    <x v="374"/>
    <x v="0"/>
    <x v="1"/>
    <s v="Port Harcourt"/>
    <s v="Non-Profit"/>
    <x v="4"/>
    <x v="12"/>
    <x v="6"/>
    <x v="465"/>
    <n v="242.31"/>
    <n v="587.95000000000005"/>
    <n v="0.22900000000000001"/>
    <x v="82"/>
    <n v="6"/>
    <x v="15"/>
    <n v="587.95000000000005"/>
    <x v="466"/>
    <n v="1453.8600000000001"/>
    <x v="466"/>
    <n v="0.46546448568411714"/>
    <s v="C"/>
  </r>
  <r>
    <x v="466"/>
    <x v="380"/>
    <d v="2024-01-14T00:00:00"/>
    <x v="198"/>
    <x v="1"/>
    <x v="4"/>
    <s v="Mumbai"/>
    <s v="Consumer"/>
    <x v="3"/>
    <x v="14"/>
    <x v="2"/>
    <x v="466"/>
    <n v="1408.3"/>
    <n v="2193.13"/>
    <n v="7.0999999999999994E-2"/>
    <x v="87"/>
    <n v="7"/>
    <x v="29"/>
    <n v="2193.13"/>
    <x v="467"/>
    <n v="9858.1"/>
    <x v="467"/>
    <n v="0.30878191957656281"/>
    <s v="C"/>
  </r>
  <r>
    <x v="467"/>
    <x v="262"/>
    <d v="2025-06-05T00:00:00"/>
    <x v="375"/>
    <x v="3"/>
    <x v="6"/>
    <s v="Munich"/>
    <s v="Enterprise"/>
    <x v="4"/>
    <x v="12"/>
    <x v="0"/>
    <x v="467"/>
    <n v="1171.42"/>
    <n v="2187.8000000000002"/>
    <n v="0.23"/>
    <x v="208"/>
    <n v="15"/>
    <x v="3"/>
    <n v="2187.8000000000002"/>
    <x v="468"/>
    <n v="17571.300000000003"/>
    <x v="468"/>
    <n v="0.30463265594447592"/>
    <s v="C"/>
  </r>
  <r>
    <x v="468"/>
    <x v="381"/>
    <d v="2025-04-02T00:00:00"/>
    <x v="3"/>
    <x v="3"/>
    <x v="6"/>
    <s v="Berlin"/>
    <s v="Enterprise"/>
    <x v="1"/>
    <x v="6"/>
    <x v="1"/>
    <x v="468"/>
    <n v="663.61"/>
    <n v="1002.11"/>
    <n v="4.5999999999999999E-2"/>
    <x v="209"/>
    <n v="17"/>
    <x v="23"/>
    <n v="1002.11"/>
    <x v="469"/>
    <n v="11281.37"/>
    <x v="469"/>
    <n v="0.30585667595670812"/>
    <s v="C"/>
  </r>
  <r>
    <x v="469"/>
    <x v="382"/>
    <d v="2023-05-22T00:00:00"/>
    <x v="376"/>
    <x v="0"/>
    <x v="0"/>
    <s v="Mombasa"/>
    <s v="Small Business"/>
    <x v="3"/>
    <x v="9"/>
    <x v="1"/>
    <x v="469"/>
    <n v="432.01"/>
    <n v="913.78"/>
    <n v="4.9000000000000002E-2"/>
    <x v="210"/>
    <n v="12"/>
    <x v="11"/>
    <n v="913.78"/>
    <x v="470"/>
    <n v="5184.12"/>
    <x v="470"/>
    <n v="0.50286809699711899"/>
    <s v="C"/>
  </r>
  <r>
    <x v="470"/>
    <x v="345"/>
    <d v="2023-09-19T00:00:00"/>
    <x v="377"/>
    <x v="3"/>
    <x v="7"/>
    <s v="Lyon"/>
    <s v="Small Business"/>
    <x v="4"/>
    <x v="5"/>
    <x v="1"/>
    <x v="470"/>
    <n v="784.46"/>
    <n v="1843.51"/>
    <n v="0.13800000000000001"/>
    <x v="158"/>
    <n v="23"/>
    <x v="28"/>
    <n v="1843.51"/>
    <x v="471"/>
    <n v="18042.580000000002"/>
    <x v="471"/>
    <n v="0.50635125184441798"/>
    <s v="C"/>
  </r>
  <r>
    <x v="471"/>
    <x v="350"/>
    <d v="2025-07-23T00:00:00"/>
    <x v="216"/>
    <x v="1"/>
    <x v="9"/>
    <s v="Beijing"/>
    <s v="Small Business"/>
    <x v="1"/>
    <x v="12"/>
    <x v="0"/>
    <x v="471"/>
    <n v="647.36"/>
    <n v="1383.6"/>
    <n v="7.3999999999999996E-2"/>
    <x v="13"/>
    <n v="12"/>
    <x v="8"/>
    <n v="1383.6"/>
    <x v="472"/>
    <n v="7768.32"/>
    <x v="472"/>
    <n v="0.49472906000997802"/>
    <s v="C"/>
  </r>
  <r>
    <x v="472"/>
    <x v="383"/>
    <d v="2024-02-28T00:00:00"/>
    <x v="378"/>
    <x v="0"/>
    <x v="0"/>
    <s v="Kisumu"/>
    <s v="Non-Profit"/>
    <x v="1"/>
    <x v="11"/>
    <x v="5"/>
    <x v="472"/>
    <n v="834.93"/>
    <n v="1588.53"/>
    <n v="0.126"/>
    <x v="38"/>
    <n v="6"/>
    <x v="21"/>
    <n v="1588.53"/>
    <x v="473"/>
    <n v="5009.58"/>
    <x v="473"/>
    <n v="0.39862798761274343"/>
    <s v="C"/>
  </r>
  <r>
    <x v="473"/>
    <x v="384"/>
    <d v="2025-09-03T00:00:00"/>
    <x v="379"/>
    <x v="3"/>
    <x v="7"/>
    <s v="Paris"/>
    <s v="Education"/>
    <x v="0"/>
    <x v="2"/>
    <x v="3"/>
    <x v="473"/>
    <n v="603.47"/>
    <n v="1344.05"/>
    <n v="0.20499999999999999"/>
    <x v="44"/>
    <n v="18"/>
    <x v="28"/>
    <n v="1344.05"/>
    <x v="474"/>
    <n v="10862.460000000001"/>
    <x v="474"/>
    <n v="0.43522803392262976"/>
    <s v="C"/>
  </r>
  <r>
    <x v="474"/>
    <x v="207"/>
    <d v="2023-05-25T00:00:00"/>
    <x v="380"/>
    <x v="2"/>
    <x v="5"/>
    <s v="Rio de Janeiro"/>
    <s v="Enterprise"/>
    <x v="0"/>
    <x v="12"/>
    <x v="1"/>
    <x v="474"/>
    <n v="690.49"/>
    <n v="1290.29"/>
    <n v="4.2000000000000003E-2"/>
    <x v="172"/>
    <n v="22"/>
    <x v="24"/>
    <n v="1290.29"/>
    <x v="475"/>
    <n v="15190.78"/>
    <x v="475"/>
    <n v="0.44139534199647718"/>
    <s v="C"/>
  </r>
  <r>
    <x v="475"/>
    <x v="385"/>
    <d v="2024-05-16T00:00:00"/>
    <x v="361"/>
    <x v="3"/>
    <x v="8"/>
    <s v="Birmingham"/>
    <s v="Non-Profit"/>
    <x v="4"/>
    <x v="3"/>
    <x v="4"/>
    <x v="475"/>
    <n v="210.76"/>
    <n v="221.58"/>
    <n v="8.8999999999999996E-2"/>
    <x v="25"/>
    <n v="5"/>
    <x v="30"/>
    <n v="221.58"/>
    <x v="476"/>
    <n v="1053.8"/>
    <x v="476"/>
    <n v="-4.4093170205912434E-2"/>
    <s v="C"/>
  </r>
  <r>
    <x v="476"/>
    <x v="211"/>
    <d v="2023-03-18T00:00:00"/>
    <x v="381"/>
    <x v="3"/>
    <x v="6"/>
    <s v="Frankfurt"/>
    <s v="Enterprise"/>
    <x v="4"/>
    <x v="8"/>
    <x v="0"/>
    <x v="476"/>
    <n v="472.33"/>
    <n v="360.34"/>
    <n v="0.16500000000000001"/>
    <x v="205"/>
    <n v="14"/>
    <x v="3"/>
    <n v="360.34"/>
    <x v="477"/>
    <n v="6612.62"/>
    <x v="477"/>
    <n v="-0.56980815523861561"/>
    <s v="C"/>
  </r>
  <r>
    <x v="477"/>
    <x v="386"/>
    <d v="2023-08-13T00:00:00"/>
    <x v="239"/>
    <x v="3"/>
    <x v="8"/>
    <s v="Manchester"/>
    <s v="Non-Profit"/>
    <x v="1"/>
    <x v="1"/>
    <x v="4"/>
    <x v="477"/>
    <n v="1039.03"/>
    <n v="2545.81"/>
    <n v="0.216"/>
    <x v="153"/>
    <n v="21"/>
    <x v="27"/>
    <n v="2545.81"/>
    <x v="478"/>
    <n v="21819.63"/>
    <x v="478"/>
    <n v="0.47942172929364774"/>
    <s v="C"/>
  </r>
  <r>
    <x v="478"/>
    <x v="387"/>
    <d v="2023-04-19T00:00:00"/>
    <x v="382"/>
    <x v="3"/>
    <x v="6"/>
    <s v="Munich"/>
    <s v="Corporate"/>
    <x v="4"/>
    <x v="5"/>
    <x v="6"/>
    <x v="478"/>
    <n v="553.61"/>
    <n v="699.47"/>
    <n v="0.02"/>
    <x v="112"/>
    <n v="33"/>
    <x v="4"/>
    <n v="699.47"/>
    <x v="479"/>
    <n v="18269.13"/>
    <x v="479"/>
    <n v="0.19237685209472014"/>
    <s v="C"/>
  </r>
  <r>
    <x v="479"/>
    <x v="279"/>
    <d v="2024-01-15T00:00:00"/>
    <x v="383"/>
    <x v="1"/>
    <x v="2"/>
    <s v="Nagoya"/>
    <s v="Small Business"/>
    <x v="2"/>
    <x v="3"/>
    <x v="2"/>
    <x v="479"/>
    <n v="1219.06"/>
    <n v="2738.69"/>
    <n v="7.5999999999999998E-2"/>
    <x v="169"/>
    <n v="16"/>
    <x v="19"/>
    <n v="2738.69"/>
    <x v="480"/>
    <n v="19504.96"/>
    <x v="480"/>
    <n v="0.51826274447673737"/>
    <s v="C"/>
  </r>
  <r>
    <x v="480"/>
    <x v="209"/>
    <d v="2024-09-07T00:00:00"/>
    <x v="250"/>
    <x v="1"/>
    <x v="2"/>
    <s v="Tokyo"/>
    <s v="Small Business"/>
    <x v="3"/>
    <x v="13"/>
    <x v="1"/>
    <x v="480"/>
    <n v="43.23"/>
    <n v="94.78"/>
    <n v="9.0999999999999998E-2"/>
    <x v="118"/>
    <n v="55"/>
    <x v="3"/>
    <n v="94.78"/>
    <x v="481"/>
    <n v="2377.6499999999996"/>
    <x v="481"/>
    <n v="0.49823005090127082"/>
    <s v="C"/>
  </r>
  <r>
    <x v="481"/>
    <x v="388"/>
    <d v="2025-09-03T00:00:00"/>
    <x v="379"/>
    <x v="3"/>
    <x v="7"/>
    <s v="Marseille"/>
    <s v="Small Business"/>
    <x v="2"/>
    <x v="1"/>
    <x v="4"/>
    <x v="481"/>
    <n v="1286.56"/>
    <n v="2777.35"/>
    <n v="0.13200000000000001"/>
    <x v="187"/>
    <n v="15"/>
    <x v="3"/>
    <n v="2777.35"/>
    <x v="482"/>
    <n v="19298.399999999998"/>
    <x v="482"/>
    <n v="0.46632150014696744"/>
    <s v="C"/>
  </r>
  <r>
    <x v="482"/>
    <x v="86"/>
    <d v="2025-05-19T00:00:00"/>
    <x v="384"/>
    <x v="3"/>
    <x v="6"/>
    <s v="Berlin"/>
    <s v="Corporate"/>
    <x v="3"/>
    <x v="5"/>
    <x v="3"/>
    <x v="482"/>
    <n v="350.76"/>
    <n v="492.18"/>
    <n v="5.2999999999999999E-2"/>
    <x v="113"/>
    <n v="11"/>
    <x v="28"/>
    <n v="492.18"/>
    <x v="483"/>
    <n v="3858.3599999999997"/>
    <x v="483"/>
    <n v="0.24744868239798437"/>
    <s v="C"/>
  </r>
  <r>
    <x v="483"/>
    <x v="389"/>
    <d v="2023-08-15T00:00:00"/>
    <x v="385"/>
    <x v="2"/>
    <x v="5"/>
    <s v="São Paulo"/>
    <s v="Education"/>
    <x v="4"/>
    <x v="3"/>
    <x v="2"/>
    <x v="483"/>
    <n v="1307.52"/>
    <n v="1921.65"/>
    <n v="0.123"/>
    <x v="81"/>
    <n v="13"/>
    <x v="15"/>
    <n v="1921.65"/>
    <x v="484"/>
    <n v="16997.759999999998"/>
    <x v="484"/>
    <n v="0.22415590863289445"/>
    <s v="C"/>
  </r>
  <r>
    <x v="484"/>
    <x v="390"/>
    <d v="2024-12-08T00:00:00"/>
    <x v="386"/>
    <x v="3"/>
    <x v="7"/>
    <s v="Lyon"/>
    <s v="Enterprise"/>
    <x v="0"/>
    <x v="10"/>
    <x v="0"/>
    <x v="484"/>
    <n v="257.44"/>
    <n v="290.33"/>
    <n v="9.1999999999999998E-2"/>
    <x v="76"/>
    <n v="23"/>
    <x v="18"/>
    <n v="290.33"/>
    <x v="485"/>
    <n v="5921.12"/>
    <x v="485"/>
    <n v="2.3441500792581216E-2"/>
    <s v="C"/>
  </r>
  <r>
    <x v="485"/>
    <x v="391"/>
    <d v="2023-11-24T00:00:00"/>
    <x v="387"/>
    <x v="3"/>
    <x v="7"/>
    <s v="Paris"/>
    <s v="Enterprise"/>
    <x v="3"/>
    <x v="0"/>
    <x v="3"/>
    <x v="485"/>
    <n v="287.85000000000002"/>
    <n v="602.91999999999996"/>
    <n v="0.222"/>
    <x v="211"/>
    <n v="11"/>
    <x v="17"/>
    <n v="602.91999999999996"/>
    <x v="486"/>
    <n v="3166.3500000000004"/>
    <x v="486"/>
    <n v="0.38634122847216373"/>
    <s v="C"/>
  </r>
  <r>
    <x v="486"/>
    <x v="392"/>
    <d v="2024-11-28T00:00:00"/>
    <x v="388"/>
    <x v="2"/>
    <x v="3"/>
    <s v="Unknown"/>
    <s v="Consumer"/>
    <x v="3"/>
    <x v="8"/>
    <x v="1"/>
    <x v="486"/>
    <n v="1008.16"/>
    <n v="2077.5"/>
    <n v="7.3999999999999996E-2"/>
    <x v="13"/>
    <n v="15"/>
    <x v="22"/>
    <n v="2077.5"/>
    <x v="487"/>
    <n v="15122.4"/>
    <x v="487"/>
    <n v="0.47594430712691005"/>
    <s v="C"/>
  </r>
  <r>
    <x v="487"/>
    <x v="393"/>
    <d v="2024-05-24T00:00:00"/>
    <x v="389"/>
    <x v="3"/>
    <x v="8"/>
    <s v="Manchester"/>
    <s v="Education"/>
    <x v="2"/>
    <x v="11"/>
    <x v="1"/>
    <x v="487"/>
    <n v="111.02"/>
    <n v="172.88"/>
    <n v="0.19700000000000001"/>
    <x v="114"/>
    <n v="29"/>
    <x v="7"/>
    <n v="172.88"/>
    <x v="488"/>
    <n v="3219.58"/>
    <x v="488"/>
    <n v="0.20027453735212053"/>
    <s v="C"/>
  </r>
  <r>
    <x v="488"/>
    <x v="394"/>
    <d v="2025-06-05T00:00:00"/>
    <x v="375"/>
    <x v="1"/>
    <x v="2"/>
    <s v="Osaka"/>
    <s v="Enterprise"/>
    <x v="4"/>
    <x v="10"/>
    <x v="3"/>
    <x v="488"/>
    <n v="1466.5"/>
    <n v="2778.74"/>
    <n v="0.13500000000000001"/>
    <x v="156"/>
    <n v="4"/>
    <x v="28"/>
    <n v="2778.74"/>
    <x v="489"/>
    <n v="5866"/>
    <x v="489"/>
    <n v="0.38987608680792279"/>
    <s v="C"/>
  </r>
  <r>
    <x v="489"/>
    <x v="395"/>
    <d v="2024-05-19T00:00:00"/>
    <x v="225"/>
    <x v="0"/>
    <x v="1"/>
    <s v="Lagos"/>
    <s v="Corporate"/>
    <x v="3"/>
    <x v="8"/>
    <x v="6"/>
    <x v="489"/>
    <n v="187.22"/>
    <n v="309.47000000000003"/>
    <n v="0"/>
    <x v="5"/>
    <n v="5"/>
    <x v="27"/>
    <n v="309.47000000000003"/>
    <x v="490"/>
    <n v="936.1"/>
    <x v="490"/>
    <n v="0.39503021294471197"/>
    <s v="C"/>
  </r>
  <r>
    <x v="490"/>
    <x v="396"/>
    <d v="2024-09-07T00:00:00"/>
    <x v="250"/>
    <x v="3"/>
    <x v="7"/>
    <s v="Lyon"/>
    <s v="Corporate"/>
    <x v="4"/>
    <x v="1"/>
    <x v="0"/>
    <x v="490"/>
    <n v="297.58999999999997"/>
    <n v="666.41"/>
    <n v="0"/>
    <x v="5"/>
    <n v="10"/>
    <x v="6"/>
    <n v="666.41"/>
    <x v="491"/>
    <n v="2975.8999999999996"/>
    <x v="491"/>
    <n v="0.55344307558409989"/>
    <s v="C"/>
  </r>
  <r>
    <x v="491"/>
    <x v="319"/>
    <d v="2025-08-19T00:00:00"/>
    <x v="84"/>
    <x v="1"/>
    <x v="2"/>
    <s v="Nagoya"/>
    <s v="Consumer"/>
    <x v="2"/>
    <x v="5"/>
    <x v="6"/>
    <x v="491"/>
    <n v="896.09"/>
    <n v="744.27"/>
    <n v="8.3000000000000004E-2"/>
    <x v="195"/>
    <n v="11"/>
    <x v="29"/>
    <n v="744.27"/>
    <x v="492"/>
    <n v="9856.99"/>
    <x v="492"/>
    <n v="-0.31296086469950679"/>
    <s v="C"/>
  </r>
  <r>
    <x v="492"/>
    <x v="397"/>
    <d v="2024-02-29T00:00:00"/>
    <x v="390"/>
    <x v="2"/>
    <x v="5"/>
    <s v="São Paulo"/>
    <s v="Non-Profit"/>
    <x v="4"/>
    <x v="2"/>
    <x v="3"/>
    <x v="492"/>
    <n v="5.34"/>
    <n v="12.69"/>
    <n v="0.13200000000000001"/>
    <x v="187"/>
    <n v="10"/>
    <x v="1"/>
    <n v="12.69"/>
    <x v="493"/>
    <n v="53.4"/>
    <x v="493"/>
    <n v="0.51520301554618642"/>
    <s v="C"/>
  </r>
  <r>
    <x v="493"/>
    <x v="398"/>
    <d v="2024-06-17T00:00:00"/>
    <x v="391"/>
    <x v="1"/>
    <x v="4"/>
    <s v="Delhi"/>
    <s v="Small Business"/>
    <x v="1"/>
    <x v="10"/>
    <x v="6"/>
    <x v="493"/>
    <n v="465.02"/>
    <n v="651.55999999999995"/>
    <n v="4.2000000000000003E-2"/>
    <x v="172"/>
    <n v="19"/>
    <x v="28"/>
    <n v="651.55999999999995"/>
    <x v="494"/>
    <n v="8835.3799999999992"/>
    <x v="494"/>
    <n v="0.25500783025187918"/>
    <s v="C"/>
  </r>
  <r>
    <x v="494"/>
    <x v="399"/>
    <d v="2024-08-17T00:00:00"/>
    <x v="148"/>
    <x v="2"/>
    <x v="10"/>
    <s v="Austin"/>
    <s v="Consumer"/>
    <x v="0"/>
    <x v="14"/>
    <x v="5"/>
    <x v="494"/>
    <n v="352.79"/>
    <n v="754.22"/>
    <n v="0.113"/>
    <x v="138"/>
    <n v="7"/>
    <x v="19"/>
    <n v="754.22"/>
    <x v="495"/>
    <n v="2469.5300000000002"/>
    <x v="495"/>
    <n v="0.47265528014233443"/>
    <s v="C"/>
  </r>
  <r>
    <x v="495"/>
    <x v="264"/>
    <d v="2023-07-04T00:00:00"/>
    <x v="392"/>
    <x v="2"/>
    <x v="5"/>
    <s v="Brasília"/>
    <s v="Non-Profit"/>
    <x v="4"/>
    <x v="0"/>
    <x v="2"/>
    <x v="495"/>
    <n v="1292.8599999999999"/>
    <n v="2981.01"/>
    <n v="0.14199999999999999"/>
    <x v="56"/>
    <n v="12"/>
    <x v="16"/>
    <n v="2981.01"/>
    <x v="496"/>
    <n v="15514.32"/>
    <x v="496"/>
    <n v="0.49452372288927687"/>
    <s v="C"/>
  </r>
  <r>
    <x v="496"/>
    <x v="191"/>
    <d v="2024-09-13T00:00:00"/>
    <x v="393"/>
    <x v="3"/>
    <x v="8"/>
    <s v="London"/>
    <s v="Consumer"/>
    <x v="2"/>
    <x v="9"/>
    <x v="2"/>
    <x v="496"/>
    <n v="1133.08"/>
    <n v="976.17"/>
    <n v="4.2000000000000003E-2"/>
    <x v="172"/>
    <n v="27"/>
    <x v="3"/>
    <n v="976.17"/>
    <x v="497"/>
    <n v="30593.159999999996"/>
    <x v="497"/>
    <n v="-0.21162885678452373"/>
    <s v="C"/>
  </r>
  <r>
    <x v="497"/>
    <x v="391"/>
    <d v="2023-10-28T00:00:00"/>
    <x v="394"/>
    <x v="2"/>
    <x v="5"/>
    <s v="Brasília"/>
    <s v="Corporate"/>
    <x v="3"/>
    <x v="4"/>
    <x v="6"/>
    <x v="497"/>
    <n v="509.31"/>
    <n v="1145.9000000000001"/>
    <n v="5.7000000000000002E-2"/>
    <x v="91"/>
    <n v="8"/>
    <x v="4"/>
    <n v="1145.9000000000001"/>
    <x v="498"/>
    <n v="4074.48"/>
    <x v="498"/>
    <n v="0.52867140231709964"/>
    <s v="C"/>
  </r>
  <r>
    <x v="498"/>
    <x v="17"/>
    <d v="2025-10-05T00:00:00"/>
    <x v="395"/>
    <x v="2"/>
    <x v="5"/>
    <s v="Rio de Janeiro"/>
    <s v="Education"/>
    <x v="1"/>
    <x v="0"/>
    <x v="5"/>
    <x v="498"/>
    <n v="660.78"/>
    <n v="1630.39"/>
    <n v="0.218"/>
    <x v="212"/>
    <n v="13"/>
    <x v="29"/>
    <n v="1630.39"/>
    <x v="499"/>
    <n v="8590.14"/>
    <x v="499"/>
    <n v="0.48172694123724097"/>
    <s v="C"/>
  </r>
  <r>
    <x v="499"/>
    <x v="129"/>
    <d v="2023-05-16T00:00:00"/>
    <x v="292"/>
    <x v="1"/>
    <x v="4"/>
    <s v="Bengaluru"/>
    <s v="Non-Profit"/>
    <x v="0"/>
    <x v="4"/>
    <x v="5"/>
    <x v="499"/>
    <n v="475.37"/>
    <n v="963.73"/>
    <n v="4.1000000000000002E-2"/>
    <x v="202"/>
    <n v="22"/>
    <x v="16"/>
    <n v="963.73"/>
    <x v="500"/>
    <n v="10458.14"/>
    <x v="500"/>
    <n v="0.48565113604750881"/>
    <s v="C"/>
  </r>
  <r>
    <x v="500"/>
    <x v="400"/>
    <d v="2024-04-24T00:00:00"/>
    <x v="396"/>
    <x v="3"/>
    <x v="8"/>
    <s v="London"/>
    <s v="Non-Profit"/>
    <x v="3"/>
    <x v="13"/>
    <x v="3"/>
    <x v="500"/>
    <n v="1232.77"/>
    <n v="891.73"/>
    <n v="0.16700000000000001"/>
    <x v="149"/>
    <n v="10"/>
    <x v="1"/>
    <n v="891.73"/>
    <x v="501"/>
    <n v="12327.7"/>
    <x v="501"/>
    <n v="-0.65960096260813805"/>
    <s v="C"/>
  </r>
  <r>
    <x v="501"/>
    <x v="29"/>
    <d v="2023-03-18T00:00:00"/>
    <x v="381"/>
    <x v="1"/>
    <x v="9"/>
    <s v="Beijing"/>
    <s v="Education"/>
    <x v="3"/>
    <x v="11"/>
    <x v="1"/>
    <x v="501"/>
    <n v="770.11"/>
    <n v="1667.82"/>
    <n v="6.9000000000000006E-2"/>
    <x v="89"/>
    <n v="7"/>
    <x v="20"/>
    <n v="1667.82"/>
    <x v="502"/>
    <n v="5390.77"/>
    <x v="502"/>
    <n v="0.50403171703355287"/>
    <s v="C"/>
  </r>
  <r>
    <x v="502"/>
    <x v="401"/>
    <d v="2025-03-25T00:00:00"/>
    <x v="397"/>
    <x v="1"/>
    <x v="9"/>
    <s v="Beijing"/>
    <s v="Non-Profit"/>
    <x v="1"/>
    <x v="3"/>
    <x v="2"/>
    <x v="502"/>
    <n v="1133.03"/>
    <n v="1921.51"/>
    <n v="0.10100000000000001"/>
    <x v="27"/>
    <n v="5"/>
    <x v="25"/>
    <n v="1921.51"/>
    <x v="503"/>
    <n v="5665.15"/>
    <x v="503"/>
    <n v="0.3440978289755654"/>
    <s v="C"/>
  </r>
  <r>
    <x v="503"/>
    <x v="402"/>
    <d v="2025-03-27T00:00:00"/>
    <x v="398"/>
    <x v="2"/>
    <x v="5"/>
    <s v="Rio de Janeiro"/>
    <s v="Enterprise"/>
    <x v="4"/>
    <x v="9"/>
    <x v="2"/>
    <x v="503"/>
    <n v="996.73"/>
    <n v="1217.43"/>
    <n v="7.0000000000000007E-2"/>
    <x v="67"/>
    <n v="9"/>
    <x v="13"/>
    <n v="1217.43"/>
    <x v="504"/>
    <n v="8970.57"/>
    <x v="504"/>
    <n v="0.11965970267527255"/>
    <s v="C"/>
  </r>
  <r>
    <x v="504"/>
    <x v="403"/>
    <d v="2024-04-09T00:00:00"/>
    <x v="58"/>
    <x v="0"/>
    <x v="1"/>
    <s v="Lagos"/>
    <s v="Non-Profit"/>
    <x v="4"/>
    <x v="11"/>
    <x v="0"/>
    <x v="504"/>
    <n v="395.07"/>
    <n v="970.27"/>
    <n v="0.123"/>
    <x v="81"/>
    <n v="38"/>
    <x v="3"/>
    <n v="970.27"/>
    <x v="505"/>
    <n v="15012.66"/>
    <x v="505"/>
    <n v="0.53571799049833657"/>
    <s v="C"/>
  </r>
  <r>
    <x v="505"/>
    <x v="60"/>
    <d v="2025-05-17T00:00:00"/>
    <x v="399"/>
    <x v="2"/>
    <x v="10"/>
    <s v="Austin"/>
    <s v="Corporate"/>
    <x v="4"/>
    <x v="13"/>
    <x v="3"/>
    <x v="505"/>
    <n v="932.26"/>
    <n v="1624.67"/>
    <n v="0.23499999999999999"/>
    <x v="145"/>
    <n v="28"/>
    <x v="8"/>
    <n v="1624.67"/>
    <x v="506"/>
    <n v="26103.279999999999"/>
    <x v="506"/>
    <n v="0.24991504559337163"/>
    <s v="C"/>
  </r>
  <r>
    <x v="506"/>
    <x v="404"/>
    <d v="2024-10-28T00:00:00"/>
    <x v="400"/>
    <x v="1"/>
    <x v="9"/>
    <s v="Shanghai"/>
    <s v="Small Business"/>
    <x v="3"/>
    <x v="2"/>
    <x v="2"/>
    <x v="506"/>
    <n v="1331.77"/>
    <n v="2606.11"/>
    <n v="0.02"/>
    <x v="112"/>
    <n v="6"/>
    <x v="3"/>
    <n v="2606.11"/>
    <x v="507"/>
    <n v="7990.62"/>
    <x v="507"/>
    <n v="0.47855271665745619"/>
    <s v="C"/>
  </r>
  <r>
    <x v="507"/>
    <x v="290"/>
    <d v="2023-04-20T00:00:00"/>
    <x v="287"/>
    <x v="3"/>
    <x v="7"/>
    <s v="Lyon"/>
    <s v="Small Business"/>
    <x v="1"/>
    <x v="8"/>
    <x v="4"/>
    <x v="507"/>
    <n v="227.02"/>
    <n v="434.72"/>
    <n v="9.8000000000000004E-2"/>
    <x v="194"/>
    <n v="10"/>
    <x v="1"/>
    <n v="434.72"/>
    <x v="508"/>
    <n v="2270.2000000000003"/>
    <x v="508"/>
    <n v="0.42104079838938052"/>
    <s v="C"/>
  </r>
  <r>
    <x v="508"/>
    <x v="405"/>
    <d v="2024-11-21T00:00:00"/>
    <x v="401"/>
    <x v="1"/>
    <x v="4"/>
    <s v="Mumbai"/>
    <s v="Corporate"/>
    <x v="4"/>
    <x v="10"/>
    <x v="4"/>
    <x v="508"/>
    <n v="903.41"/>
    <n v="1860.41"/>
    <n v="0.108"/>
    <x v="85"/>
    <n v="5"/>
    <x v="26"/>
    <n v="1860.41"/>
    <x v="509"/>
    <n v="4517.05"/>
    <x v="509"/>
    <n v="0.455608451996803"/>
    <s v="C"/>
  </r>
  <r>
    <x v="509"/>
    <x v="406"/>
    <d v="2023-05-14T00:00:00"/>
    <x v="28"/>
    <x v="1"/>
    <x v="4"/>
    <s v="Delhi"/>
    <s v="Non-Profit"/>
    <x v="3"/>
    <x v="0"/>
    <x v="5"/>
    <x v="509"/>
    <n v="622.6"/>
    <n v="833.69"/>
    <n v="0.20899999999999999"/>
    <x v="213"/>
    <n v="14"/>
    <x v="3"/>
    <n v="833.69"/>
    <x v="510"/>
    <n v="8716.4"/>
    <x v="510"/>
    <n v="5.5878167582959715E-2"/>
    <s v="C"/>
  </r>
  <r>
    <x v="510"/>
    <x v="263"/>
    <d v="2024-03-23T00:00:00"/>
    <x v="402"/>
    <x v="2"/>
    <x v="10"/>
    <s v="Chicago"/>
    <s v="Small Business"/>
    <x v="1"/>
    <x v="9"/>
    <x v="0"/>
    <x v="510"/>
    <n v="225.01"/>
    <n v="333.48"/>
    <n v="0.11899999999999999"/>
    <x v="45"/>
    <n v="12"/>
    <x v="28"/>
    <n v="333.48"/>
    <x v="511"/>
    <n v="2700.12"/>
    <x v="511"/>
    <n v="0.23412813004729685"/>
    <s v="C"/>
  </r>
  <r>
    <x v="511"/>
    <x v="407"/>
    <d v="2024-10-11T00:00:00"/>
    <x v="168"/>
    <x v="3"/>
    <x v="8"/>
    <s v="Manchester"/>
    <s v="Non-Profit"/>
    <x v="3"/>
    <x v="4"/>
    <x v="0"/>
    <x v="511"/>
    <n v="1389.46"/>
    <n v="1784.7"/>
    <n v="0.14599999999999999"/>
    <x v="34"/>
    <n v="33"/>
    <x v="25"/>
    <n v="1784.7"/>
    <x v="512"/>
    <n v="45852.18"/>
    <x v="512"/>
    <n v="8.8360877503011831E-2"/>
    <s v="C"/>
  </r>
  <r>
    <x v="512"/>
    <x v="408"/>
    <d v="2023-06-08T00:00:00"/>
    <x v="403"/>
    <x v="3"/>
    <x v="6"/>
    <s v="Frankfurt"/>
    <s v="Consumer"/>
    <x v="1"/>
    <x v="8"/>
    <x v="3"/>
    <x v="512"/>
    <n v="804.17"/>
    <n v="1072.29"/>
    <n v="3.2000000000000001E-2"/>
    <x v="191"/>
    <n v="5"/>
    <x v="1"/>
    <n v="1072.29"/>
    <x v="513"/>
    <n v="4020.85"/>
    <x v="513"/>
    <n v="0.2252523736755869"/>
    <s v="C"/>
  </r>
  <r>
    <x v="513"/>
    <x v="409"/>
    <d v="2025-01-05T00:00:00"/>
    <x v="404"/>
    <x v="1"/>
    <x v="4"/>
    <s v="Delhi"/>
    <s v="Education"/>
    <x v="0"/>
    <x v="2"/>
    <x v="0"/>
    <x v="513"/>
    <n v="1428.33"/>
    <n v="3028.05"/>
    <n v="0"/>
    <x v="5"/>
    <n v="11"/>
    <x v="25"/>
    <n v="3028.05"/>
    <x v="514"/>
    <n v="15711.63"/>
    <x v="514"/>
    <n v="0.52830039134096207"/>
    <s v="C"/>
  </r>
  <r>
    <x v="514"/>
    <x v="117"/>
    <d v="2025-08-28T00:00:00"/>
    <x v="405"/>
    <x v="1"/>
    <x v="4"/>
    <s v="Mumbai"/>
    <s v="Non-Profit"/>
    <x v="3"/>
    <x v="13"/>
    <x v="4"/>
    <x v="514"/>
    <n v="638.54"/>
    <n v="987.24"/>
    <n v="0"/>
    <x v="5"/>
    <n v="11"/>
    <x v="20"/>
    <n v="987.24"/>
    <x v="515"/>
    <n v="7023.94"/>
    <x v="515"/>
    <n v="0.35320692030306716"/>
    <s v="C"/>
  </r>
  <r>
    <x v="515"/>
    <x v="323"/>
    <d v="2023-10-30T00:00:00"/>
    <x v="406"/>
    <x v="1"/>
    <x v="2"/>
    <s v="Tokyo"/>
    <s v="Enterprise"/>
    <x v="1"/>
    <x v="14"/>
    <x v="1"/>
    <x v="515"/>
    <n v="649.13"/>
    <n v="975.43"/>
    <n v="0.157"/>
    <x v="86"/>
    <n v="27"/>
    <x v="17"/>
    <n v="975.43"/>
    <x v="516"/>
    <n v="17526.509999999998"/>
    <x v="516"/>
    <n v="0.21058023149543473"/>
    <s v="C"/>
  </r>
  <r>
    <x v="516"/>
    <x v="253"/>
    <d v="2025-05-30T00:00:00"/>
    <x v="407"/>
    <x v="0"/>
    <x v="1"/>
    <s v="Lagos"/>
    <s v="Consumer"/>
    <x v="3"/>
    <x v="9"/>
    <x v="6"/>
    <x v="516"/>
    <n v="66.400000000000006"/>
    <n v="141.43"/>
    <n v="0.107"/>
    <x v="104"/>
    <n v="8"/>
    <x v="19"/>
    <n v="141.43"/>
    <x v="517"/>
    <n v="531.20000000000005"/>
    <x v="517"/>
    <n v="0.47425508715607551"/>
    <s v="C"/>
  </r>
  <r>
    <x v="517"/>
    <x v="372"/>
    <d v="2024-05-26T00:00:00"/>
    <x v="408"/>
    <x v="3"/>
    <x v="6"/>
    <s v="Berlin"/>
    <s v="Non-Profit"/>
    <x v="0"/>
    <x v="5"/>
    <x v="2"/>
    <x v="517"/>
    <n v="930.71"/>
    <n v="1625.42"/>
    <n v="0.13800000000000001"/>
    <x v="158"/>
    <n v="7"/>
    <x v="2"/>
    <n v="1625.42"/>
    <x v="518"/>
    <n v="6514.97"/>
    <x v="518"/>
    <n v="0.33573477821231196"/>
    <s v="C"/>
  </r>
  <r>
    <x v="518"/>
    <x v="410"/>
    <d v="2023-05-18T00:00:00"/>
    <x v="133"/>
    <x v="0"/>
    <x v="1"/>
    <s v="Port Harcourt"/>
    <s v="Corporate"/>
    <x v="4"/>
    <x v="9"/>
    <x v="0"/>
    <x v="518"/>
    <n v="327.97"/>
    <n v="299.94"/>
    <n v="4.9000000000000002E-2"/>
    <x v="210"/>
    <n v="3"/>
    <x v="13"/>
    <n v="299.94"/>
    <x v="519"/>
    <n v="983.91000000000008"/>
    <x v="519"/>
    <n v="-0.14979182306843442"/>
    <s v="C"/>
  </r>
  <r>
    <x v="519"/>
    <x v="411"/>
    <d v="2024-08-08T00:00:00"/>
    <x v="328"/>
    <x v="3"/>
    <x v="7"/>
    <s v="Marseille"/>
    <s v="Corporate"/>
    <x v="4"/>
    <x v="1"/>
    <x v="0"/>
    <x v="519"/>
    <n v="1062.3800000000001"/>
    <n v="1503.96"/>
    <n v="0.18"/>
    <x v="78"/>
    <n v="6"/>
    <x v="17"/>
    <n v="1503.96"/>
    <x v="520"/>
    <n v="6374.2800000000007"/>
    <x v="520"/>
    <n v="0.13855064905073369"/>
    <s v="C"/>
  </r>
  <r>
    <x v="520"/>
    <x v="406"/>
    <d v="2023-05-27T00:00:00"/>
    <x v="72"/>
    <x v="1"/>
    <x v="4"/>
    <s v="Mumbai"/>
    <s v="Consumer"/>
    <x v="0"/>
    <x v="12"/>
    <x v="4"/>
    <x v="520"/>
    <n v="1286.1600000000001"/>
    <n v="3101.11"/>
    <n v="0.1"/>
    <x v="163"/>
    <n v="23"/>
    <x v="13"/>
    <n v="3101.11"/>
    <x v="521"/>
    <n v="29581.68"/>
    <x v="521"/>
    <n v="0.53917575749758417"/>
    <s v="C"/>
  </r>
  <r>
    <x v="521"/>
    <x v="411"/>
    <d v="2024-07-12T00:00:00"/>
    <x v="409"/>
    <x v="1"/>
    <x v="9"/>
    <s v="Shanghai"/>
    <s v="Small Business"/>
    <x v="0"/>
    <x v="14"/>
    <x v="6"/>
    <x v="521"/>
    <n v="748.39"/>
    <n v="979.42"/>
    <n v="0"/>
    <x v="5"/>
    <n v="23"/>
    <x v="4"/>
    <n v="979.42"/>
    <x v="522"/>
    <n v="17212.97"/>
    <x v="522"/>
    <n v="0.23588450307324738"/>
    <s v="C"/>
  </r>
  <r>
    <x v="522"/>
    <x v="412"/>
    <d v="2024-05-10T00:00:00"/>
    <x v="410"/>
    <x v="0"/>
    <x v="0"/>
    <s v="Kisumu"/>
    <s v="Non-Profit"/>
    <x v="1"/>
    <x v="13"/>
    <x v="5"/>
    <x v="522"/>
    <n v="513.30999999999995"/>
    <n v="1186.26"/>
    <n v="9.4E-2"/>
    <x v="12"/>
    <n v="15"/>
    <x v="12"/>
    <n v="1186.26"/>
    <x v="523"/>
    <n v="7699.65"/>
    <x v="523"/>
    <n v="0.52239194702820446"/>
    <s v="C"/>
  </r>
  <r>
    <x v="523"/>
    <x v="94"/>
    <d v="2024-01-15T00:00:00"/>
    <x v="383"/>
    <x v="2"/>
    <x v="10"/>
    <s v="San Francisco"/>
    <s v="Non-Profit"/>
    <x v="4"/>
    <x v="6"/>
    <x v="0"/>
    <x v="523"/>
    <n v="1061.3699999999999"/>
    <n v="1938.33"/>
    <n v="0.17"/>
    <x v="185"/>
    <n v="4"/>
    <x v="24"/>
    <n v="1938.33"/>
    <x v="524"/>
    <n v="4245.4799999999996"/>
    <x v="524"/>
    <n v="0.34027795259600879"/>
    <s v="C"/>
  </r>
  <r>
    <x v="524"/>
    <x v="413"/>
    <d v="2024-04-27T00:00:00"/>
    <x v="411"/>
    <x v="0"/>
    <x v="0"/>
    <s v="Nakuru"/>
    <s v="Enterprise"/>
    <x v="1"/>
    <x v="14"/>
    <x v="1"/>
    <x v="524"/>
    <n v="401.3"/>
    <n v="826.47"/>
    <n v="0.22500000000000001"/>
    <x v="151"/>
    <n v="13"/>
    <x v="22"/>
    <n v="826.47"/>
    <x v="525"/>
    <n v="5216.9000000000005"/>
    <x v="525"/>
    <n v="0.37347217489696755"/>
    <s v="C"/>
  </r>
  <r>
    <x v="525"/>
    <x v="414"/>
    <d v="2025-02-16T00:00:00"/>
    <x v="51"/>
    <x v="0"/>
    <x v="1"/>
    <s v="Lagos"/>
    <s v="Small Business"/>
    <x v="3"/>
    <x v="0"/>
    <x v="1"/>
    <x v="525"/>
    <n v="90.68"/>
    <n v="118.17"/>
    <n v="0.13500000000000001"/>
    <x v="156"/>
    <n v="21"/>
    <x v="26"/>
    <n v="118.17"/>
    <x v="526"/>
    <n v="1904.2800000000002"/>
    <x v="526"/>
    <n v="0.11286815653552899"/>
    <s v="C"/>
  </r>
  <r>
    <x v="526"/>
    <x v="415"/>
    <d v="2023-01-26T00:00:00"/>
    <x v="412"/>
    <x v="1"/>
    <x v="9"/>
    <s v="Shenzhen"/>
    <s v="Non-Profit"/>
    <x v="0"/>
    <x v="12"/>
    <x v="1"/>
    <x v="526"/>
    <n v="1083.0899999999999"/>
    <n v="1425.87"/>
    <n v="0"/>
    <x v="5"/>
    <n v="8"/>
    <x v="16"/>
    <n v="1425.87"/>
    <x v="527"/>
    <n v="8664.7199999999993"/>
    <x v="527"/>
    <n v="0.24040059752992909"/>
    <s v="C"/>
  </r>
  <r>
    <x v="527"/>
    <x v="416"/>
    <d v="2024-06-23T00:00:00"/>
    <x v="413"/>
    <x v="0"/>
    <x v="0"/>
    <s v="Nairobi"/>
    <s v="Consumer"/>
    <x v="3"/>
    <x v="14"/>
    <x v="4"/>
    <x v="527"/>
    <n v="1208.74"/>
    <n v="1594.78"/>
    <n v="5.8999999999999997E-2"/>
    <x v="161"/>
    <n v="39"/>
    <x v="5"/>
    <n v="1594.78"/>
    <x v="528"/>
    <n v="47140.86"/>
    <x v="528"/>
    <n v="0.1945427589817838"/>
    <s v="C"/>
  </r>
  <r>
    <x v="528"/>
    <x v="417"/>
    <d v="2023-09-20T00:00:00"/>
    <x v="414"/>
    <x v="0"/>
    <x v="11"/>
    <s v="Durban"/>
    <s v="Small Business"/>
    <x v="2"/>
    <x v="12"/>
    <x v="1"/>
    <x v="528"/>
    <n v="1399.64"/>
    <n v="3342.11"/>
    <n v="0"/>
    <x v="5"/>
    <n v="10"/>
    <x v="29"/>
    <n v="3342.11"/>
    <x v="529"/>
    <n v="13996.400000000001"/>
    <x v="529"/>
    <n v="0.58121067229983447"/>
    <s v="C"/>
  </r>
  <r>
    <x v="529"/>
    <x v="247"/>
    <d v="2024-02-08T00:00:00"/>
    <x v="415"/>
    <x v="1"/>
    <x v="2"/>
    <s v="Osaka"/>
    <s v="Consumer"/>
    <x v="2"/>
    <x v="2"/>
    <x v="2"/>
    <x v="529"/>
    <n v="937.16"/>
    <n v="1069.77"/>
    <n v="3.7999999999999999E-2"/>
    <x v="16"/>
    <n v="9"/>
    <x v="16"/>
    <n v="1069.77"/>
    <x v="530"/>
    <n v="8434.44"/>
    <x v="530"/>
    <n v="8.9356783066645962E-2"/>
    <s v="C"/>
  </r>
  <r>
    <x v="530"/>
    <x v="418"/>
    <d v="2025-03-26T00:00:00"/>
    <x v="266"/>
    <x v="3"/>
    <x v="6"/>
    <s v="Berlin"/>
    <s v="Small Business"/>
    <x v="1"/>
    <x v="2"/>
    <x v="3"/>
    <x v="530"/>
    <n v="116.97"/>
    <n v="140.82"/>
    <n v="0.122"/>
    <x v="152"/>
    <n v="5"/>
    <x v="14"/>
    <n v="140.82"/>
    <x v="531"/>
    <n v="584.85"/>
    <x v="531"/>
    <n v="5.3946636669891926E-2"/>
    <s v="C"/>
  </r>
  <r>
    <x v="531"/>
    <x v="222"/>
    <d v="2025-05-12T00:00:00"/>
    <x v="416"/>
    <x v="3"/>
    <x v="7"/>
    <s v="Lyon"/>
    <s v="Enterprise"/>
    <x v="2"/>
    <x v="11"/>
    <x v="5"/>
    <x v="531"/>
    <n v="59.51"/>
    <n v="67.040000000000006"/>
    <n v="0.114"/>
    <x v="59"/>
    <n v="9"/>
    <x v="8"/>
    <n v="67.040000000000006"/>
    <x v="532"/>
    <n v="535.59"/>
    <x v="532"/>
    <n v="-1.8950311663264469E-3"/>
    <s v="C"/>
  </r>
  <r>
    <x v="532"/>
    <x v="419"/>
    <d v="2023-09-03T00:00:00"/>
    <x v="283"/>
    <x v="0"/>
    <x v="11"/>
    <s v="Durban"/>
    <s v="Enterprise"/>
    <x v="0"/>
    <x v="8"/>
    <x v="3"/>
    <x v="532"/>
    <n v="676.37"/>
    <n v="1276.67"/>
    <n v="6.6000000000000003E-2"/>
    <x v="71"/>
    <n v="10"/>
    <x v="13"/>
    <n v="1276.67"/>
    <x v="533"/>
    <n v="6763.7"/>
    <x v="533"/>
    <n v="0.4327705027712872"/>
    <s v="C"/>
  </r>
  <r>
    <x v="533"/>
    <x v="35"/>
    <d v="2025-07-14T00:00:00"/>
    <x v="243"/>
    <x v="0"/>
    <x v="11"/>
    <s v="Johannesburg"/>
    <s v="Enterprise"/>
    <x v="2"/>
    <x v="1"/>
    <x v="4"/>
    <x v="533"/>
    <n v="1151.06"/>
    <n v="2821.36"/>
    <n v="0.248"/>
    <x v="214"/>
    <n v="20"/>
    <x v="8"/>
    <n v="2821.36"/>
    <x v="534"/>
    <n v="23021.199999999997"/>
    <x v="534"/>
    <n v="0.45747267501594235"/>
    <s v="C"/>
  </r>
  <r>
    <x v="534"/>
    <x v="420"/>
    <d v="2025-02-06T00:00:00"/>
    <x v="195"/>
    <x v="2"/>
    <x v="5"/>
    <s v="Brasília"/>
    <s v="Non-Profit"/>
    <x v="0"/>
    <x v="5"/>
    <x v="4"/>
    <x v="534"/>
    <n v="725.62"/>
    <n v="1559.19"/>
    <n v="0.19"/>
    <x v="193"/>
    <n v="12"/>
    <x v="29"/>
    <n v="1559.19"/>
    <x v="535"/>
    <n v="8707.44"/>
    <x v="535"/>
    <n v="0.42545349797405885"/>
    <s v="C"/>
  </r>
  <r>
    <x v="535"/>
    <x v="306"/>
    <d v="2023-07-11T00:00:00"/>
    <x v="417"/>
    <x v="3"/>
    <x v="7"/>
    <s v="Paris"/>
    <s v="Corporate"/>
    <x v="4"/>
    <x v="9"/>
    <x v="2"/>
    <x v="535"/>
    <n v="479.5"/>
    <n v="656.66"/>
    <n v="0.14899999999999999"/>
    <x v="9"/>
    <n v="14"/>
    <x v="23"/>
    <n v="656.66"/>
    <x v="536"/>
    <n v="6713"/>
    <x v="536"/>
    <n v="0.14193835606412289"/>
    <s v="C"/>
  </r>
  <r>
    <x v="536"/>
    <x v="421"/>
    <d v="2024-08-26T00:00:00"/>
    <x v="418"/>
    <x v="2"/>
    <x v="10"/>
    <s v="Chicago"/>
    <s v="Corporate"/>
    <x v="3"/>
    <x v="4"/>
    <x v="4"/>
    <x v="387"/>
    <n v="1291.7"/>
    <n v="2657.84"/>
    <n v="8.6999999999999994E-2"/>
    <x v="24"/>
    <n v="21"/>
    <x v="23"/>
    <n v="2657.84"/>
    <x v="537"/>
    <n v="27125.7"/>
    <x v="537"/>
    <n v="0.46769315745083367"/>
    <s v="C"/>
  </r>
  <r>
    <x v="537"/>
    <x v="422"/>
    <d v="2023-07-13T00:00:00"/>
    <x v="419"/>
    <x v="0"/>
    <x v="11"/>
    <s v="Cape Town"/>
    <s v="Small Business"/>
    <x v="2"/>
    <x v="5"/>
    <x v="6"/>
    <x v="536"/>
    <n v="612.59"/>
    <n v="1424.74"/>
    <n v="4.3999999999999997E-2"/>
    <x v="215"/>
    <n v="15"/>
    <x v="30"/>
    <n v="1424.74"/>
    <x v="538"/>
    <n v="9188.85"/>
    <x v="538"/>
    <n v="0.55024459281802152"/>
    <s v="C"/>
  </r>
  <r>
    <x v="538"/>
    <x v="423"/>
    <d v="2024-01-01T00:00:00"/>
    <x v="234"/>
    <x v="0"/>
    <x v="11"/>
    <s v="Cape Town"/>
    <s v="Education"/>
    <x v="3"/>
    <x v="8"/>
    <x v="1"/>
    <x v="537"/>
    <n v="1141.8"/>
    <n v="2318.7399999999998"/>
    <n v="0.107"/>
    <x v="104"/>
    <n v="32"/>
    <x v="3"/>
    <n v="2318.7399999999998"/>
    <x v="539"/>
    <n v="36537.599999999999"/>
    <x v="539"/>
    <n v="0.44857490612468304"/>
    <s v="C"/>
  </r>
  <r>
    <x v="539"/>
    <x v="424"/>
    <d v="2023-02-15T00:00:00"/>
    <x v="420"/>
    <x v="3"/>
    <x v="6"/>
    <s v="Berlin"/>
    <s v="Small Business"/>
    <x v="1"/>
    <x v="7"/>
    <x v="2"/>
    <x v="538"/>
    <n v="492.62"/>
    <n v="366.7"/>
    <n v="8.8999999999999996E-2"/>
    <x v="25"/>
    <n v="10"/>
    <x v="8"/>
    <n v="366.7"/>
    <x v="540"/>
    <n v="4926.2"/>
    <x v="540"/>
    <n v="-0.47462894052840809"/>
    <s v="C"/>
  </r>
  <r>
    <x v="540"/>
    <x v="425"/>
    <d v="2023-07-09T00:00:00"/>
    <x v="421"/>
    <x v="0"/>
    <x v="0"/>
    <s v="Nairobi"/>
    <s v="Consumer"/>
    <x v="1"/>
    <x v="14"/>
    <x v="4"/>
    <x v="539"/>
    <n v="1258.72"/>
    <n v="2797.41"/>
    <n v="0"/>
    <x v="5"/>
    <n v="7"/>
    <x v="25"/>
    <n v="2797.41"/>
    <x v="541"/>
    <n v="8811.0400000000009"/>
    <x v="541"/>
    <n v="0.55004093071805704"/>
    <s v="C"/>
  </r>
  <r>
    <x v="541"/>
    <x v="116"/>
    <d v="2024-06-09T00:00:00"/>
    <x v="422"/>
    <x v="1"/>
    <x v="9"/>
    <s v="Shanghai"/>
    <s v="Corporate"/>
    <x v="0"/>
    <x v="7"/>
    <x v="5"/>
    <x v="540"/>
    <n v="1370.28"/>
    <n v="2209.66"/>
    <n v="0.13300000000000001"/>
    <x v="111"/>
    <n v="16"/>
    <x v="24"/>
    <n v="2209.66"/>
    <x v="542"/>
    <n v="21924.48"/>
    <x v="542"/>
    <n v="0.28473863442079589"/>
    <s v="C"/>
  </r>
  <r>
    <x v="542"/>
    <x v="426"/>
    <d v="2023-02-12T00:00:00"/>
    <x v="24"/>
    <x v="0"/>
    <x v="1"/>
    <s v="Port Harcourt"/>
    <s v="Non-Profit"/>
    <x v="4"/>
    <x v="14"/>
    <x v="6"/>
    <x v="541"/>
    <n v="944.61"/>
    <n v="839.04"/>
    <n v="5.8999999999999997E-2"/>
    <x v="161"/>
    <n v="6"/>
    <x v="25"/>
    <n v="839.04"/>
    <x v="543"/>
    <n v="5667.66"/>
    <x v="543"/>
    <n v="-0.19641059343363726"/>
    <s v="C"/>
  </r>
  <r>
    <x v="543"/>
    <x v="306"/>
    <d v="2023-07-08T00:00:00"/>
    <x v="258"/>
    <x v="3"/>
    <x v="6"/>
    <s v="Frankfurt"/>
    <s v="Small Business"/>
    <x v="3"/>
    <x v="13"/>
    <x v="4"/>
    <x v="542"/>
    <n v="460.21"/>
    <n v="1139.1500000000001"/>
    <n v="0.115"/>
    <x v="157"/>
    <n v="14"/>
    <x v="1"/>
    <n v="1139.1500000000001"/>
    <x v="544"/>
    <n v="6442.94"/>
    <x v="544"/>
    <n v="0.54350937151821255"/>
    <s v="C"/>
  </r>
  <r>
    <x v="544"/>
    <x v="427"/>
    <d v="2025-08-26T00:00:00"/>
    <x v="423"/>
    <x v="2"/>
    <x v="10"/>
    <s v="New York"/>
    <s v="Corporate"/>
    <x v="0"/>
    <x v="12"/>
    <x v="2"/>
    <x v="543"/>
    <n v="1304.95"/>
    <n v="1712.03"/>
    <n v="0.21199999999999999"/>
    <x v="122"/>
    <n v="8"/>
    <x v="30"/>
    <n v="1712.03"/>
    <x v="545"/>
    <n v="10439.6"/>
    <x v="545"/>
    <n v="3.2710922833287949E-2"/>
    <s v="C"/>
  </r>
  <r>
    <x v="545"/>
    <x v="428"/>
    <d v="2024-03-16T00:00:00"/>
    <x v="257"/>
    <x v="0"/>
    <x v="11"/>
    <s v="Johannesburg"/>
    <s v="Enterprise"/>
    <x v="3"/>
    <x v="12"/>
    <x v="5"/>
    <x v="544"/>
    <n v="441.08"/>
    <n v="1054.29"/>
    <n v="0.23699999999999999"/>
    <x v="1"/>
    <n v="6"/>
    <x v="7"/>
    <n v="1054.29"/>
    <x v="546"/>
    <n v="2646.48"/>
    <x v="546"/>
    <n v="0.45168169985932899"/>
    <s v="C"/>
  </r>
  <r>
    <x v="546"/>
    <x v="429"/>
    <d v="2023-10-02T00:00:00"/>
    <x v="203"/>
    <x v="2"/>
    <x v="3"/>
    <s v="Toronto"/>
    <s v="Education"/>
    <x v="4"/>
    <x v="8"/>
    <x v="6"/>
    <x v="545"/>
    <n v="1299.03"/>
    <n v="2451.2199999999998"/>
    <n v="0.20799999999999999"/>
    <x v="216"/>
    <n v="8"/>
    <x v="9"/>
    <n v="2451.2199999999998"/>
    <x v="547"/>
    <n v="10392.24"/>
    <x v="547"/>
    <n v="0.3308681416032041"/>
    <s v="C"/>
  </r>
  <r>
    <x v="547"/>
    <x v="2"/>
    <d v="2023-03-06T00:00:00"/>
    <x v="424"/>
    <x v="3"/>
    <x v="6"/>
    <s v="Frankfurt"/>
    <s v="Small Business"/>
    <x v="2"/>
    <x v="14"/>
    <x v="1"/>
    <x v="546"/>
    <n v="880.02"/>
    <n v="1251.21"/>
    <n v="0.123"/>
    <x v="81"/>
    <n v="29"/>
    <x v="30"/>
    <n v="1251.21"/>
    <x v="548"/>
    <n v="25520.579999999998"/>
    <x v="548"/>
    <n v="0.19802146915172672"/>
    <s v="C"/>
  </r>
  <r>
    <x v="548"/>
    <x v="293"/>
    <d v="2024-08-03T00:00:00"/>
    <x v="425"/>
    <x v="2"/>
    <x v="5"/>
    <s v="Rio de Janeiro"/>
    <s v="Corporate"/>
    <x v="2"/>
    <x v="12"/>
    <x v="5"/>
    <x v="547"/>
    <n v="702.98"/>
    <n v="1104.8"/>
    <n v="0.17499999999999999"/>
    <x v="30"/>
    <n v="12"/>
    <x v="28"/>
    <n v="1104.8"/>
    <x v="549"/>
    <n v="8435.76"/>
    <x v="549"/>
    <n v="0.22873192460448061"/>
    <s v="C"/>
  </r>
  <r>
    <x v="549"/>
    <x v="430"/>
    <d v="2024-12-26T00:00:00"/>
    <x v="127"/>
    <x v="3"/>
    <x v="8"/>
    <s v="London"/>
    <s v="Enterprise"/>
    <x v="1"/>
    <x v="14"/>
    <x v="2"/>
    <x v="548"/>
    <n v="1035.24"/>
    <n v="2383.41"/>
    <n v="0.17"/>
    <x v="185"/>
    <n v="15"/>
    <x v="6"/>
    <n v="2383.41"/>
    <x v="550"/>
    <n v="15528.6"/>
    <x v="550"/>
    <n v="0.47668378145860962"/>
    <s v="C"/>
  </r>
  <r>
    <x v="550"/>
    <x v="431"/>
    <d v="2025-08-23T00:00:00"/>
    <x v="426"/>
    <x v="2"/>
    <x v="5"/>
    <s v="Brasília"/>
    <s v="Consumer"/>
    <x v="3"/>
    <x v="8"/>
    <x v="5"/>
    <x v="549"/>
    <n v="86.64"/>
    <n v="213.06"/>
    <n v="0.21199999999999999"/>
    <x v="122"/>
    <n v="11"/>
    <x v="13"/>
    <n v="213.06"/>
    <x v="551"/>
    <n v="953.04"/>
    <x v="551"/>
    <n v="0.48395175735154322"/>
    <s v="C"/>
  </r>
  <r>
    <x v="551"/>
    <x v="432"/>
    <d v="2023-03-20T00:00:00"/>
    <x v="95"/>
    <x v="1"/>
    <x v="2"/>
    <s v="Nagoya"/>
    <s v="Small Business"/>
    <x v="1"/>
    <x v="14"/>
    <x v="2"/>
    <x v="550"/>
    <n v="1171.17"/>
    <n v="2030.64"/>
    <n v="0.157"/>
    <x v="86"/>
    <n v="11"/>
    <x v="13"/>
    <n v="2030.64"/>
    <x v="552"/>
    <n v="12882.87"/>
    <x v="552"/>
    <n v="0.31583724528830415"/>
    <s v="C"/>
  </r>
  <r>
    <x v="552"/>
    <x v="433"/>
    <d v="2025-03-17T00:00:00"/>
    <x v="341"/>
    <x v="3"/>
    <x v="6"/>
    <s v="Munich"/>
    <s v="Consumer"/>
    <x v="0"/>
    <x v="4"/>
    <x v="6"/>
    <x v="551"/>
    <n v="730.42"/>
    <n v="956.7"/>
    <n v="4.2000000000000003E-2"/>
    <x v="172"/>
    <n v="22"/>
    <x v="10"/>
    <n v="956.7"/>
    <x v="553"/>
    <n v="16069.24"/>
    <x v="553"/>
    <n v="0.20304945256975698"/>
    <s v="C"/>
  </r>
  <r>
    <x v="553"/>
    <x v="146"/>
    <d v="2025-03-01T00:00:00"/>
    <x v="54"/>
    <x v="0"/>
    <x v="0"/>
    <s v="Mombasa"/>
    <s v="Education"/>
    <x v="4"/>
    <x v="4"/>
    <x v="6"/>
    <x v="552"/>
    <n v="1162.8599999999999"/>
    <n v="1447.68"/>
    <n v="8.6999999999999994E-2"/>
    <x v="24"/>
    <n v="12"/>
    <x v="16"/>
    <n v="1447.68"/>
    <x v="554"/>
    <n v="13954.32"/>
    <x v="554"/>
    <n v="0.12019975247021369"/>
    <s v="C"/>
  </r>
  <r>
    <x v="554"/>
    <x v="434"/>
    <d v="2024-09-26T00:00:00"/>
    <x v="427"/>
    <x v="1"/>
    <x v="2"/>
    <s v="Tokyo"/>
    <s v="Education"/>
    <x v="1"/>
    <x v="2"/>
    <x v="3"/>
    <x v="553"/>
    <n v="1189.03"/>
    <n v="2949.62"/>
    <n v="0.125"/>
    <x v="22"/>
    <n v="13"/>
    <x v="0"/>
    <n v="2949.62"/>
    <x v="555"/>
    <n v="15457.39"/>
    <x v="555"/>
    <n v="0.53929949330034765"/>
    <s v="C"/>
  </r>
  <r>
    <x v="555"/>
    <x v="239"/>
    <d v="2023-05-20T00:00:00"/>
    <x v="428"/>
    <x v="1"/>
    <x v="4"/>
    <s v="Mumbai"/>
    <s v="Enterprise"/>
    <x v="0"/>
    <x v="14"/>
    <x v="6"/>
    <x v="554"/>
    <n v="1443.28"/>
    <n v="2580.5700000000002"/>
    <n v="0"/>
    <x v="5"/>
    <n v="18"/>
    <x v="19"/>
    <n v="2580.5700000000002"/>
    <x v="556"/>
    <n v="25979.040000000001"/>
    <x v="556"/>
    <n v="0.4407127107577008"/>
    <s v="C"/>
  </r>
  <r>
    <x v="556"/>
    <x v="78"/>
    <d v="2025-05-12T00:00:00"/>
    <x v="429"/>
    <x v="2"/>
    <x v="3"/>
    <s v="Vancouver"/>
    <s v="Non-Profit"/>
    <x v="3"/>
    <x v="9"/>
    <x v="1"/>
    <x v="555"/>
    <n v="883.5"/>
    <n v="1978.91"/>
    <n v="5.3999999999999999E-2"/>
    <x v="217"/>
    <n v="27"/>
    <x v="1"/>
    <n v="1978.91"/>
    <x v="557"/>
    <n v="23854.5"/>
    <x v="557"/>
    <n v="0.52805718970390547"/>
    <s v="C"/>
  </r>
  <r>
    <x v="557"/>
    <x v="0"/>
    <d v="2024-03-29T00:00:00"/>
    <x v="430"/>
    <x v="2"/>
    <x v="10"/>
    <s v="New York"/>
    <s v="Corporate"/>
    <x v="0"/>
    <x v="12"/>
    <x v="5"/>
    <x v="556"/>
    <n v="710.98"/>
    <n v="1481.45"/>
    <n v="0.21099999999999999"/>
    <x v="125"/>
    <n v="9"/>
    <x v="5"/>
    <n v="1481.45"/>
    <x v="558"/>
    <n v="6398.82"/>
    <x v="558"/>
    <n v="0.39173422264120461"/>
    <s v="C"/>
  </r>
  <r>
    <x v="558"/>
    <x v="22"/>
    <d v="2024-05-22T00:00:00"/>
    <x v="431"/>
    <x v="0"/>
    <x v="0"/>
    <s v="Nairobi"/>
    <s v="Corporate"/>
    <x v="4"/>
    <x v="10"/>
    <x v="6"/>
    <x v="557"/>
    <n v="857.42"/>
    <n v="1658.92"/>
    <n v="0.122"/>
    <x v="152"/>
    <n v="9"/>
    <x v="3"/>
    <n v="1658.92"/>
    <x v="559"/>
    <n v="7716.78"/>
    <x v="559"/>
    <n v="0.41132763215544305"/>
    <s v="C"/>
  </r>
  <r>
    <x v="559"/>
    <x v="435"/>
    <d v="2024-01-12T00:00:00"/>
    <x v="432"/>
    <x v="1"/>
    <x v="4"/>
    <s v="Bengaluru"/>
    <s v="Corporate"/>
    <x v="4"/>
    <x v="6"/>
    <x v="1"/>
    <x v="558"/>
    <n v="802.32"/>
    <n v="602.34"/>
    <n v="0.12"/>
    <x v="18"/>
    <n v="25"/>
    <x v="3"/>
    <n v="602.34"/>
    <x v="560"/>
    <n v="20058"/>
    <x v="560"/>
    <n v="-0.51364224977134632"/>
    <s v="C"/>
  </r>
  <r>
    <x v="560"/>
    <x v="40"/>
    <d v="2024-11-05T00:00:00"/>
    <x v="268"/>
    <x v="2"/>
    <x v="10"/>
    <s v="New York"/>
    <s v="Corporate"/>
    <x v="3"/>
    <x v="13"/>
    <x v="0"/>
    <x v="559"/>
    <n v="446.66"/>
    <n v="527.64"/>
    <n v="0.14499999999999999"/>
    <x v="177"/>
    <n v="15"/>
    <x v="22"/>
    <n v="527.64"/>
    <x v="561"/>
    <n v="6699.9000000000005"/>
    <x v="561"/>
    <n v="9.9132804087137105E-3"/>
    <s v="C"/>
  </r>
  <r>
    <x v="561"/>
    <x v="25"/>
    <d v="2024-12-19T00:00:00"/>
    <x v="350"/>
    <x v="0"/>
    <x v="0"/>
    <s v="Kisumu"/>
    <s v="Corporate"/>
    <x v="1"/>
    <x v="4"/>
    <x v="3"/>
    <x v="560"/>
    <n v="1195.98"/>
    <n v="1841.9"/>
    <n v="5.5E-2"/>
    <x v="132"/>
    <n v="19"/>
    <x v="6"/>
    <n v="1841.9"/>
    <x v="562"/>
    <n v="22723.62"/>
    <x v="562"/>
    <n v="0.31289032977506842"/>
    <s v="C"/>
  </r>
  <r>
    <x v="562"/>
    <x v="290"/>
    <d v="2023-05-02T00:00:00"/>
    <x v="433"/>
    <x v="2"/>
    <x v="3"/>
    <s v="Montreal"/>
    <s v="Consumer"/>
    <x v="3"/>
    <x v="6"/>
    <x v="5"/>
    <x v="561"/>
    <n v="671.05"/>
    <n v="1645.48"/>
    <n v="0.13700000000000001"/>
    <x v="80"/>
    <n v="6"/>
    <x v="6"/>
    <n v="1645.48"/>
    <x v="563"/>
    <n v="4026.2999999999997"/>
    <x v="563"/>
    <n v="0.52744596377517172"/>
    <s v="C"/>
  </r>
  <r>
    <x v="563"/>
    <x v="185"/>
    <d v="2025-02-08T00:00:00"/>
    <x v="173"/>
    <x v="3"/>
    <x v="8"/>
    <s v="Manchester"/>
    <s v="Enterprise"/>
    <x v="2"/>
    <x v="4"/>
    <x v="2"/>
    <x v="562"/>
    <n v="586.21"/>
    <n v="727.22"/>
    <n v="6.8000000000000005E-2"/>
    <x v="55"/>
    <n v="15"/>
    <x v="3"/>
    <n v="727.22"/>
    <x v="564"/>
    <n v="8793.1500000000015"/>
    <x v="564"/>
    <n v="0.13508884973559721"/>
    <s v="C"/>
  </r>
  <r>
    <x v="564"/>
    <x v="436"/>
    <d v="2024-02-04T00:00:00"/>
    <x v="434"/>
    <x v="3"/>
    <x v="8"/>
    <s v="Manchester"/>
    <s v="Consumer"/>
    <x v="0"/>
    <x v="5"/>
    <x v="4"/>
    <x v="563"/>
    <n v="525.34"/>
    <n v="1233.79"/>
    <n v="0.14299999999999999"/>
    <x v="17"/>
    <n v="4"/>
    <x v="22"/>
    <n v="1233.79"/>
    <x v="565"/>
    <n v="2101.36"/>
    <x v="565"/>
    <n v="0.50315788494082736"/>
    <s v="C"/>
  </r>
  <r>
    <x v="565"/>
    <x v="437"/>
    <d v="2024-02-09T00:00:00"/>
    <x v="10"/>
    <x v="0"/>
    <x v="0"/>
    <s v="Mombasa"/>
    <s v="Corporate"/>
    <x v="4"/>
    <x v="9"/>
    <x v="0"/>
    <x v="564"/>
    <n v="1233.52"/>
    <n v="1543.76"/>
    <n v="0.126"/>
    <x v="38"/>
    <n v="13"/>
    <x v="25"/>
    <n v="1543.76"/>
    <x v="566"/>
    <n v="16035.76"/>
    <x v="566"/>
    <n v="8.5771030201277493E-2"/>
    <s v="C"/>
  </r>
  <r>
    <x v="566"/>
    <x v="438"/>
    <d v="2025-07-11T00:00:00"/>
    <x v="310"/>
    <x v="0"/>
    <x v="1"/>
    <s v="Port Harcourt"/>
    <s v="Small Business"/>
    <x v="1"/>
    <x v="8"/>
    <x v="4"/>
    <x v="565"/>
    <n v="1170.1500000000001"/>
    <n v="2115.19"/>
    <n v="9.1999999999999998E-2"/>
    <x v="76"/>
    <n v="23"/>
    <x v="14"/>
    <n v="2115.19"/>
    <x v="567"/>
    <n v="26913.45"/>
    <x v="567"/>
    <n v="0.39073489674946776"/>
    <s v="C"/>
  </r>
  <r>
    <x v="567"/>
    <x v="273"/>
    <d v="2024-11-07T00:00:00"/>
    <x v="435"/>
    <x v="3"/>
    <x v="7"/>
    <s v="Lyon"/>
    <s v="Corporate"/>
    <x v="1"/>
    <x v="7"/>
    <x v="5"/>
    <x v="566"/>
    <n v="740.68"/>
    <n v="1837.19"/>
    <n v="0.19700000000000001"/>
    <x v="114"/>
    <n v="17"/>
    <x v="4"/>
    <n v="1837.19"/>
    <x v="568"/>
    <n v="12591.56"/>
    <x v="568"/>
    <n v="0.4979337827748298"/>
    <s v="C"/>
  </r>
  <r>
    <x v="568"/>
    <x v="439"/>
    <d v="2024-02-20T00:00:00"/>
    <x v="436"/>
    <x v="2"/>
    <x v="10"/>
    <s v="New York"/>
    <s v="Enterprise"/>
    <x v="1"/>
    <x v="0"/>
    <x v="2"/>
    <x v="567"/>
    <n v="1407.05"/>
    <n v="2858.93"/>
    <n v="0"/>
    <x v="5"/>
    <n v="12"/>
    <x v="18"/>
    <n v="2858.93"/>
    <x v="569"/>
    <n v="16884.599999999999"/>
    <x v="569"/>
    <n v="0.50784034586366222"/>
    <s v="C"/>
  </r>
  <r>
    <x v="569"/>
    <x v="440"/>
    <d v="2025-04-14T00:00:00"/>
    <x v="437"/>
    <x v="1"/>
    <x v="2"/>
    <s v="Osaka"/>
    <s v="Enterprise"/>
    <x v="1"/>
    <x v="3"/>
    <x v="0"/>
    <x v="568"/>
    <n v="138.9"/>
    <n v="289.92"/>
    <n v="2.9000000000000001E-2"/>
    <x v="133"/>
    <n v="12"/>
    <x v="25"/>
    <n v="289.92"/>
    <x v="570"/>
    <n v="1666.8000000000002"/>
    <x v="570"/>
    <n v="0.50659353025828491"/>
    <s v="C"/>
  </r>
  <r>
    <x v="570"/>
    <x v="408"/>
    <d v="2023-06-01T00:00:00"/>
    <x v="438"/>
    <x v="1"/>
    <x v="4"/>
    <s v="Bengaluru"/>
    <s v="Corporate"/>
    <x v="0"/>
    <x v="6"/>
    <x v="6"/>
    <x v="569"/>
    <n v="669.37"/>
    <n v="997.2"/>
    <n v="8.2000000000000003E-2"/>
    <x v="103"/>
    <n v="5"/>
    <x v="18"/>
    <n v="997.2"/>
    <x v="571"/>
    <n v="3346.85"/>
    <x v="571"/>
    <n v="0.26879139586484863"/>
    <s v="C"/>
  </r>
  <r>
    <x v="571"/>
    <x v="401"/>
    <d v="2025-04-04T00:00:00"/>
    <x v="98"/>
    <x v="1"/>
    <x v="4"/>
    <s v="Mumbai"/>
    <s v="Education"/>
    <x v="2"/>
    <x v="1"/>
    <x v="3"/>
    <x v="570"/>
    <n v="23.83"/>
    <n v="47.29"/>
    <n v="6.4000000000000001E-2"/>
    <x v="196"/>
    <n v="19"/>
    <x v="22"/>
    <n v="47.29"/>
    <x v="572"/>
    <n v="452.77"/>
    <x v="572"/>
    <n v="0.46163244429262618"/>
    <s v="C"/>
  </r>
  <r>
    <x v="572"/>
    <x v="279"/>
    <d v="2024-01-02T00:00:00"/>
    <x v="439"/>
    <x v="2"/>
    <x v="3"/>
    <s v="Vancouver"/>
    <s v="Education"/>
    <x v="4"/>
    <x v="8"/>
    <x v="4"/>
    <x v="571"/>
    <n v="444.41"/>
    <n v="754.24"/>
    <n v="0.20699999999999999"/>
    <x v="160"/>
    <n v="32"/>
    <x v="18"/>
    <n v="754.24"/>
    <x v="573"/>
    <n v="14221.12"/>
    <x v="573"/>
    <n v="0.25697902360546598"/>
    <s v="C"/>
  </r>
  <r>
    <x v="573"/>
    <x v="202"/>
    <d v="2024-01-01T00:00:00"/>
    <x v="234"/>
    <x v="2"/>
    <x v="3"/>
    <s v="Toronto"/>
    <s v="Enterprise"/>
    <x v="0"/>
    <x v="11"/>
    <x v="5"/>
    <x v="572"/>
    <n v="856.1"/>
    <n v="901.48"/>
    <n v="5.6000000000000001E-2"/>
    <x v="120"/>
    <n v="17"/>
    <x v="19"/>
    <n v="901.48"/>
    <x v="574"/>
    <n v="14553.7"/>
    <x v="574"/>
    <n v="-5.9963540182134192E-3"/>
    <s v="C"/>
  </r>
  <r>
    <x v="574"/>
    <x v="441"/>
    <d v="2023-04-26T00:00:00"/>
    <x v="440"/>
    <x v="3"/>
    <x v="7"/>
    <s v="Marseille"/>
    <s v="Consumer"/>
    <x v="4"/>
    <x v="12"/>
    <x v="0"/>
    <x v="573"/>
    <n v="81.489999999999995"/>
    <n v="113.08"/>
    <n v="0.121"/>
    <x v="171"/>
    <n v="5"/>
    <x v="18"/>
    <n v="113.08"/>
    <x v="575"/>
    <n v="407.45"/>
    <x v="575"/>
    <n v="0.18015898215364362"/>
    <s v="C"/>
  </r>
  <r>
    <x v="575"/>
    <x v="442"/>
    <d v="2025-08-16T00:00:00"/>
    <x v="92"/>
    <x v="2"/>
    <x v="3"/>
    <s v="Montreal"/>
    <s v="Enterprise"/>
    <x v="3"/>
    <x v="7"/>
    <x v="2"/>
    <x v="574"/>
    <n v="698.66"/>
    <n v="868.62"/>
    <n v="7.1999999999999995E-2"/>
    <x v="3"/>
    <n v="15"/>
    <x v="19"/>
    <n v="868.62"/>
    <x v="576"/>
    <n v="10479.9"/>
    <x v="576"/>
    <n v="0.13326151906432637"/>
    <s v="C"/>
  </r>
  <r>
    <x v="576"/>
    <x v="443"/>
    <d v="2023-08-19T00:00:00"/>
    <x v="286"/>
    <x v="2"/>
    <x v="3"/>
    <s v="Vancouver"/>
    <s v="Corporate"/>
    <x v="1"/>
    <x v="9"/>
    <x v="2"/>
    <x v="575"/>
    <n v="175.38"/>
    <n v="347.9"/>
    <n v="7.1999999999999995E-2"/>
    <x v="3"/>
    <n v="43"/>
    <x v="13"/>
    <n v="347.9"/>
    <x v="577"/>
    <n v="7541.34"/>
    <x v="577"/>
    <n v="0.45677761148169804"/>
    <s v="C"/>
  </r>
  <r>
    <x v="577"/>
    <x v="251"/>
    <d v="2023-07-12T00:00:00"/>
    <x v="441"/>
    <x v="3"/>
    <x v="8"/>
    <s v="Manchester"/>
    <s v="Consumer"/>
    <x v="4"/>
    <x v="2"/>
    <x v="6"/>
    <x v="576"/>
    <n v="751.28"/>
    <n v="1111.8800000000001"/>
    <n v="0.13500000000000001"/>
    <x v="156"/>
    <n v="7"/>
    <x v="29"/>
    <n v="1111.8800000000001"/>
    <x v="578"/>
    <n v="5258.96"/>
    <x v="578"/>
    <n v="0.21886193482433863"/>
    <s v="C"/>
  </r>
  <r>
    <x v="578"/>
    <x v="444"/>
    <d v="2024-11-24T00:00:00"/>
    <x v="153"/>
    <x v="3"/>
    <x v="8"/>
    <s v="London"/>
    <s v="Corporate"/>
    <x v="0"/>
    <x v="6"/>
    <x v="2"/>
    <x v="577"/>
    <n v="164.53"/>
    <n v="327.72"/>
    <n v="6.7000000000000004E-2"/>
    <x v="142"/>
    <n v="14"/>
    <x v="19"/>
    <n v="327.72"/>
    <x v="579"/>
    <n v="2303.42"/>
    <x v="579"/>
    <n v="0.46190307805960412"/>
    <s v="C"/>
  </r>
  <r>
    <x v="579"/>
    <x v="445"/>
    <d v="2025-08-03T00:00:00"/>
    <x v="442"/>
    <x v="0"/>
    <x v="0"/>
    <s v="Nakuru"/>
    <s v="Small Business"/>
    <x v="0"/>
    <x v="0"/>
    <x v="3"/>
    <x v="578"/>
    <n v="389.93"/>
    <n v="486.13"/>
    <n v="0.13200000000000001"/>
    <x v="187"/>
    <n v="17"/>
    <x v="20"/>
    <n v="486.13"/>
    <x v="580"/>
    <n v="6628.81"/>
    <x v="580"/>
    <n v="7.5909508569562828E-2"/>
    <s v="C"/>
  </r>
  <r>
    <x v="580"/>
    <x v="446"/>
    <d v="2023-07-01T00:00:00"/>
    <x v="89"/>
    <x v="2"/>
    <x v="5"/>
    <s v="Brasília"/>
    <s v="Small Business"/>
    <x v="2"/>
    <x v="8"/>
    <x v="0"/>
    <x v="579"/>
    <n v="860.4"/>
    <n v="2066.6"/>
    <n v="0.01"/>
    <x v="19"/>
    <n v="3"/>
    <x v="27"/>
    <n v="2066.6"/>
    <x v="581"/>
    <n v="2581.1999999999998"/>
    <x v="581"/>
    <n v="0.57945857491004105"/>
    <s v="C"/>
  </r>
  <r>
    <x v="581"/>
    <x v="171"/>
    <d v="2023-02-06T00:00:00"/>
    <x v="443"/>
    <x v="2"/>
    <x v="5"/>
    <s v="Brasília"/>
    <s v="Corporate"/>
    <x v="2"/>
    <x v="14"/>
    <x v="5"/>
    <x v="580"/>
    <n v="41.84"/>
    <n v="86.2"/>
    <n v="0.22600000000000001"/>
    <x v="199"/>
    <n v="27"/>
    <x v="11"/>
    <n v="86.2"/>
    <x v="582"/>
    <n v="1129.68"/>
    <x v="582"/>
    <n v="0.37289039970742882"/>
    <s v="C"/>
  </r>
  <r>
    <x v="582"/>
    <x v="331"/>
    <d v="2024-09-04T00:00:00"/>
    <x v="393"/>
    <x v="1"/>
    <x v="2"/>
    <s v="Osaka"/>
    <s v="Corporate"/>
    <x v="4"/>
    <x v="8"/>
    <x v="4"/>
    <x v="581"/>
    <n v="1368.17"/>
    <n v="2307.75"/>
    <n v="0.16300000000000001"/>
    <x v="192"/>
    <n v="21"/>
    <x v="1"/>
    <n v="2307.75"/>
    <x v="583"/>
    <n v="28731.57"/>
    <x v="583"/>
    <n v="0.29168596750831921"/>
    <s v="C"/>
  </r>
  <r>
    <x v="583"/>
    <x v="447"/>
    <d v="2024-08-09T00:00:00"/>
    <x v="444"/>
    <x v="0"/>
    <x v="0"/>
    <s v="Mombasa"/>
    <s v="Consumer"/>
    <x v="2"/>
    <x v="10"/>
    <x v="4"/>
    <x v="582"/>
    <n v="643.21"/>
    <n v="1112.81"/>
    <n v="0.14099999999999999"/>
    <x v="167"/>
    <n v="4"/>
    <x v="30"/>
    <n v="1112.81"/>
    <x v="584"/>
    <n v="2572.84"/>
    <x v="584"/>
    <n v="0.32711847496702562"/>
    <s v="C"/>
  </r>
  <r>
    <x v="584"/>
    <x v="448"/>
    <d v="2025-04-17T00:00:00"/>
    <x v="81"/>
    <x v="2"/>
    <x v="5"/>
    <s v="São Paulo"/>
    <s v="Corporate"/>
    <x v="3"/>
    <x v="4"/>
    <x v="3"/>
    <x v="583"/>
    <n v="719.41"/>
    <n v="1125.99"/>
    <n v="4.1000000000000002E-2"/>
    <x v="202"/>
    <n v="21"/>
    <x v="18"/>
    <n v="1125.99"/>
    <x v="585"/>
    <n v="15107.609999999999"/>
    <x v="585"/>
    <n v="0.33377131194876403"/>
    <s v="C"/>
  </r>
  <r>
    <x v="585"/>
    <x v="449"/>
    <d v="2023-05-16T00:00:00"/>
    <x v="292"/>
    <x v="2"/>
    <x v="10"/>
    <s v="New York"/>
    <s v="Corporate"/>
    <x v="2"/>
    <x v="4"/>
    <x v="3"/>
    <x v="584"/>
    <n v="64.5"/>
    <n v="123.62"/>
    <n v="0"/>
    <x v="5"/>
    <n v="3"/>
    <x v="19"/>
    <n v="123.62"/>
    <x v="586"/>
    <n v="193.5"/>
    <x v="586"/>
    <n v="0.47823976702798904"/>
    <s v="C"/>
  </r>
  <r>
    <x v="586"/>
    <x v="450"/>
    <d v="2024-04-06T00:00:00"/>
    <x v="0"/>
    <x v="0"/>
    <x v="1"/>
    <s v="Abuja"/>
    <s v="Consumer"/>
    <x v="3"/>
    <x v="4"/>
    <x v="0"/>
    <x v="585"/>
    <n v="1232.78"/>
    <n v="1731.75"/>
    <n v="9.2999999999999999E-2"/>
    <x v="141"/>
    <n v="16"/>
    <x v="9"/>
    <n v="1731.75"/>
    <x v="587"/>
    <n v="19724.48"/>
    <x v="587"/>
    <n v="0.21513837246484005"/>
    <s v="C"/>
  </r>
  <r>
    <x v="587"/>
    <x v="249"/>
    <d v="2024-06-21T00:00:00"/>
    <x v="445"/>
    <x v="1"/>
    <x v="2"/>
    <s v="Tokyo"/>
    <s v="Small Business"/>
    <x v="3"/>
    <x v="9"/>
    <x v="3"/>
    <x v="586"/>
    <n v="1367.13"/>
    <n v="3062.01"/>
    <n v="0.10299999999999999"/>
    <x v="170"/>
    <n v="25"/>
    <x v="15"/>
    <n v="3062.01"/>
    <x v="588"/>
    <n v="34178.25"/>
    <x v="588"/>
    <n v="0.50225057645971705"/>
    <s v="C"/>
  </r>
  <r>
    <x v="588"/>
    <x v="146"/>
    <d v="2025-02-27T00:00:00"/>
    <x v="446"/>
    <x v="3"/>
    <x v="7"/>
    <s v="Lyon"/>
    <s v="Non-Profit"/>
    <x v="4"/>
    <x v="11"/>
    <x v="6"/>
    <x v="587"/>
    <n v="1027.26"/>
    <n v="2200.41"/>
    <n v="8.7999999999999995E-2"/>
    <x v="165"/>
    <n v="6"/>
    <x v="7"/>
    <n v="2200.41"/>
    <x v="589"/>
    <n v="6163.5599999999995"/>
    <x v="589"/>
    <n v="0.48810377204822358"/>
    <s v="C"/>
  </r>
  <r>
    <x v="589"/>
    <x v="451"/>
    <d v="2023-04-16T00:00:00"/>
    <x v="166"/>
    <x v="3"/>
    <x v="7"/>
    <s v="Marseille"/>
    <s v="Non-Profit"/>
    <x v="2"/>
    <x v="12"/>
    <x v="6"/>
    <x v="588"/>
    <n v="790.54"/>
    <n v="601.49"/>
    <n v="0"/>
    <x v="5"/>
    <n v="15"/>
    <x v="19"/>
    <n v="601.49"/>
    <x v="590"/>
    <n v="11858.099999999999"/>
    <x v="590"/>
    <n v="-0.31430281467688553"/>
    <s v="C"/>
  </r>
  <r>
    <x v="590"/>
    <x v="388"/>
    <d v="2025-09-22T00:00:00"/>
    <x v="447"/>
    <x v="3"/>
    <x v="7"/>
    <s v="Marseille"/>
    <s v="Corporate"/>
    <x v="4"/>
    <x v="6"/>
    <x v="0"/>
    <x v="589"/>
    <n v="663.9"/>
    <n v="947.77"/>
    <n v="0.17399999999999999"/>
    <x v="154"/>
    <n v="15"/>
    <x v="20"/>
    <n v="947.77"/>
    <x v="591"/>
    <n v="9958.5"/>
    <x v="591"/>
    <n v="0.1519535049280073"/>
    <s v="C"/>
  </r>
  <r>
    <x v="591"/>
    <x v="452"/>
    <d v="2023-02-26T00:00:00"/>
    <x v="424"/>
    <x v="2"/>
    <x v="10"/>
    <s v="San Francisco"/>
    <s v="Non-Profit"/>
    <x v="1"/>
    <x v="4"/>
    <x v="2"/>
    <x v="590"/>
    <n v="1015.91"/>
    <n v="2331.48"/>
    <n v="0.14599999999999999"/>
    <x v="34"/>
    <n v="26"/>
    <x v="1"/>
    <n v="2331.48"/>
    <x v="592"/>
    <n v="26413.66"/>
    <x v="592"/>
    <n v="0.48977037592669626"/>
    <s v="C"/>
  </r>
  <r>
    <x v="592"/>
    <x v="453"/>
    <d v="2024-08-15T00:00:00"/>
    <x v="327"/>
    <x v="1"/>
    <x v="2"/>
    <s v="Tokyo"/>
    <s v="Corporate"/>
    <x v="2"/>
    <x v="9"/>
    <x v="5"/>
    <x v="591"/>
    <n v="1252.52"/>
    <n v="1417.24"/>
    <n v="0.192"/>
    <x v="97"/>
    <n v="5"/>
    <x v="14"/>
    <n v="1417.24"/>
    <x v="593"/>
    <n v="6262.6"/>
    <x v="593"/>
    <n v="-9.3779821943696953E-2"/>
    <s v="C"/>
  </r>
  <r>
    <x v="593"/>
    <x v="325"/>
    <d v="2025-07-12T00:00:00"/>
    <x v="114"/>
    <x v="3"/>
    <x v="7"/>
    <s v="Marseille"/>
    <s v="Consumer"/>
    <x v="4"/>
    <x v="0"/>
    <x v="6"/>
    <x v="592"/>
    <n v="318.83"/>
    <n v="699.5"/>
    <n v="0.08"/>
    <x v="162"/>
    <n v="13"/>
    <x v="29"/>
    <n v="699.5"/>
    <x v="594"/>
    <n v="4144.79"/>
    <x v="594"/>
    <n v="0.50456848059172699"/>
    <s v="C"/>
  </r>
  <r>
    <x v="594"/>
    <x v="24"/>
    <d v="2024-07-21T00:00:00"/>
    <x v="448"/>
    <x v="0"/>
    <x v="0"/>
    <s v="Kisumu"/>
    <s v="Small Business"/>
    <x v="0"/>
    <x v="11"/>
    <x v="4"/>
    <x v="593"/>
    <n v="753.43"/>
    <n v="1787.2"/>
    <n v="7.2999999999999995E-2"/>
    <x v="92"/>
    <n v="9"/>
    <x v="28"/>
    <n v="1787.2"/>
    <x v="595"/>
    <n v="6780.87"/>
    <x v="595"/>
    <n v="0.54523187301476939"/>
    <s v="C"/>
  </r>
  <r>
    <x v="595"/>
    <x v="454"/>
    <d v="2025-02-15T00:00:00"/>
    <x v="449"/>
    <x v="2"/>
    <x v="3"/>
    <s v="Toronto"/>
    <s v="Small Business"/>
    <x v="0"/>
    <x v="14"/>
    <x v="0"/>
    <x v="594"/>
    <n v="1133.47"/>
    <n v="1698.75"/>
    <n v="4.2999999999999997E-2"/>
    <x v="88"/>
    <n v="5"/>
    <x v="1"/>
    <n v="1698.75"/>
    <x v="596"/>
    <n v="5667.35"/>
    <x v="596"/>
    <n v="0.30278194904821976"/>
    <s v="C"/>
  </r>
  <r>
    <x v="596"/>
    <x v="455"/>
    <d v="2023-01-30T00:00:00"/>
    <x v="123"/>
    <x v="0"/>
    <x v="11"/>
    <s v="Cape Town"/>
    <s v="Consumer"/>
    <x v="1"/>
    <x v="8"/>
    <x v="1"/>
    <x v="595"/>
    <n v="299.02"/>
    <n v="724.7"/>
    <n v="0.14000000000000001"/>
    <x v="77"/>
    <n v="5"/>
    <x v="20"/>
    <n v="724.7"/>
    <x v="597"/>
    <n v="1495.1"/>
    <x v="597"/>
    <n v="0.52021847051386139"/>
    <s v="C"/>
  </r>
  <r>
    <x v="597"/>
    <x v="402"/>
    <d v="2025-04-04T00:00:00"/>
    <x v="98"/>
    <x v="1"/>
    <x v="2"/>
    <s v="Osaka"/>
    <s v="Corporate"/>
    <x v="4"/>
    <x v="10"/>
    <x v="1"/>
    <x v="596"/>
    <n v="783.72"/>
    <n v="1355.94"/>
    <n v="0.187"/>
    <x v="37"/>
    <n v="4"/>
    <x v="2"/>
    <n v="1355.94"/>
    <x v="598"/>
    <n v="3134.88"/>
    <x v="598"/>
    <n v="0.28906497348525856"/>
    <s v="C"/>
  </r>
  <r>
    <x v="598"/>
    <x v="456"/>
    <d v="2024-08-15T00:00:00"/>
    <x v="450"/>
    <x v="2"/>
    <x v="5"/>
    <s v="Rio de Janeiro"/>
    <s v="Consumer"/>
    <x v="4"/>
    <x v="12"/>
    <x v="5"/>
    <x v="597"/>
    <n v="165.3"/>
    <n v="275.07"/>
    <n v="0.13300000000000001"/>
    <x v="111"/>
    <n v="25"/>
    <x v="1"/>
    <n v="275.07"/>
    <x v="599"/>
    <n v="4132.5"/>
    <x v="599"/>
    <n v="0.30687665159280625"/>
    <s v="C"/>
  </r>
  <r>
    <x v="599"/>
    <x v="307"/>
    <d v="2024-03-22T00:00:00"/>
    <x v="451"/>
    <x v="3"/>
    <x v="8"/>
    <s v="Manchester"/>
    <s v="Consumer"/>
    <x v="1"/>
    <x v="6"/>
    <x v="4"/>
    <x v="598"/>
    <n v="985.45"/>
    <n v="1802.44"/>
    <n v="8.9999999999999993E-3"/>
    <x v="98"/>
    <n v="19"/>
    <x v="19"/>
    <n v="1802.44"/>
    <x v="600"/>
    <n v="18723.55"/>
    <x v="600"/>
    <n v="0.44830363486867486"/>
    <s v="C"/>
  </r>
  <r>
    <x v="600"/>
    <x v="396"/>
    <d v="2024-09-02T00:00:00"/>
    <x v="452"/>
    <x v="2"/>
    <x v="3"/>
    <s v="Toronto"/>
    <s v="Consumer"/>
    <x v="3"/>
    <x v="0"/>
    <x v="1"/>
    <x v="599"/>
    <n v="1337.01"/>
    <n v="1269.78"/>
    <n v="0.16"/>
    <x v="74"/>
    <n v="7"/>
    <x v="16"/>
    <n v="1269.78"/>
    <x v="601"/>
    <n v="9359.07"/>
    <x v="601"/>
    <n v="-0.25350735672996244"/>
    <s v="C"/>
  </r>
  <r>
    <x v="601"/>
    <x v="457"/>
    <d v="2025-08-28T00:00:00"/>
    <x v="405"/>
    <x v="3"/>
    <x v="7"/>
    <s v="Paris"/>
    <s v="Education"/>
    <x v="1"/>
    <x v="9"/>
    <x v="2"/>
    <x v="600"/>
    <n v="416.16"/>
    <n v="571.9"/>
    <n v="7.0999999999999994E-2"/>
    <x v="87"/>
    <n v="2"/>
    <x v="13"/>
    <n v="571.9"/>
    <x v="602"/>
    <n v="832.32"/>
    <x v="602"/>
    <n v="0.21670649701079497"/>
    <s v="C"/>
  </r>
  <r>
    <x v="602"/>
    <x v="217"/>
    <d v="2025-05-18T00:00:00"/>
    <x v="453"/>
    <x v="1"/>
    <x v="2"/>
    <s v="Tokyo"/>
    <s v="Enterprise"/>
    <x v="0"/>
    <x v="1"/>
    <x v="1"/>
    <x v="601"/>
    <n v="1144.3800000000001"/>
    <n v="2755.04"/>
    <n v="0.15"/>
    <x v="203"/>
    <n v="17"/>
    <x v="24"/>
    <n v="2755.04"/>
    <x v="603"/>
    <n v="19454.460000000003"/>
    <x v="603"/>
    <n v="0.51132128326096682"/>
    <s v="C"/>
  </r>
  <r>
    <x v="603"/>
    <x v="458"/>
    <d v="2023-04-25T00:00:00"/>
    <x v="454"/>
    <x v="3"/>
    <x v="8"/>
    <s v="London"/>
    <s v="Small Business"/>
    <x v="0"/>
    <x v="14"/>
    <x v="1"/>
    <x v="602"/>
    <n v="405.66"/>
    <n v="962.51"/>
    <n v="0.19"/>
    <x v="193"/>
    <n v="7"/>
    <x v="14"/>
    <n v="962.51"/>
    <x v="604"/>
    <n v="2839.6200000000003"/>
    <x v="604"/>
    <n v="0.47967832561239376"/>
    <s v="C"/>
  </r>
  <r>
    <x v="604"/>
    <x v="459"/>
    <d v="2023-10-02T00:00:00"/>
    <x v="203"/>
    <x v="2"/>
    <x v="5"/>
    <s v="Rio de Janeiro"/>
    <s v="Small Business"/>
    <x v="0"/>
    <x v="5"/>
    <x v="4"/>
    <x v="603"/>
    <n v="689.33"/>
    <n v="668.27"/>
    <n v="0.186"/>
    <x v="62"/>
    <n v="13"/>
    <x v="14"/>
    <n v="668.27"/>
    <x v="605"/>
    <n v="8961.2900000000009"/>
    <x v="605"/>
    <n v="-0.26721647214861033"/>
    <s v="C"/>
  </r>
  <r>
    <x v="605"/>
    <x v="460"/>
    <d v="2023-05-14T00:00:00"/>
    <x v="28"/>
    <x v="1"/>
    <x v="2"/>
    <s v="Nagoya"/>
    <s v="Enterprise"/>
    <x v="0"/>
    <x v="8"/>
    <x v="6"/>
    <x v="604"/>
    <n v="1209.22"/>
    <n v="1404.33"/>
    <n v="0.10299999999999999"/>
    <x v="170"/>
    <n v="11"/>
    <x v="21"/>
    <n v="1404.33"/>
    <x v="606"/>
    <n v="13301.42"/>
    <x v="606"/>
    <n v="4.0060848275751328E-2"/>
    <s v="C"/>
  </r>
  <r>
    <x v="606"/>
    <x v="111"/>
    <d v="2025-06-21T00:00:00"/>
    <x v="455"/>
    <x v="0"/>
    <x v="11"/>
    <s v="Johannesburg"/>
    <s v="Small Business"/>
    <x v="5"/>
    <x v="10"/>
    <x v="3"/>
    <x v="605"/>
    <n v="1466.27"/>
    <n v="3589.89"/>
    <n v="9.7000000000000003E-2"/>
    <x v="218"/>
    <n v="9"/>
    <x v="24"/>
    <n v="3589.89"/>
    <x v="607"/>
    <n v="13196.43"/>
    <x v="607"/>
    <n v="0.54768076425234147"/>
    <s v="C"/>
  </r>
  <r>
    <x v="607"/>
    <x v="461"/>
    <d v="2024-12-24T00:00:00"/>
    <x v="456"/>
    <x v="0"/>
    <x v="0"/>
    <s v="Mombasa"/>
    <s v="Corporate"/>
    <x v="3"/>
    <x v="5"/>
    <x v="1"/>
    <x v="606"/>
    <n v="143.33000000000001"/>
    <n v="233.51"/>
    <n v="0.16300000000000001"/>
    <x v="192"/>
    <n v="14"/>
    <x v="29"/>
    <n v="233.51"/>
    <x v="608"/>
    <n v="2006.6200000000001"/>
    <x v="608"/>
    <n v="0.26665867476580835"/>
    <s v="C"/>
  </r>
  <r>
    <x v="608"/>
    <x v="10"/>
    <d v="2024-01-27T00:00:00"/>
    <x v="434"/>
    <x v="0"/>
    <x v="11"/>
    <s v="Cape Town"/>
    <s v="Enterprise"/>
    <x v="4"/>
    <x v="7"/>
    <x v="0"/>
    <x v="607"/>
    <n v="109.75"/>
    <n v="124.25"/>
    <n v="0.12"/>
    <x v="18"/>
    <n v="19"/>
    <x v="1"/>
    <n v="124.25"/>
    <x v="609"/>
    <n v="2085.25"/>
    <x v="609"/>
    <n v="-3.7497713554051405E-3"/>
    <s v="C"/>
  </r>
  <r>
    <x v="609"/>
    <x v="387"/>
    <d v="2023-04-23T00:00:00"/>
    <x v="457"/>
    <x v="2"/>
    <x v="10"/>
    <s v="Austin"/>
    <s v="Corporate"/>
    <x v="3"/>
    <x v="7"/>
    <x v="1"/>
    <x v="608"/>
    <n v="1099.1500000000001"/>
    <n v="1431.37"/>
    <n v="0.104"/>
    <x v="66"/>
    <n v="8"/>
    <x v="1"/>
    <n v="1431.37"/>
    <x v="610"/>
    <n v="8793.2000000000007"/>
    <x v="610"/>
    <n v="0.14296798821109433"/>
    <s v="C"/>
  </r>
  <r>
    <x v="610"/>
    <x v="145"/>
    <d v="2024-02-01T00:00:00"/>
    <x v="458"/>
    <x v="2"/>
    <x v="10"/>
    <s v="Austin"/>
    <s v="Consumer"/>
    <x v="3"/>
    <x v="10"/>
    <x v="1"/>
    <x v="609"/>
    <n v="714.43"/>
    <n v="1595.52"/>
    <n v="0.19400000000000001"/>
    <x v="7"/>
    <n v="14"/>
    <x v="18"/>
    <n v="1595.52"/>
    <x v="611"/>
    <n v="10002.019999999999"/>
    <x v="611"/>
    <n v="0.44445097638151093"/>
    <s v="C"/>
  </r>
  <r>
    <x v="611"/>
    <x v="462"/>
    <d v="2024-11-06T00:00:00"/>
    <x v="49"/>
    <x v="2"/>
    <x v="10"/>
    <s v="Chicago"/>
    <s v="Education"/>
    <x v="5"/>
    <x v="0"/>
    <x v="5"/>
    <x v="610"/>
    <n v="942.02"/>
    <n v="1028.46"/>
    <n v="0"/>
    <x v="5"/>
    <n v="9"/>
    <x v="5"/>
    <n v="1028.46"/>
    <x v="612"/>
    <n v="8478.18"/>
    <x v="612"/>
    <n v="8.4047994088248354E-2"/>
    <s v="C"/>
  </r>
  <r>
    <x v="612"/>
    <x v="463"/>
    <d v="2024-06-30T00:00:00"/>
    <x v="459"/>
    <x v="0"/>
    <x v="0"/>
    <s v="Kisumu"/>
    <s v="Education"/>
    <x v="4"/>
    <x v="12"/>
    <x v="2"/>
    <x v="611"/>
    <n v="1323.55"/>
    <n v="3230.35"/>
    <n v="2.1999999999999999E-2"/>
    <x v="117"/>
    <n v="26"/>
    <x v="15"/>
    <n v="3230.35"/>
    <x v="613"/>
    <n v="34412.299999999996"/>
    <x v="613"/>
    <n v="0.58105991351263542"/>
    <s v="C"/>
  </r>
  <r>
    <x v="613"/>
    <x v="203"/>
    <d v="2023-08-19T00:00:00"/>
    <x v="286"/>
    <x v="3"/>
    <x v="7"/>
    <s v="Paris"/>
    <s v="Enterprise"/>
    <x v="2"/>
    <x v="3"/>
    <x v="2"/>
    <x v="612"/>
    <n v="1418.51"/>
    <n v="2789.61"/>
    <n v="0.17100000000000001"/>
    <x v="219"/>
    <n v="8"/>
    <x v="8"/>
    <n v="2789.61"/>
    <x v="614"/>
    <n v="11348.08"/>
    <x v="614"/>
    <n v="0.38661326464695689"/>
    <s v="C"/>
  </r>
  <r>
    <x v="614"/>
    <x v="418"/>
    <d v="2025-03-27T00:00:00"/>
    <x v="398"/>
    <x v="1"/>
    <x v="2"/>
    <s v="Tokyo"/>
    <s v="Enterprise"/>
    <x v="3"/>
    <x v="5"/>
    <x v="1"/>
    <x v="613"/>
    <n v="1317.58"/>
    <n v="1897.74"/>
    <n v="8.1000000000000003E-2"/>
    <x v="220"/>
    <n v="6"/>
    <x v="12"/>
    <n v="1897.74"/>
    <x v="615"/>
    <n v="7905.48"/>
    <x v="615"/>
    <n v="0.24451687009230266"/>
    <s v="C"/>
  </r>
  <r>
    <x v="615"/>
    <x v="327"/>
    <d v="2023-10-11T00:00:00"/>
    <x v="460"/>
    <x v="0"/>
    <x v="1"/>
    <s v="Port Harcourt"/>
    <s v="Education"/>
    <x v="2"/>
    <x v="11"/>
    <x v="2"/>
    <x v="614"/>
    <n v="391.16"/>
    <n v="902.47"/>
    <n v="4.0000000000000001E-3"/>
    <x v="139"/>
    <n v="12"/>
    <x v="24"/>
    <n v="902.47"/>
    <x v="616"/>
    <n v="4693.92"/>
    <x v="616"/>
    <n v="0.56482661618139207"/>
    <s v="C"/>
  </r>
  <r>
    <x v="616"/>
    <x v="55"/>
    <d v="2025-01-16T00:00:00"/>
    <x v="461"/>
    <x v="3"/>
    <x v="8"/>
    <s v="Manchester"/>
    <s v="Corporate"/>
    <x v="0"/>
    <x v="14"/>
    <x v="5"/>
    <x v="615"/>
    <n v="722.87"/>
    <n v="-33.659999999999997"/>
    <n v="0.10199999999999999"/>
    <x v="4"/>
    <n v="28"/>
    <x v="17"/>
    <s v="1193.87"/>
    <x v="617"/>
    <n v="20240.36"/>
    <x v="617"/>
    <n v="0.32574088612237684"/>
    <s v="C"/>
  </r>
  <r>
    <x v="617"/>
    <x v="445"/>
    <d v="2025-07-16T00:00:00"/>
    <x v="462"/>
    <x v="3"/>
    <x v="8"/>
    <s v="London"/>
    <s v="Enterprise"/>
    <x v="1"/>
    <x v="11"/>
    <x v="1"/>
    <x v="616"/>
    <n v="930.03"/>
    <n v="1086.68"/>
    <n v="0.109"/>
    <x v="14"/>
    <n v="26"/>
    <x v="15"/>
    <n v="1086.68"/>
    <x v="618"/>
    <n v="24180.78"/>
    <x v="618"/>
    <n v="3.9455300728168656E-2"/>
    <s v="C"/>
  </r>
  <r>
    <x v="618"/>
    <x v="464"/>
    <d v="2024-10-24T00:00:00"/>
    <x v="463"/>
    <x v="3"/>
    <x v="7"/>
    <s v="Paris"/>
    <s v="Education"/>
    <x v="3"/>
    <x v="9"/>
    <x v="0"/>
    <x v="617"/>
    <n v="816.7"/>
    <n v="1010.75"/>
    <n v="4.7E-2"/>
    <x v="58"/>
    <n v="43"/>
    <x v="22"/>
    <n v="1010.75"/>
    <x v="619"/>
    <n v="35118.1"/>
    <x v="619"/>
    <n v="0.15213656757537472"/>
    <s v="C"/>
  </r>
  <r>
    <x v="619"/>
    <x v="429"/>
    <d v="2023-09-14T00:00:00"/>
    <x v="464"/>
    <x v="0"/>
    <x v="0"/>
    <s v="Nakuru"/>
    <s v="Education"/>
    <x v="4"/>
    <x v="2"/>
    <x v="6"/>
    <x v="618"/>
    <n v="251.03"/>
    <n v="411.48"/>
    <n v="0.16500000000000001"/>
    <x v="205"/>
    <n v="3"/>
    <x v="30"/>
    <n v="411.48"/>
    <x v="620"/>
    <n v="753.09"/>
    <x v="620"/>
    <n v="0.26938191275658069"/>
    <s v="C"/>
  </r>
  <r>
    <x v="620"/>
    <x v="448"/>
    <d v="2025-05-03T00:00:00"/>
    <x v="465"/>
    <x v="2"/>
    <x v="5"/>
    <s v="Rio de Janeiro"/>
    <s v="Consumer"/>
    <x v="2"/>
    <x v="1"/>
    <x v="2"/>
    <x v="619"/>
    <n v="168.68"/>
    <n v="413.34"/>
    <n v="0.186"/>
    <x v="62"/>
    <n v="7"/>
    <x v="12"/>
    <n v="413.34"/>
    <x v="621"/>
    <n v="1180.76"/>
    <x v="621"/>
    <n v="0.49866069767361682"/>
    <s v="C"/>
  </r>
  <r>
    <x v="621"/>
    <x v="465"/>
    <d v="2024-08-23T00:00:00"/>
    <x v="466"/>
    <x v="1"/>
    <x v="4"/>
    <s v="Hyderabad"/>
    <s v="Corporate"/>
    <x v="0"/>
    <x v="1"/>
    <x v="2"/>
    <x v="620"/>
    <n v="1339.24"/>
    <n v="1558.89"/>
    <n v="0.192"/>
    <x v="97"/>
    <n v="24"/>
    <x v="0"/>
    <n v="1558.89"/>
    <x v="622"/>
    <n v="32141.760000000002"/>
    <x v="622"/>
    <n v="-6.3240669659021781E-2"/>
    <s v="C"/>
  </r>
  <r>
    <x v="622"/>
    <x v="466"/>
    <d v="2025-07-31T00:00:00"/>
    <x v="467"/>
    <x v="0"/>
    <x v="0"/>
    <s v="Nairobi"/>
    <s v="Small Business"/>
    <x v="2"/>
    <x v="7"/>
    <x v="6"/>
    <x v="621"/>
    <n v="619.64"/>
    <n v="861.16"/>
    <n v="0.113"/>
    <x v="138"/>
    <n v="14"/>
    <x v="7"/>
    <n v="861.16"/>
    <x v="623"/>
    <n v="8674.9599999999991"/>
    <x v="623"/>
    <n v="0.18879246435276761"/>
    <s v="C"/>
  </r>
  <r>
    <x v="623"/>
    <x v="242"/>
    <d v="2023-08-02T00:00:00"/>
    <x v="252"/>
    <x v="1"/>
    <x v="9"/>
    <s v="Shanghai"/>
    <s v="Non-Profit"/>
    <x v="4"/>
    <x v="1"/>
    <x v="2"/>
    <x v="622"/>
    <n v="1021.97"/>
    <n v="2296.25"/>
    <n v="0.161"/>
    <x v="63"/>
    <n v="26"/>
    <x v="1"/>
    <n v="2296.25"/>
    <x v="624"/>
    <n v="26571.22"/>
    <x v="624"/>
    <n v="0.46953465482081669"/>
    <s v="C"/>
  </r>
  <r>
    <x v="624"/>
    <x v="112"/>
    <d v="2023-12-12T00:00:00"/>
    <x v="365"/>
    <x v="1"/>
    <x v="4"/>
    <s v="Delhi"/>
    <s v="Small Business"/>
    <x v="4"/>
    <x v="0"/>
    <x v="2"/>
    <x v="623"/>
    <n v="1349.04"/>
    <n v="2636.6"/>
    <n v="0.114"/>
    <x v="59"/>
    <n v="14"/>
    <x v="20"/>
    <n v="2636.6"/>
    <x v="625"/>
    <n v="18886.559999999998"/>
    <x v="625"/>
    <n v="0.42250682312143928"/>
    <s v="C"/>
  </r>
  <r>
    <x v="625"/>
    <x v="81"/>
    <d v="2024-01-16T00:00:00"/>
    <x v="468"/>
    <x v="1"/>
    <x v="4"/>
    <s v="Hyderabad"/>
    <s v="Small Business"/>
    <x v="0"/>
    <x v="8"/>
    <x v="0"/>
    <x v="624"/>
    <n v="1346.81"/>
    <n v="978.09"/>
    <n v="0.159"/>
    <x v="128"/>
    <n v="17"/>
    <x v="2"/>
    <n v="978.09"/>
    <x v="626"/>
    <n v="22895.77"/>
    <x v="626"/>
    <n v="-0.6373122753293996"/>
    <s v="C"/>
  </r>
  <r>
    <x v="626"/>
    <x v="242"/>
    <d v="2023-08-30T00:00:00"/>
    <x v="469"/>
    <x v="1"/>
    <x v="9"/>
    <s v="Shanghai"/>
    <s v="Consumer"/>
    <x v="3"/>
    <x v="13"/>
    <x v="5"/>
    <x v="625"/>
    <n v="226.04"/>
    <n v="545.72"/>
    <n v="0.151"/>
    <x v="101"/>
    <n v="11"/>
    <x v="29"/>
    <n v="545.72"/>
    <x v="627"/>
    <n v="2486.44"/>
    <x v="627"/>
    <n v="0.51212592831834014"/>
    <s v="C"/>
  </r>
  <r>
    <x v="627"/>
    <x v="44"/>
    <d v="2023-07-18T00:00:00"/>
    <x v="470"/>
    <x v="2"/>
    <x v="3"/>
    <s v="Vancouver"/>
    <s v="Enterprise"/>
    <x v="1"/>
    <x v="13"/>
    <x v="3"/>
    <x v="626"/>
    <n v="807.02"/>
    <n v="1435.54"/>
    <n v="0"/>
    <x v="5"/>
    <n v="23"/>
    <x v="2"/>
    <n v="1435.54"/>
    <x v="628"/>
    <n v="18561.46"/>
    <x v="628"/>
    <n v="0.43782827368098415"/>
    <s v="C"/>
  </r>
  <r>
    <x v="628"/>
    <x v="141"/>
    <d v="2024-01-02T00:00:00"/>
    <x v="439"/>
    <x v="3"/>
    <x v="6"/>
    <s v="Frankfurt"/>
    <s v="Enterprise"/>
    <x v="3"/>
    <x v="6"/>
    <x v="0"/>
    <x v="627"/>
    <n v="1071.99"/>
    <n v="2397.3000000000002"/>
    <n v="6.2E-2"/>
    <x v="221"/>
    <n v="18"/>
    <x v="0"/>
    <n v="2397.3000000000002"/>
    <x v="629"/>
    <n v="19295.82"/>
    <x v="629"/>
    <n v="0.52327765324476183"/>
    <s v="C"/>
  </r>
  <r>
    <x v="629"/>
    <x v="112"/>
    <d v="2023-12-19T00:00:00"/>
    <x v="332"/>
    <x v="1"/>
    <x v="2"/>
    <s v="Nagoya"/>
    <s v="Consumer"/>
    <x v="0"/>
    <x v="15"/>
    <x v="3"/>
    <x v="628"/>
    <n v="807.11"/>
    <n v="1853.86"/>
    <n v="0.13900000000000001"/>
    <x v="23"/>
    <n v="8"/>
    <x v="17"/>
    <n v="1853.86"/>
    <x v="630"/>
    <n v="6456.88"/>
    <x v="630"/>
    <n v="0.49434693645388639"/>
    <s v="C"/>
  </r>
  <r>
    <x v="630"/>
    <x v="467"/>
    <d v="2025-03-10T00:00:00"/>
    <x v="471"/>
    <x v="1"/>
    <x v="2"/>
    <s v="Osaka"/>
    <s v="Education"/>
    <x v="3"/>
    <x v="13"/>
    <x v="4"/>
    <x v="629"/>
    <n v="51.86"/>
    <n v="45.98"/>
    <n v="0.17299999999999999"/>
    <x v="121"/>
    <n v="7"/>
    <x v="23"/>
    <n v="45.98"/>
    <x v="631"/>
    <n v="363.02"/>
    <x v="631"/>
    <n v="-0.3638230806412337"/>
    <s v="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0" firstHeaderRow="1" firstDataRow="1" firstDataCol="1"/>
  <pivotFields count="26">
    <pivotField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axis="axisRow"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defaultSubtotal="0"/>
    <pivotField showAll="0"/>
    <pivotField numFmtId="2" showAll="0"/>
    <pivotField numFmtId="2" showAll="0"/>
    <pivotField showAll="0"/>
    <pivotField showAll="0"/>
    <pivotField numFmtId="2" showAll="0"/>
    <pivotField dataField="1" showAll="0">
      <items count="633">
        <item x="180"/>
        <item x="112"/>
        <item x="298"/>
        <item x="286"/>
        <item x="172"/>
        <item x="493"/>
        <item x="96"/>
        <item x="54"/>
        <item x="631"/>
        <item x="58"/>
        <item x="2"/>
        <item x="177"/>
        <item x="586"/>
        <item x="389"/>
        <item x="575"/>
        <item x="106"/>
        <item x="83"/>
        <item x="532"/>
        <item x="109"/>
        <item x="263"/>
        <item x="119"/>
        <item x="51"/>
        <item x="247"/>
        <item x="531"/>
        <item x="89"/>
        <item x="230"/>
        <item x="282"/>
        <item x="7"/>
        <item x="323"/>
        <item x="418"/>
        <item x="243"/>
        <item x="116"/>
        <item x="572"/>
        <item x="617"/>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74"/>
        <item x="240"/>
        <item x="222"/>
        <item x="369"/>
        <item x="59"/>
        <item x="571"/>
        <item x="201"/>
        <item x="408"/>
        <item x="495"/>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304"/>
        <item x="443"/>
        <item x="103"/>
        <item x="599"/>
        <item x="485"/>
        <item x="277"/>
        <item x="581"/>
        <item x="328"/>
        <item x="101"/>
        <item x="71"/>
        <item x="524"/>
        <item x="254"/>
        <item x="218"/>
        <item x="378"/>
        <item x="35"/>
        <item x="491"/>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450"/>
        <item x="265"/>
        <item x="441"/>
        <item x="299"/>
        <item x="364"/>
        <item x="630"/>
        <item x="381"/>
        <item x="145"/>
        <item x="430"/>
        <item x="433"/>
        <item x="399"/>
        <item x="281"/>
        <item x="559"/>
        <item x="85"/>
        <item x="398"/>
        <item x="33"/>
        <item x="560"/>
        <item x="147"/>
        <item x="405"/>
        <item x="428"/>
        <item x="220"/>
        <item x="345"/>
        <item x="102"/>
        <item x="368"/>
        <item x="606"/>
        <item x="577"/>
        <item x="626"/>
        <item x="388"/>
        <item x="544"/>
        <item x="86"/>
        <item x="467"/>
        <item x="234"/>
        <item x="67"/>
        <item x="395"/>
        <item x="166"/>
        <item x="574"/>
        <item x="420"/>
        <item x="170"/>
        <item x="8"/>
        <item x="455"/>
        <item x="359"/>
        <item x="148"/>
        <item x="50"/>
        <item x="595"/>
        <item x="200"/>
        <item x="38"/>
        <item x="535"/>
        <item x="215"/>
        <item x="384"/>
        <item x="507"/>
        <item x="377"/>
        <item x="425"/>
        <item x="472"/>
        <item x="224"/>
        <item x="284"/>
        <item x="547"/>
        <item x="176"/>
        <item x="208"/>
        <item x="554"/>
        <item x="10"/>
        <item x="66"/>
        <item x="122"/>
        <item x="129"/>
        <item x="523"/>
        <item x="413"/>
        <item x="390"/>
        <item x="335"/>
        <item x="469"/>
        <item x="317"/>
        <item x="351"/>
        <item x="499"/>
        <item x="228"/>
        <item x="371"/>
        <item x="402"/>
        <item x="340"/>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427"/>
        <item x="387"/>
        <item x="394"/>
        <item x="21"/>
        <item x="28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97"/>
        <item x="468"/>
        <item x="202"/>
        <item x="253"/>
        <item x="99"/>
        <item x="204"/>
        <item x="300"/>
        <item x="144"/>
        <item x="16"/>
        <item x="324"/>
        <item x="339"/>
        <item x="205"/>
        <item x="31"/>
        <item x="64"/>
        <item x="184"/>
        <item x="352"/>
        <item x="187"/>
        <item x="288"/>
        <item x="348"/>
        <item x="475"/>
        <item x="435"/>
        <item x="34"/>
        <item x="135"/>
        <item x="110"/>
        <item x="61"/>
        <item x="329"/>
        <item x="188"/>
        <item x="219"/>
        <item x="336"/>
        <item x="207"/>
        <item x="487"/>
        <item x="607"/>
        <item x="159"/>
        <item x="273"/>
        <item x="423"/>
        <item x="153"/>
        <item x="56"/>
        <item x="550"/>
        <item x="111"/>
        <item x="622"/>
        <item x="426"/>
        <item x="226"/>
        <item x="42"/>
        <item x="542"/>
        <item x="496"/>
        <item x="310"/>
        <item x="374"/>
        <item x="195"/>
        <item x="442"/>
        <item x="414"/>
        <item x="173"/>
        <item x="55"/>
        <item x="548"/>
        <item x="142"/>
        <item x="372"/>
        <item x="505"/>
        <item x="45"/>
        <item x="625"/>
        <item x="628"/>
        <item x="77"/>
        <item x="562"/>
        <item x="379"/>
        <item x="514"/>
        <item x="529"/>
        <item x="555"/>
        <item x="60"/>
        <item x="600"/>
        <item x="242"/>
        <item x="97"/>
        <item x="569"/>
        <item x="49"/>
        <item x="272"/>
        <item x="506"/>
        <item x="353"/>
        <item x="278"/>
        <item x="360"/>
        <item x="17"/>
        <item x="76"/>
        <item x="138"/>
        <item x="48"/>
        <item x="482"/>
        <item x="471"/>
        <item x="236"/>
        <item x="382"/>
        <item x="18"/>
        <item x="375"/>
        <item x="337"/>
        <item x="266"/>
        <item x="19"/>
        <item x="120"/>
        <item x="322"/>
        <item x="302"/>
        <item x="603"/>
        <item x="264"/>
        <item x="313"/>
        <item x="629"/>
        <item x="480"/>
        <item x="583"/>
        <item x="40"/>
        <item x="429"/>
        <item x="181"/>
        <item x="619"/>
        <item x="478"/>
        <item x="534"/>
        <item x="149"/>
        <item x="306"/>
        <item x="95"/>
        <item x="376"/>
        <item x="356"/>
        <item x="567"/>
        <item x="448"/>
        <item x="556"/>
        <item x="383"/>
        <item x="203"/>
        <item x="392"/>
        <item x="357"/>
        <item x="624"/>
        <item x="512"/>
        <item x="557"/>
        <item x="537"/>
        <item x="592"/>
        <item x="100"/>
        <item x="319"/>
        <item x="199"/>
        <item x="396"/>
        <item x="431"/>
        <item x="424"/>
        <item x="528"/>
        <item x="80"/>
        <item x="9"/>
        <item x="521"/>
        <item x="126"/>
        <item x="117"/>
        <item x="539"/>
        <item x="223"/>
        <item x="588"/>
        <item x="63"/>
        <item x="346"/>
        <item x="276"/>
        <item x="613"/>
        <item x="362"/>
        <item x="465"/>
        <item x="165"/>
        <item x="140"/>
        <item x="175"/>
        <item x="422"/>
        <item x="47"/>
        <item x="237"/>
        <item t="default"/>
      </items>
    </pivotField>
    <pivotField showAll="0"/>
    <pivotField showAll="0"/>
    <pivotField showAll="0"/>
    <pivotField axis="axisRow" showAll="0" defaultSubtotal="0">
      <items count="6">
        <item sd="0" x="0"/>
        <item sd="0" x="1"/>
        <item sd="0" x="2"/>
        <item sd="0" x="3"/>
        <item sd="0" x="4"/>
        <item sd="0" x="5"/>
      </items>
    </pivotField>
    <pivotField axis="axisRow" showAll="0" defaultSubtotal="0">
      <items count="5">
        <item sd="0" x="0"/>
        <item x="1"/>
        <item sd="0" x="2"/>
        <item sd="0" x="3"/>
        <item sd="0" x="4"/>
      </items>
    </pivotField>
  </pivotFields>
  <rowFields count="4">
    <field x="7"/>
    <field x="25"/>
    <field x="24"/>
    <field x="1"/>
  </rowFields>
  <rowItems count="97">
    <i>
      <x/>
    </i>
    <i r="1">
      <x v="1"/>
    </i>
    <i r="2">
      <x v="1"/>
    </i>
    <i r="2">
      <x v="2"/>
    </i>
    <i r="2">
      <x v="3"/>
    </i>
    <i r="2">
      <x v="4"/>
    </i>
    <i r="1">
      <x v="2"/>
    </i>
    <i r="1">
      <x v="3"/>
    </i>
    <i>
      <x v="1"/>
    </i>
    <i r="1">
      <x v="1"/>
    </i>
    <i r="2">
      <x v="1"/>
    </i>
    <i r="2">
      <x v="2"/>
    </i>
    <i r="2">
      <x v="3"/>
    </i>
    <i r="2">
      <x v="4"/>
    </i>
    <i r="1">
      <x v="2"/>
    </i>
    <i r="1">
      <x v="3"/>
    </i>
    <i>
      <x v="2"/>
    </i>
    <i r="1">
      <x v="1"/>
    </i>
    <i r="2">
      <x v="1"/>
    </i>
    <i r="2">
      <x v="2"/>
    </i>
    <i r="2">
      <x v="3"/>
    </i>
    <i r="2">
      <x v="4"/>
    </i>
    <i r="1">
      <x v="2"/>
    </i>
    <i r="1">
      <x v="3"/>
    </i>
    <i>
      <x v="3"/>
    </i>
    <i r="1">
      <x v="1"/>
    </i>
    <i r="2">
      <x v="1"/>
    </i>
    <i r="2">
      <x v="2"/>
    </i>
    <i r="2">
      <x v="3"/>
    </i>
    <i r="2">
      <x v="4"/>
    </i>
    <i r="1">
      <x v="2"/>
    </i>
    <i r="1">
      <x v="3"/>
    </i>
    <i>
      <x v="4"/>
    </i>
    <i r="1">
      <x v="1"/>
    </i>
    <i r="2">
      <x v="1"/>
    </i>
    <i r="2">
      <x v="2"/>
    </i>
    <i r="2">
      <x v="3"/>
    </i>
    <i r="2">
      <x v="4"/>
    </i>
    <i r="1">
      <x v="2"/>
    </i>
    <i r="1">
      <x v="3"/>
    </i>
    <i>
      <x v="5"/>
    </i>
    <i r="1">
      <x v="1"/>
    </i>
    <i r="2">
      <x v="1"/>
    </i>
    <i r="2">
      <x v="2"/>
    </i>
    <i r="2">
      <x v="3"/>
    </i>
    <i r="2">
      <x v="4"/>
    </i>
    <i r="1">
      <x v="2"/>
    </i>
    <i r="1">
      <x v="3"/>
    </i>
    <i>
      <x v="6"/>
    </i>
    <i r="1">
      <x v="1"/>
    </i>
    <i r="2">
      <x v="1"/>
    </i>
    <i r="2">
      <x v="2"/>
    </i>
    <i r="2">
      <x v="3"/>
    </i>
    <i r="2">
      <x v="4"/>
    </i>
    <i r="1">
      <x v="2"/>
    </i>
    <i r="1">
      <x v="3"/>
    </i>
    <i>
      <x v="7"/>
    </i>
    <i r="1">
      <x v="1"/>
    </i>
    <i r="2">
      <x v="1"/>
    </i>
    <i r="2">
      <x v="2"/>
    </i>
    <i r="2">
      <x v="3"/>
    </i>
    <i r="2">
      <x v="4"/>
    </i>
    <i r="1">
      <x v="2"/>
    </i>
    <i r="1">
      <x v="3"/>
    </i>
    <i>
      <x v="8"/>
    </i>
    <i r="1">
      <x v="1"/>
    </i>
    <i r="2">
      <x v="1"/>
    </i>
    <i r="2">
      <x v="2"/>
    </i>
    <i r="2">
      <x v="3"/>
    </i>
    <i r="2">
      <x v="4"/>
    </i>
    <i r="1">
      <x v="2"/>
    </i>
    <i r="1">
      <x v="3"/>
    </i>
    <i>
      <x v="9"/>
    </i>
    <i r="1">
      <x v="1"/>
    </i>
    <i r="2">
      <x v="1"/>
    </i>
    <i r="2">
      <x v="2"/>
    </i>
    <i r="2">
      <x v="3"/>
    </i>
    <i r="2">
      <x v="4"/>
    </i>
    <i r="1">
      <x v="2"/>
    </i>
    <i r="1">
      <x v="3"/>
    </i>
    <i>
      <x v="10"/>
    </i>
    <i r="1">
      <x v="1"/>
    </i>
    <i r="2">
      <x v="1"/>
    </i>
    <i r="2">
      <x v="2"/>
    </i>
    <i r="2">
      <x v="3"/>
    </i>
    <i r="2">
      <x v="4"/>
    </i>
    <i r="1">
      <x v="2"/>
    </i>
    <i r="1">
      <x v="3"/>
    </i>
    <i>
      <x v="11"/>
    </i>
    <i r="1">
      <x v="1"/>
    </i>
    <i r="2">
      <x v="1"/>
    </i>
    <i r="2">
      <x v="2"/>
    </i>
    <i r="2">
      <x v="3"/>
    </i>
    <i r="2">
      <x v="4"/>
    </i>
    <i r="1">
      <x v="2"/>
    </i>
    <i r="1">
      <x v="3"/>
    </i>
    <i t="grand">
      <x/>
    </i>
  </rowItems>
  <colItems count="1">
    <i/>
  </colItems>
  <dataFields count="1">
    <dataField name="Sum of Gross Revenue" fld="20" baseField="2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7" firstHeaderRow="1" firstDataRow="1" firstDataCol="1"/>
  <pivotFields count="26">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axis="axisRow" showAll="0" sortType="descending">
      <items count="8">
        <item sd="0" x="6"/>
        <item sd="0" x="0"/>
        <item sd="0" x="4"/>
        <item sd="0" x="5"/>
        <item x="2"/>
        <item sd="0" x="3"/>
        <item sd="0" x="1"/>
        <item t="default"/>
      </items>
      <autoSortScope>
        <pivotArea dataOnly="0" outline="0" fieldPosition="0">
          <references count="1">
            <reference field="4294967294" count="1" selected="0">
              <x v="0"/>
            </reference>
          </references>
        </pivotArea>
      </autoSortScope>
    </pivotField>
    <pivotField showAll="0" defaultSubtotal="0"/>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pivotField showAll="0"/>
    <pivotField numFmtId="2" showAll="0"/>
    <pivotField dataField="1" showAll="0"/>
    <pivotField showAll="0"/>
    <pivotField showAll="0"/>
    <pivotField showAll="0"/>
    <pivotField showAll="0" defaultSubtotal="0"/>
    <pivotField showAll="0" defaultSubtotal="0"/>
  </pivotFields>
  <rowFields count="2">
    <field x="12"/>
    <field x="14"/>
  </rowFields>
  <rowItems count="94">
    <i>
      <x v="4"/>
    </i>
    <i r="1">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388"/>
    </i>
    <i r="1">
      <x v="389"/>
    </i>
    <i r="1">
      <x v="383"/>
    </i>
    <i r="1">
      <x v="416"/>
    </i>
    <i r="1">
      <x v="406"/>
    </i>
    <i r="1">
      <x v="382"/>
    </i>
    <i r="1">
      <x v="42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4"/>
    </i>
    <i r="1">
      <x v="438"/>
    </i>
    <i r="1">
      <x v="391"/>
    </i>
    <i>
      <x v="2"/>
    </i>
    <i>
      <x v="6"/>
    </i>
    <i>
      <x v="3"/>
    </i>
    <i>
      <x v="1"/>
    </i>
    <i>
      <x v="5"/>
    </i>
    <i>
      <x/>
    </i>
    <i t="grand">
      <x/>
    </i>
  </rowItems>
  <colItems count="1">
    <i/>
  </colItems>
  <dataFields count="1">
    <dataField name="Sum of Gross Revenue" fld="20" showDataAs="percentOfCol" baseField="13" baseItem="23" numFmtId="10"/>
  </dataFields>
  <formats count="4">
    <format dxfId="4">
      <pivotArea collapsedLevelsAreSubtotals="1" fieldPosition="0">
        <references count="2">
          <reference field="12" count="1" selected="0">
            <x v="4"/>
          </reference>
          <reference field="14" count="69">
            <x v="353"/>
            <x v="355"/>
            <x v="356"/>
            <x v="357"/>
            <x v="358"/>
            <x v="359"/>
            <x v="360"/>
            <x v="361"/>
            <x v="362"/>
            <x v="364"/>
            <x v="365"/>
            <x v="366"/>
            <x v="367"/>
            <x v="368"/>
            <x v="369"/>
            <x v="371"/>
            <x v="373"/>
            <x v="375"/>
            <x v="376"/>
            <x v="378"/>
            <x v="379"/>
            <x v="380"/>
            <x v="381"/>
            <x v="382"/>
            <x v="383"/>
            <x v="385"/>
            <x v="386"/>
            <x v="387"/>
            <x v="388"/>
            <x v="389"/>
            <x v="390"/>
            <x v="392"/>
            <x v="393"/>
            <x v="394"/>
            <x v="395"/>
            <x v="396"/>
            <x v="397"/>
            <x v="398"/>
            <x v="399"/>
            <x v="401"/>
            <x v="402"/>
            <x v="403"/>
            <x v="404"/>
            <x v="405"/>
            <x v="406"/>
            <x v="407"/>
            <x v="409"/>
            <x v="410"/>
            <x v="412"/>
            <x v="413"/>
            <x v="414"/>
            <x v="415"/>
            <x v="416"/>
            <x v="417"/>
            <x v="418"/>
            <x v="419"/>
            <x v="421"/>
            <x v="422"/>
            <x v="423"/>
            <x v="425"/>
            <x v="427"/>
            <x v="428"/>
            <x v="429"/>
            <x v="430"/>
            <x v="431"/>
            <x v="432"/>
            <x v="435"/>
            <x v="436"/>
            <x v="437"/>
          </reference>
        </references>
      </pivotArea>
    </format>
    <format dxfId="3">
      <pivotArea collapsedLevelsAreSubtotals="1" fieldPosition="0">
        <references count="2">
          <reference field="12" count="1" selected="0">
            <x v="4"/>
          </reference>
          <reference field="14" count="13">
            <x v="363"/>
            <x v="370"/>
            <x v="372"/>
            <x v="374"/>
            <x v="377"/>
            <x v="384"/>
            <x v="400"/>
            <x v="408"/>
            <x v="411"/>
            <x v="420"/>
            <x v="424"/>
            <x v="426"/>
            <x v="433"/>
          </reference>
        </references>
      </pivotArea>
    </format>
    <format dxfId="2">
      <pivotArea collapsedLevelsAreSubtotals="1" fieldPosition="0">
        <references count="2">
          <reference field="12" count="1" selected="0">
            <x v="4"/>
          </reference>
          <reference field="14" count="4">
            <x v="354"/>
            <x v="391"/>
            <x v="434"/>
            <x v="438"/>
          </reference>
        </references>
      </pivotArea>
    </format>
    <format dxfId="1">
      <pivotArea collapsedLevelsAreSubtotals="1" fieldPosition="0">
        <references count="2">
          <reference field="12" count="1" selected="0">
            <x v="4"/>
          </reference>
          <reference field="14" count="4">
            <x v="354"/>
            <x v="391"/>
            <x v="434"/>
            <x v="43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0" firstHeaderRow="1" firstDataRow="1" firstDataCol="1"/>
  <pivotFields count="26">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14">
        <item x="5"/>
        <item x="3"/>
        <item x="9"/>
        <item x="7"/>
        <item x="6"/>
        <item x="4"/>
        <item x="2"/>
        <item x="0"/>
        <item x="1"/>
        <item x="11"/>
        <item x="8"/>
        <item x="10"/>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7"/>
    <field x="25"/>
    <field x="24"/>
    <field x="1"/>
  </rowFields>
  <rowItems count="49">
    <i>
      <x/>
    </i>
    <i r="1">
      <x v="1"/>
    </i>
    <i r="1">
      <x v="2"/>
    </i>
    <i r="1">
      <x v="3"/>
    </i>
    <i>
      <x v="1"/>
    </i>
    <i r="1">
      <x v="1"/>
    </i>
    <i r="1">
      <x v="2"/>
    </i>
    <i r="1">
      <x v="3"/>
    </i>
    <i>
      <x v="2"/>
    </i>
    <i r="1">
      <x v="1"/>
    </i>
    <i r="1">
      <x v="2"/>
    </i>
    <i r="1">
      <x v="3"/>
    </i>
    <i>
      <x v="3"/>
    </i>
    <i r="1">
      <x v="1"/>
    </i>
    <i r="1">
      <x v="2"/>
    </i>
    <i r="1">
      <x v="3"/>
    </i>
    <i>
      <x v="4"/>
    </i>
    <i r="1">
      <x v="1"/>
    </i>
    <i r="1">
      <x v="2"/>
    </i>
    <i r="1">
      <x v="3"/>
    </i>
    <i>
      <x v="5"/>
    </i>
    <i r="1">
      <x v="1"/>
    </i>
    <i r="1">
      <x v="2"/>
    </i>
    <i r="1">
      <x v="3"/>
    </i>
    <i>
      <x v="6"/>
    </i>
    <i r="1">
      <x v="1"/>
    </i>
    <i r="1">
      <x v="2"/>
    </i>
    <i r="1">
      <x v="3"/>
    </i>
    <i>
      <x v="7"/>
    </i>
    <i r="1">
      <x v="1"/>
    </i>
    <i r="1">
      <x v="2"/>
    </i>
    <i r="1">
      <x v="3"/>
    </i>
    <i>
      <x v="8"/>
    </i>
    <i r="1">
      <x v="1"/>
    </i>
    <i r="1">
      <x v="2"/>
    </i>
    <i r="1">
      <x v="3"/>
    </i>
    <i>
      <x v="9"/>
    </i>
    <i r="1">
      <x v="1"/>
    </i>
    <i r="1">
      <x v="2"/>
    </i>
    <i r="1">
      <x v="3"/>
    </i>
    <i>
      <x v="10"/>
    </i>
    <i r="1">
      <x v="1"/>
    </i>
    <i r="1">
      <x v="2"/>
    </i>
    <i r="1">
      <x v="3"/>
    </i>
    <i>
      <x v="11"/>
    </i>
    <i r="1">
      <x v="1"/>
    </i>
    <i r="1">
      <x v="2"/>
    </i>
    <i r="1">
      <x v="3"/>
    </i>
    <i t="grand">
      <x/>
    </i>
  </rowItems>
  <colItems count="1">
    <i/>
  </colItems>
  <dataFields count="1">
    <dataField name="Sum of Gross Revenue"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0"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7">
  <location ref="A3:B8" firstHeaderRow="1" firstDataRow="1" firstDataCol="1"/>
  <pivotFields count="26">
    <pivotField showAll="0"/>
    <pivotField showAll="0"/>
    <pivotField showAll="0"/>
    <pivotField showAll="0"/>
    <pivotField showAll="0"/>
    <pivotField showAll="0"/>
    <pivotField axis="axisRow" showAll="0">
      <items count="6">
        <item x="0"/>
        <item x="2"/>
        <item x="1"/>
        <item x="3"/>
        <item h="1" x="4"/>
        <item t="default"/>
      </items>
    </pivotField>
    <pivotField showAll="0">
      <items count="14">
        <item x="5"/>
        <item x="3"/>
        <item x="9"/>
        <item x="7"/>
        <item x="6"/>
        <item x="4"/>
        <item x="2"/>
        <item x="0"/>
        <item x="1"/>
        <item x="11"/>
        <item x="8"/>
        <item x="10"/>
        <item h="1" x="12"/>
        <item t="default"/>
      </items>
    </pivotField>
    <pivotField showAll="0">
      <items count="42">
        <item x="7"/>
        <item x="36"/>
        <item x="38"/>
        <item x="6"/>
        <item x="9"/>
        <item x="12"/>
        <item x="10"/>
        <item x="33"/>
        <item x="15"/>
        <item x="18"/>
        <item x="25"/>
        <item x="37"/>
        <item x="34"/>
        <item x="20"/>
        <item x="0"/>
        <item x="3"/>
        <item x="21"/>
        <item x="17"/>
        <item x="31"/>
        <item x="11"/>
        <item x="13"/>
        <item x="19"/>
        <item x="29"/>
        <item x="22"/>
        <item x="32"/>
        <item x="2"/>
        <item x="16"/>
        <item x="39"/>
        <item x="35"/>
        <item x="4"/>
        <item x="28"/>
        <item x="1"/>
        <item x="30"/>
        <item x="24"/>
        <item x="8"/>
        <item x="23"/>
        <item x="14"/>
        <item x="27"/>
        <item x="5"/>
        <item x="26"/>
        <item x="4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634">
        <item x="180"/>
        <item x="112"/>
        <item x="298"/>
        <item x="286"/>
        <item x="172"/>
        <item x="493"/>
        <item x="96"/>
        <item x="54"/>
        <item x="631"/>
        <item x="58"/>
        <item x="2"/>
        <item x="177"/>
        <item x="586"/>
        <item x="389"/>
        <item x="575"/>
        <item x="106"/>
        <item x="83"/>
        <item x="532"/>
        <item x="109"/>
        <item x="263"/>
        <item x="119"/>
        <item x="51"/>
        <item x="247"/>
        <item x="531"/>
        <item x="89"/>
        <item x="230"/>
        <item x="282"/>
        <item x="7"/>
        <item x="323"/>
        <item x="418"/>
        <item x="243"/>
        <item x="116"/>
        <item x="572"/>
        <item x="617"/>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74"/>
        <item x="240"/>
        <item x="222"/>
        <item x="369"/>
        <item x="59"/>
        <item x="571"/>
        <item x="201"/>
        <item x="408"/>
        <item x="495"/>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304"/>
        <item x="443"/>
        <item x="103"/>
        <item x="599"/>
        <item x="485"/>
        <item x="277"/>
        <item x="581"/>
        <item x="328"/>
        <item x="101"/>
        <item x="71"/>
        <item x="524"/>
        <item x="254"/>
        <item x="218"/>
        <item x="378"/>
        <item x="35"/>
        <item x="491"/>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450"/>
        <item x="265"/>
        <item x="441"/>
        <item x="299"/>
        <item x="364"/>
        <item x="630"/>
        <item x="381"/>
        <item x="145"/>
        <item x="430"/>
        <item x="433"/>
        <item x="399"/>
        <item x="281"/>
        <item x="559"/>
        <item x="85"/>
        <item x="398"/>
        <item x="33"/>
        <item x="560"/>
        <item x="147"/>
        <item x="405"/>
        <item x="428"/>
        <item x="220"/>
        <item x="345"/>
        <item x="102"/>
        <item x="368"/>
        <item x="606"/>
        <item x="577"/>
        <item x="626"/>
        <item x="388"/>
        <item x="544"/>
        <item x="86"/>
        <item x="467"/>
        <item x="234"/>
        <item x="67"/>
        <item x="395"/>
        <item x="166"/>
        <item x="574"/>
        <item x="420"/>
        <item x="170"/>
        <item x="8"/>
        <item x="455"/>
        <item x="359"/>
        <item x="148"/>
        <item x="50"/>
        <item x="595"/>
        <item x="200"/>
        <item x="38"/>
        <item x="535"/>
        <item x="215"/>
        <item x="384"/>
        <item x="507"/>
        <item x="377"/>
        <item x="425"/>
        <item x="472"/>
        <item x="224"/>
        <item x="284"/>
        <item x="547"/>
        <item x="176"/>
        <item x="208"/>
        <item x="554"/>
        <item x="10"/>
        <item x="66"/>
        <item x="122"/>
        <item x="129"/>
        <item x="523"/>
        <item x="413"/>
        <item x="390"/>
        <item x="335"/>
        <item x="469"/>
        <item x="317"/>
        <item x="351"/>
        <item x="499"/>
        <item x="228"/>
        <item x="371"/>
        <item x="402"/>
        <item x="340"/>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427"/>
        <item x="387"/>
        <item x="394"/>
        <item x="21"/>
        <item x="28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97"/>
        <item x="468"/>
        <item x="202"/>
        <item x="253"/>
        <item x="99"/>
        <item x="204"/>
        <item x="300"/>
        <item x="144"/>
        <item x="16"/>
        <item x="324"/>
        <item x="339"/>
        <item x="205"/>
        <item x="31"/>
        <item x="64"/>
        <item x="184"/>
        <item x="352"/>
        <item x="187"/>
        <item x="288"/>
        <item x="348"/>
        <item x="475"/>
        <item x="435"/>
        <item x="34"/>
        <item x="135"/>
        <item x="110"/>
        <item x="61"/>
        <item x="329"/>
        <item x="188"/>
        <item x="219"/>
        <item x="336"/>
        <item x="207"/>
        <item x="487"/>
        <item x="607"/>
        <item x="159"/>
        <item x="273"/>
        <item x="423"/>
        <item x="153"/>
        <item x="56"/>
        <item x="550"/>
        <item x="111"/>
        <item x="622"/>
        <item x="426"/>
        <item x="226"/>
        <item x="42"/>
        <item x="542"/>
        <item x="496"/>
        <item x="310"/>
        <item x="374"/>
        <item x="195"/>
        <item x="442"/>
        <item x="414"/>
        <item x="173"/>
        <item x="55"/>
        <item x="548"/>
        <item x="142"/>
        <item x="372"/>
        <item x="505"/>
        <item x="45"/>
        <item x="625"/>
        <item x="628"/>
        <item x="77"/>
        <item x="562"/>
        <item x="379"/>
        <item x="514"/>
        <item x="529"/>
        <item x="555"/>
        <item x="60"/>
        <item x="600"/>
        <item x="242"/>
        <item x="97"/>
        <item x="569"/>
        <item x="49"/>
        <item x="272"/>
        <item x="506"/>
        <item x="353"/>
        <item x="278"/>
        <item x="360"/>
        <item x="17"/>
        <item x="76"/>
        <item x="138"/>
        <item x="48"/>
        <item x="482"/>
        <item x="471"/>
        <item x="236"/>
        <item x="382"/>
        <item x="18"/>
        <item x="375"/>
        <item x="337"/>
        <item x="266"/>
        <item x="19"/>
        <item x="120"/>
        <item x="322"/>
        <item x="302"/>
        <item x="603"/>
        <item x="264"/>
        <item x="313"/>
        <item x="629"/>
        <item x="480"/>
        <item x="583"/>
        <item x="40"/>
        <item x="429"/>
        <item x="181"/>
        <item x="619"/>
        <item x="478"/>
        <item x="534"/>
        <item x="149"/>
        <item x="306"/>
        <item x="95"/>
        <item x="376"/>
        <item x="356"/>
        <item x="567"/>
        <item x="448"/>
        <item x="556"/>
        <item x="383"/>
        <item x="203"/>
        <item x="392"/>
        <item x="357"/>
        <item x="624"/>
        <item x="512"/>
        <item x="557"/>
        <item x="537"/>
        <item x="592"/>
        <item x="100"/>
        <item x="319"/>
        <item x="199"/>
        <item x="396"/>
        <item x="431"/>
        <item x="424"/>
        <item x="528"/>
        <item x="80"/>
        <item x="9"/>
        <item x="521"/>
        <item x="126"/>
        <item x="117"/>
        <item x="539"/>
        <item x="223"/>
        <item x="588"/>
        <item x="63"/>
        <item x="346"/>
        <item x="276"/>
        <item x="613"/>
        <item x="362"/>
        <item x="465"/>
        <item x="165"/>
        <item x="140"/>
        <item x="175"/>
        <item x="422"/>
        <item x="47"/>
        <item x="237"/>
        <item x="632"/>
        <item t="default"/>
      </items>
    </pivotField>
    <pivotField showAll="0"/>
    <pivotField showAll="0"/>
    <pivotField showAll="0"/>
    <pivotField showAll="0" defaultSubtotal="0"/>
    <pivotField showAll="0" defaultSubtotal="0"/>
  </pivotFields>
  <rowFields count="1">
    <field x="6"/>
  </rowFields>
  <rowItems count="5">
    <i>
      <x/>
    </i>
    <i>
      <x v="1"/>
    </i>
    <i>
      <x v="2"/>
    </i>
    <i>
      <x v="3"/>
    </i>
    <i t="grand">
      <x/>
    </i>
  </rowItems>
  <colItems count="1">
    <i/>
  </colItems>
  <dataFields count="1">
    <dataField name="Sum of Gross Revenue" fld="20" baseField="0" baseItem="0" numFmtId="43"/>
  </dataFields>
  <formats count="1">
    <format dxfId="0">
      <pivotArea outline="0" collapsedLevelsAreSubtotals="1" fieldPosition="0"/>
    </format>
  </formats>
  <chartFormats count="4">
    <chartFormat chart="36"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66" format="3"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F635" firstHeaderRow="1" firstDataRow="1" firstDataCol="1"/>
  <pivotFields count="26">
    <pivotField axis="axisRow"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65" showAll="0">
      <items count="15">
        <item x="0"/>
        <item x="1"/>
        <item x="2"/>
        <item x="3"/>
        <item x="4"/>
        <item x="5"/>
        <item x="6"/>
        <item x="7"/>
        <item x="8"/>
        <item x="9"/>
        <item x="10"/>
        <item x="11"/>
        <item x="12"/>
        <item x="13"/>
        <item t="default"/>
      </items>
    </pivotField>
    <pivotField numFmtId="165" showAll="0"/>
    <pivotField numFmtId="165" showAll="0"/>
    <pivotField showAll="0"/>
    <pivotField showAll="0"/>
    <pivotField showAll="0"/>
    <pivotField showAll="0"/>
    <pivotField showAll="0"/>
    <pivotField showAll="0">
      <items count="17">
        <item x="8"/>
        <item x="5"/>
        <item x="0"/>
        <item x="14"/>
        <item x="6"/>
        <item x="9"/>
        <item x="3"/>
        <item x="10"/>
        <item x="2"/>
        <item x="1"/>
        <item x="11"/>
        <item x="4"/>
        <item x="12"/>
        <item x="13"/>
        <item x="7"/>
        <item x="15"/>
        <item t="default"/>
      </items>
    </pivotField>
    <pivotField showAll="0"/>
    <pivotField showAll="0"/>
    <pivotField numFmtId="166" showAll="0"/>
    <pivotField numFmtId="166" showAll="0"/>
    <pivotField numFmtId="10" showAll="0"/>
    <pivotField showAll="0"/>
    <pivotField numFmtId="1" showAll="0"/>
    <pivotField numFmtId="1" showAll="0"/>
    <pivotField showAll="0"/>
    <pivotField dataField="1" numFmtId="166" showAll="0"/>
    <pivotField numFmtId="166" showAll="0"/>
    <pivotField numFmtId="166" showAll="0"/>
    <pivotField numFmtId="167"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6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t="grand">
      <x/>
    </i>
  </rowItems>
  <colItems count="1">
    <i/>
  </colItems>
  <dataFields count="1">
    <dataField name="Sum of GrossRevn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0" firstDataRow="1" firstDataCol="1"/>
  <pivotFields count="26">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65" showAll="0">
      <items count="15">
        <item x="0"/>
        <item x="1"/>
        <item x="2"/>
        <item x="3"/>
        <item x="4"/>
        <item x="5"/>
        <item x="6"/>
        <item x="7"/>
        <item x="8"/>
        <item x="9"/>
        <item x="10"/>
        <item x="11"/>
        <item x="12"/>
        <item x="13"/>
        <item t="default"/>
      </items>
    </pivotField>
    <pivotField numFmtId="165" showAll="0"/>
    <pivotField numFmtId="165" showAll="0"/>
    <pivotField showAll="0"/>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166" showAll="0"/>
    <pivotField numFmtId="166" showAll="0"/>
    <pivotField numFmtId="10" showAll="0"/>
    <pivotField showAll="0"/>
    <pivotField numFmtId="1" showAll="0"/>
    <pivotField numFmtId="1" showAll="0"/>
    <pivotField showAll="0"/>
    <pivotField numFmtId="166" showAll="0"/>
    <pivotField numFmtId="166" showAll="0"/>
    <pivotField dataField="1" numFmtId="166" showAll="0"/>
    <pivotField numFmtId="167"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9"/>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GrossProfit" fld="21" baseField="0"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
  <location ref="I10:V28" firstHeaderRow="1" firstDataRow="2" firstDataCol="1"/>
  <pivotFields count="26">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axis="axisCol" numFmtId="165" showAll="0">
      <items count="15">
        <item x="0"/>
        <item x="1"/>
        <item x="2"/>
        <item x="3"/>
        <item x="4"/>
        <item x="5"/>
        <item x="6"/>
        <item x="7"/>
        <item x="8"/>
        <item x="9"/>
        <item x="10"/>
        <item x="11"/>
        <item x="12"/>
        <item x="13"/>
        <item t="default"/>
      </items>
    </pivotField>
    <pivotField numFmtId="165" showAll="0"/>
    <pivotField numFmtId="165" showAll="0"/>
    <pivotField showAll="0"/>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166" showAll="0"/>
    <pivotField numFmtId="166" showAll="0"/>
    <pivotField numFmtId="10" showAll="0"/>
    <pivotField showAll="0"/>
    <pivotField numFmtId="1" showAll="0"/>
    <pivotField numFmtId="1" showAll="0"/>
    <pivotField showAll="0"/>
    <pivotField numFmtId="166" showAll="0"/>
    <pivotField numFmtId="166" showAll="0"/>
    <pivotField numFmtId="166" showAll="0">
      <items count="633">
        <item x="1"/>
        <item x="385"/>
        <item x="626"/>
        <item x="265"/>
        <item x="11"/>
        <item x="560"/>
        <item x="58"/>
        <item x="132"/>
        <item x="134"/>
        <item x="423"/>
        <item x="289"/>
        <item x="497"/>
        <item x="2"/>
        <item x="501"/>
        <item x="187"/>
        <item x="65"/>
        <item x="125"/>
        <item x="192"/>
        <item x="407"/>
        <item x="150"/>
        <item x="244"/>
        <item x="259"/>
        <item x="73"/>
        <item x="72"/>
        <item x="388"/>
        <item x="590"/>
        <item x="229"/>
        <item x="416"/>
        <item x="152"/>
        <item x="477"/>
        <item x="492"/>
        <item x="98"/>
        <item x="361"/>
        <item x="196"/>
        <item x="52"/>
        <item x="363"/>
        <item x="622"/>
        <item x="404"/>
        <item x="601"/>
        <item x="605"/>
        <item x="105"/>
        <item x="397"/>
        <item x="14"/>
        <item x="146"/>
        <item x="131"/>
        <item x="384"/>
        <item x="540"/>
        <item x="338"/>
        <item x="193"/>
        <item x="321"/>
        <item x="66"/>
        <item x="432"/>
        <item x="27"/>
        <item x="449"/>
        <item x="543"/>
        <item x="167"/>
        <item x="224"/>
        <item x="55"/>
        <item x="303"/>
        <item x="373"/>
        <item x="427"/>
        <item x="457"/>
        <item x="166"/>
        <item x="81"/>
        <item x="122"/>
        <item x="114"/>
        <item x="101"/>
        <item x="94"/>
        <item x="408"/>
        <item x="593"/>
        <item x="116"/>
        <item x="3"/>
        <item x="252"/>
        <item x="268"/>
        <item x="434"/>
        <item x="411"/>
        <item x="323"/>
        <item x="299"/>
        <item x="333"/>
        <item x="238"/>
        <item x="201"/>
        <item x="36"/>
        <item x="68"/>
        <item x="137"/>
        <item x="390"/>
        <item x="230"/>
        <item x="177"/>
        <item x="179"/>
        <item x="87"/>
        <item x="53"/>
        <item x="519"/>
        <item x="127"/>
        <item x="631"/>
        <item x="123"/>
        <item x="574"/>
        <item x="139"/>
        <item x="54"/>
        <item x="476"/>
        <item x="200"/>
        <item x="109"/>
        <item x="298"/>
        <item x="286"/>
        <item x="112"/>
        <item x="212"/>
        <item x="609"/>
        <item x="180"/>
        <item x="263"/>
        <item x="532"/>
        <item x="96"/>
        <item x="51"/>
        <item x="106"/>
        <item x="35"/>
        <item x="172"/>
        <item x="531"/>
        <item x="493"/>
        <item x="311"/>
        <item x="561"/>
        <item x="575"/>
        <item x="285"/>
        <item x="85"/>
        <item x="275"/>
        <item x="282"/>
        <item x="74"/>
        <item x="216"/>
        <item x="485"/>
        <item x="243"/>
        <item x="7"/>
        <item x="83"/>
        <item x="586"/>
        <item x="89"/>
        <item x="221"/>
        <item x="119"/>
        <item x="389"/>
        <item x="358"/>
        <item x="602"/>
        <item x="461"/>
        <item x="526"/>
        <item x="247"/>
        <item x="418"/>
        <item x="620"/>
        <item x="15"/>
        <item x="291"/>
        <item x="257"/>
        <item x="59"/>
        <item x="198"/>
        <item x="545"/>
        <item x="462"/>
        <item x="248"/>
        <item x="572"/>
        <item x="460"/>
        <item x="463"/>
        <item x="341"/>
        <item x="211"/>
        <item x="269"/>
        <item x="517"/>
        <item x="369"/>
        <item x="174"/>
        <item x="510"/>
        <item x="86"/>
        <item x="6"/>
        <item x="580"/>
        <item x="113"/>
        <item x="606"/>
        <item x="354"/>
        <item x="227"/>
        <item x="26"/>
        <item x="307"/>
        <item x="169"/>
        <item x="490"/>
        <item x="155"/>
        <item x="402"/>
        <item x="124"/>
        <item x="190"/>
        <item x="582"/>
        <item x="412"/>
        <item x="439"/>
        <item x="447"/>
        <item x="464"/>
        <item x="383"/>
        <item x="608"/>
        <item x="39"/>
        <item x="350"/>
        <item x="612"/>
        <item x="488"/>
        <item x="511"/>
        <item x="530"/>
        <item x="297"/>
        <item x="108"/>
        <item x="314"/>
        <item x="318"/>
        <item x="551"/>
        <item x="232"/>
        <item x="194"/>
        <item x="445"/>
        <item x="305"/>
        <item x="162"/>
        <item x="618"/>
        <item x="16"/>
        <item x="4"/>
        <item x="217"/>
        <item x="520"/>
        <item x="317"/>
        <item x="347"/>
        <item x="393"/>
        <item x="133"/>
        <item x="189"/>
        <item x="239"/>
        <item x="75"/>
        <item x="536"/>
        <item x="327"/>
        <item x="326"/>
        <item x="417"/>
        <item x="513"/>
        <item x="234"/>
        <item x="621"/>
        <item x="370"/>
        <item x="10"/>
        <item x="364"/>
        <item x="381"/>
        <item x="504"/>
        <item x="128"/>
        <item x="136"/>
        <item x="571"/>
        <item x="584"/>
        <item x="186"/>
        <item x="401"/>
        <item x="466"/>
        <item x="483"/>
        <item x="235"/>
        <item x="598"/>
        <item x="330"/>
        <item x="240"/>
        <item x="564"/>
        <item x="391"/>
        <item x="30"/>
        <item x="168"/>
        <item x="215"/>
        <item x="245"/>
        <item x="270"/>
        <item x="218"/>
        <item x="610"/>
        <item x="578"/>
        <item x="566"/>
        <item x="79"/>
        <item x="296"/>
        <item x="351"/>
        <item x="343"/>
        <item x="185"/>
        <item x="410"/>
        <item x="161"/>
        <item x="576"/>
        <item x="206"/>
        <item x="597"/>
        <item x="508"/>
        <item x="12"/>
        <item x="246"/>
        <item x="344"/>
        <item x="570"/>
        <item x="170"/>
        <item x="591"/>
        <item x="294"/>
        <item x="599"/>
        <item x="258"/>
        <item x="380"/>
        <item x="554"/>
        <item x="271"/>
        <item x="308"/>
        <item x="5"/>
        <item x="419"/>
        <item x="579"/>
        <item x="325"/>
        <item x="486"/>
        <item x="395"/>
        <item x="57"/>
        <item x="623"/>
        <item x="28"/>
        <item x="400"/>
        <item x="222"/>
        <item x="208"/>
        <item x="249"/>
        <item x="565"/>
        <item x="233"/>
        <item x="546"/>
        <item x="524"/>
        <item x="495"/>
        <item x="154"/>
        <item x="241"/>
        <item x="0"/>
        <item x="262"/>
        <item x="481"/>
        <item x="118"/>
        <item x="399"/>
        <item x="334"/>
        <item x="70"/>
        <item x="596"/>
        <item x="428"/>
        <item x="549"/>
        <item x="615"/>
        <item x="365"/>
        <item x="84"/>
        <item x="627"/>
        <item x="143"/>
        <item x="604"/>
        <item x="25"/>
        <item x="316"/>
        <item x="441"/>
        <item x="527"/>
        <item x="403"/>
        <item x="46"/>
        <item x="103"/>
        <item x="421"/>
        <item x="436"/>
        <item x="82"/>
        <item x="332"/>
        <item x="328"/>
        <item x="184"/>
        <item x="503"/>
        <item x="277"/>
        <item x="494"/>
        <item x="231"/>
        <item x="44"/>
        <item x="142"/>
        <item x="443"/>
        <item x="437"/>
        <item x="377"/>
        <item x="525"/>
        <item x="304"/>
        <item x="183"/>
        <item x="214"/>
        <item x="71"/>
        <item x="331"/>
        <item x="50"/>
        <item x="284"/>
        <item x="518"/>
        <item x="78"/>
        <item x="473"/>
        <item x="41"/>
        <item x="406"/>
        <item x="387"/>
        <item x="90"/>
        <item x="420"/>
        <item x="371"/>
        <item x="151"/>
        <item x="378"/>
        <item x="581"/>
        <item x="438"/>
        <item x="254"/>
        <item x="22"/>
        <item x="491"/>
        <item x="141"/>
        <item x="38"/>
        <item x="92"/>
        <item x="426"/>
        <item x="489"/>
        <item x="147"/>
        <item x="509"/>
        <item x="32"/>
        <item x="386"/>
        <item x="515"/>
        <item x="315"/>
        <item x="182"/>
        <item x="99"/>
        <item x="178"/>
        <item x="156"/>
        <item x="458"/>
        <item x="301"/>
        <item x="435"/>
        <item x="197"/>
        <item x="553"/>
        <item x="558"/>
        <item x="279"/>
        <item x="312"/>
        <item x="283"/>
        <item x="594"/>
        <item x="309"/>
        <item x="293"/>
        <item x="191"/>
        <item x="62"/>
        <item x="479"/>
        <item x="453"/>
        <item x="130"/>
        <item x="467"/>
        <item x="512"/>
        <item x="228"/>
        <item x="563"/>
        <item x="164"/>
        <item x="69"/>
        <item x="498"/>
        <item x="516"/>
        <item x="171"/>
        <item x="446"/>
        <item x="375"/>
        <item x="236"/>
        <item x="484"/>
        <item x="573"/>
        <item x="469"/>
        <item x="195"/>
        <item x="547"/>
        <item x="533"/>
        <item x="470"/>
        <item x="104"/>
        <item x="522"/>
        <item x="43"/>
        <item x="274"/>
        <item x="559"/>
        <item x="587"/>
        <item x="148"/>
        <item x="502"/>
        <item x="158"/>
        <item x="67"/>
        <item x="405"/>
        <item x="455"/>
        <item x="382"/>
        <item x="281"/>
        <item x="250"/>
        <item x="49"/>
        <item x="209"/>
        <item x="450"/>
        <item x="256"/>
        <item x="163"/>
        <item x="589"/>
        <item x="251"/>
        <item x="272"/>
        <item x="37"/>
        <item x="552"/>
        <item x="88"/>
        <item x="616"/>
        <item x="433"/>
        <item x="359"/>
        <item x="345"/>
        <item x="31"/>
        <item x="619"/>
        <item x="548"/>
        <item x="630"/>
        <item x="91"/>
        <item x="349"/>
        <item x="577"/>
        <item x="430"/>
        <item x="64"/>
        <item x="535"/>
        <item x="145"/>
        <item x="264"/>
        <item x="398"/>
        <item x="319"/>
        <item x="409"/>
        <item x="33"/>
        <item x="8"/>
        <item x="220"/>
        <item x="160"/>
        <item x="425"/>
        <item x="242"/>
        <item x="614"/>
        <item x="176"/>
        <item x="335"/>
        <item x="507"/>
        <item x="292"/>
        <item x="368"/>
        <item x="267"/>
        <item x="280"/>
        <item x="585"/>
        <item x="472"/>
        <item x="102"/>
        <item x="261"/>
        <item x="544"/>
        <item x="468"/>
        <item x="413"/>
        <item x="456"/>
        <item x="459"/>
        <item x="273"/>
        <item x="499"/>
        <item x="611"/>
        <item x="595"/>
        <item x="210"/>
        <item x="306"/>
        <item x="474"/>
        <item x="352"/>
        <item x="523"/>
        <item x="129"/>
        <item x="506"/>
        <item x="339"/>
        <item x="542"/>
        <item x="138"/>
        <item x="300"/>
        <item x="366"/>
        <item x="21"/>
        <item x="45"/>
        <item x="188"/>
        <item x="355"/>
        <item x="415"/>
        <item x="394"/>
        <item x="260"/>
        <item x="144"/>
        <item x="29"/>
        <item x="290"/>
        <item x="63"/>
        <item x="617"/>
        <item x="500"/>
        <item x="440"/>
        <item x="444"/>
        <item x="202"/>
        <item x="111"/>
        <item x="107"/>
        <item x="23"/>
        <item x="61"/>
        <item x="367"/>
        <item x="353"/>
        <item x="60"/>
        <item x="562"/>
        <item x="287"/>
        <item x="93"/>
        <item x="157"/>
        <item x="225"/>
        <item x="541"/>
        <item x="451"/>
        <item x="295"/>
        <item x="454"/>
        <item x="342"/>
        <item x="213"/>
        <item x="538"/>
        <item x="121"/>
        <item x="528"/>
        <item x="340"/>
        <item x="203"/>
        <item x="302"/>
        <item x="583"/>
        <item x="42"/>
        <item x="13"/>
        <item x="475"/>
        <item x="97"/>
        <item x="159"/>
        <item x="348"/>
        <item x="360"/>
        <item x="219"/>
        <item x="288"/>
        <item x="568"/>
        <item x="320"/>
        <item x="173"/>
        <item x="329"/>
        <item x="253"/>
        <item x="115"/>
        <item x="392"/>
        <item x="110"/>
        <item x="452"/>
        <item x="226"/>
        <item x="205"/>
        <item x="374"/>
        <item x="135"/>
        <item x="20"/>
        <item x="204"/>
        <item x="40"/>
        <item x="24"/>
        <item x="487"/>
        <item x="625"/>
        <item x="310"/>
        <item x="336"/>
        <item x="255"/>
        <item x="77"/>
        <item x="550"/>
        <item x="34"/>
        <item x="628"/>
        <item x="153"/>
        <item x="278"/>
        <item x="324"/>
        <item x="207"/>
        <item x="48"/>
        <item x="496"/>
        <item x="600"/>
        <item x="337"/>
        <item x="372"/>
        <item x="17"/>
        <item x="607"/>
        <item x="442"/>
        <item x="376"/>
        <item x="482"/>
        <item x="56"/>
        <item x="567"/>
        <item x="76"/>
        <item x="505"/>
        <item x="569"/>
        <item x="357"/>
        <item x="514"/>
        <item x="313"/>
        <item x="414"/>
        <item x="266"/>
        <item x="448"/>
        <item x="555"/>
        <item x="379"/>
        <item x="471"/>
        <item x="429"/>
        <item x="181"/>
        <item x="18"/>
        <item x="149"/>
        <item x="534"/>
        <item x="529"/>
        <item x="9"/>
        <item x="19"/>
        <item x="478"/>
        <item x="603"/>
        <item x="556"/>
        <item x="480"/>
        <item x="120"/>
        <item x="629"/>
        <item x="322"/>
        <item x="356"/>
        <item x="424"/>
        <item x="199"/>
        <item x="140"/>
        <item x="624"/>
        <item x="80"/>
        <item x="95"/>
        <item x="537"/>
        <item x="126"/>
        <item x="592"/>
        <item x="276"/>
        <item x="557"/>
        <item x="396"/>
        <item x="539"/>
        <item x="465"/>
        <item x="165"/>
        <item x="100"/>
        <item x="431"/>
        <item x="117"/>
        <item x="588"/>
        <item x="521"/>
        <item x="346"/>
        <item x="223"/>
        <item x="175"/>
        <item x="362"/>
        <item x="422"/>
        <item x="613"/>
        <item x="237"/>
        <item x="47"/>
        <item t="default"/>
      </items>
    </pivotField>
    <pivotField numFmtId="167"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9"/>
  </rowFields>
  <rowItems count="17">
    <i>
      <x/>
    </i>
    <i>
      <x v="1"/>
    </i>
    <i>
      <x v="2"/>
    </i>
    <i>
      <x v="3"/>
    </i>
    <i>
      <x v="4"/>
    </i>
    <i>
      <x v="5"/>
    </i>
    <i>
      <x v="6"/>
    </i>
    <i>
      <x v="7"/>
    </i>
    <i>
      <x v="8"/>
    </i>
    <i>
      <x v="9"/>
    </i>
    <i>
      <x v="10"/>
    </i>
    <i>
      <x v="11"/>
    </i>
    <i>
      <x v="12"/>
    </i>
    <i>
      <x v="13"/>
    </i>
    <i>
      <x v="14"/>
    </i>
    <i>
      <x v="15"/>
    </i>
    <i t="grand">
      <x/>
    </i>
  </rowItems>
  <colFields count="1">
    <field x="1"/>
  </colFields>
  <colItems count="13">
    <i>
      <x v="1"/>
    </i>
    <i>
      <x v="2"/>
    </i>
    <i>
      <x v="3"/>
    </i>
    <i>
      <x v="4"/>
    </i>
    <i>
      <x v="5"/>
    </i>
    <i>
      <x v="6"/>
    </i>
    <i>
      <x v="7"/>
    </i>
    <i>
      <x v="8"/>
    </i>
    <i>
      <x v="9"/>
    </i>
    <i>
      <x v="10"/>
    </i>
    <i>
      <x v="11"/>
    </i>
    <i>
      <x v="12"/>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D9" firstHeaderRow="1" firstDataRow="2" firstDataCol="1"/>
  <pivotFields count="26">
    <pivotField showAll="0"/>
    <pivotField numFmtId="165" showAll="0"/>
    <pivotField numFmtId="165" showAll="0"/>
    <pivotField numFmtId="165" showAll="0"/>
    <pivotField axis="axisRow" showAll="0">
      <items count="5">
        <item x="0"/>
        <item x="2"/>
        <item x="1"/>
        <item x="3"/>
        <item t="default"/>
      </items>
    </pivotField>
    <pivotField showAll="0"/>
    <pivotField showAll="0"/>
    <pivotField showAll="0"/>
    <pivotField axis="axisCol" showAll="0">
      <items count="7">
        <item h="1" x="4"/>
        <item h="1" x="3"/>
        <item h="1" x="2"/>
        <item x="1"/>
        <item x="0"/>
        <item h="1" x="5"/>
        <item t="default"/>
      </items>
    </pivotField>
    <pivotField showAll="0"/>
    <pivotField showAll="0"/>
    <pivotField showAll="0"/>
    <pivotField numFmtId="166" showAll="0"/>
    <pivotField numFmtId="166" showAll="0"/>
    <pivotField numFmtId="10" showAll="0"/>
    <pivotField showAll="0"/>
    <pivotField numFmtId="1" showAll="0"/>
    <pivotField numFmtId="1" showAll="0"/>
    <pivotField showAll="0"/>
    <pivotField dataField="1" numFmtId="166" showAll="0"/>
    <pivotField numFmtId="166" showAll="0"/>
    <pivotField numFmtId="166" showAll="0"/>
    <pivotField numFmtId="167" showAll="0"/>
    <pivotField showAll="0"/>
    <pivotField showAll="0" defaultSubtotal="0"/>
    <pivotField showAll="0" defaultSubtotal="0"/>
  </pivotFields>
  <rowFields count="1">
    <field x="4"/>
  </rowFields>
  <rowItems count="5">
    <i>
      <x/>
    </i>
    <i>
      <x v="1"/>
    </i>
    <i>
      <x v="2"/>
    </i>
    <i>
      <x v="3"/>
    </i>
    <i t="grand">
      <x/>
    </i>
  </rowItems>
  <colFields count="1">
    <field x="8"/>
  </colFields>
  <colItems count="3">
    <i>
      <x v="3"/>
    </i>
    <i>
      <x v="4"/>
    </i>
    <i t="grand">
      <x/>
    </i>
  </colItems>
  <dataFields count="1">
    <dataField name="Sum of GrossRevnue" fld="19" baseField="0" baseItem="0"/>
  </dataFields>
  <chartFormats count="6">
    <chartFormat chart="16" format="0" series="1">
      <pivotArea type="data" outline="0" fieldPosition="0">
        <references count="2">
          <reference field="4294967294" count="1" selected="0">
            <x v="0"/>
          </reference>
          <reference field="8" count="1" selected="0">
            <x v="0"/>
          </reference>
        </references>
      </pivotArea>
    </chartFormat>
    <chartFormat chart="16" format="1" series="1">
      <pivotArea type="data" outline="0" fieldPosition="0">
        <references count="2">
          <reference field="4294967294" count="1" selected="0">
            <x v="0"/>
          </reference>
          <reference field="8" count="1" selected="0">
            <x v="1"/>
          </reference>
        </references>
      </pivotArea>
    </chartFormat>
    <chartFormat chart="16" format="2" series="1">
      <pivotArea type="data" outline="0" fieldPosition="0">
        <references count="2">
          <reference field="4294967294" count="1" selected="0">
            <x v="0"/>
          </reference>
          <reference field="8" count="1" selected="0">
            <x v="2"/>
          </reference>
        </references>
      </pivotArea>
    </chartFormat>
    <chartFormat chart="16" format="3" series="1">
      <pivotArea type="data" outline="0" fieldPosition="0">
        <references count="2">
          <reference field="4294967294" count="1" selected="0">
            <x v="0"/>
          </reference>
          <reference field="8" count="1" selected="0">
            <x v="3"/>
          </reference>
        </references>
      </pivotArea>
    </chartFormat>
    <chartFormat chart="16" format="4" series="1">
      <pivotArea type="data" outline="0" fieldPosition="0">
        <references count="2">
          <reference field="4294967294" count="1" selected="0">
            <x v="0"/>
          </reference>
          <reference field="8" count="1" selected="0">
            <x v="4"/>
          </reference>
        </references>
      </pivotArea>
    </chartFormat>
    <chartFormat chart="16" format="5"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21" firstHeaderRow="1" firstDataRow="2" firstDataCol="1" rowPageCount="1" colPageCount="1"/>
  <pivotFields count="26">
    <pivotField showAll="0"/>
    <pivotField numFmtId="165" showAll="0"/>
    <pivotField numFmtId="165" showAll="0"/>
    <pivotField numFmtId="165" showAll="0"/>
    <pivotField axis="axisCol" showAll="0">
      <items count="5">
        <item x="0"/>
        <item x="2"/>
        <item x="1"/>
        <item x="3"/>
        <item t="default"/>
      </items>
    </pivotField>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166" showAll="0"/>
    <pivotField numFmtId="166" showAll="0"/>
    <pivotField numFmtId="10" showAll="0"/>
    <pivotField axis="axisPage" dataField="1" multipleItemSelectionAllowed="1" showAll="0">
      <items count="223">
        <item h="1" x="5"/>
        <item h="1" x="139"/>
        <item h="1" x="10"/>
        <item h="1" x="20"/>
        <item h="1" x="98"/>
        <item h="1" x="19"/>
        <item h="1" x="83"/>
        <item h="1" x="168"/>
        <item h="1" x="206"/>
        <item h="1" x="107"/>
        <item h="1" x="200"/>
        <item h="1" x="112"/>
        <item h="1" x="105"/>
        <item h="1" x="117"/>
        <item h="1" x="108"/>
        <item h="1" x="176"/>
        <item h="1" x="133"/>
        <item h="1" x="70"/>
        <item h="1" x="8"/>
        <item h="1" x="191"/>
        <item h="1" x="75"/>
        <item h="1" x="42"/>
        <item h="1" x="32"/>
        <item h="1" x="16"/>
        <item h="1" x="184"/>
        <item h="1" x="202"/>
        <item h="1" x="172"/>
        <item h="1" x="88"/>
        <item h="1" x="215"/>
        <item h="1" x="106"/>
        <item h="1" x="209"/>
        <item h="1" x="58"/>
        <item h="1" x="210"/>
        <item h="1" x="54"/>
        <item h="1" x="129"/>
        <item h="1" x="113"/>
        <item h="1" x="217"/>
        <item h="1" x="132"/>
        <item h="1" x="120"/>
        <item h="1" x="91"/>
        <item h="1" x="189"/>
        <item h="1" x="161"/>
        <item h="1" x="221"/>
        <item h="1" x="95"/>
        <item h="1" x="196"/>
        <item h="1" x="173"/>
        <item h="1" x="71"/>
        <item h="1" x="142"/>
        <item h="1" x="55"/>
        <item h="1" x="89"/>
        <item h="1" x="67"/>
        <item h="1" x="87"/>
        <item h="1" x="3"/>
        <item h="1" x="92"/>
        <item h="1" x="13"/>
        <item h="1" x="43"/>
        <item h="1" x="169"/>
        <item h="1" x="197"/>
        <item h="1" x="116"/>
        <item h="1" x="162"/>
        <item h="1" x="220"/>
        <item h="1" x="103"/>
        <item h="1" x="195"/>
        <item h="1" x="26"/>
        <item h="1" x="146"/>
        <item h="1" x="24"/>
        <item h="1" x="165"/>
        <item h="1" x="25"/>
        <item h="1" x="166"/>
        <item h="1" x="118"/>
        <item h="1" x="76"/>
        <item h="1" x="141"/>
        <item h="1" x="12"/>
        <item h="1" x="147"/>
        <item h="1" x="72"/>
        <item h="1" x="218"/>
        <item h="1" x="194"/>
        <item h="1" x="73"/>
        <item h="1" x="163"/>
        <item h="1" x="27"/>
        <item h="1" x="4"/>
        <item h="1" x="170"/>
        <item h="1" x="66"/>
        <item h="1" x="52"/>
        <item h="1" x="188"/>
        <item h="1" x="104"/>
        <item h="1" x="85"/>
        <item h="1" x="14"/>
        <item h="1" x="46"/>
        <item h="1" x="94"/>
        <item h="1" x="0"/>
        <item h="1" x="138"/>
        <item h="1" x="59"/>
        <item h="1" x="157"/>
        <item h="1" x="143"/>
        <item h="1" x="84"/>
        <item h="1" x="45"/>
        <item h="1" x="18"/>
        <item h="1" x="171"/>
        <item h="1" x="152"/>
        <item h="1" x="81"/>
        <item h="1" x="207"/>
        <item h="1" x="22"/>
        <item h="1" x="38"/>
        <item h="1" x="109"/>
        <item h="1" x="136"/>
        <item h="1" x="31"/>
        <item h="1" x="49"/>
        <item h="1" x="2"/>
        <item h="1" x="187"/>
        <item h="1" x="111"/>
        <item h="1" x="60"/>
        <item h="1" x="156"/>
        <item h="1" x="29"/>
        <item h="1" x="80"/>
        <item h="1" x="158"/>
        <item h="1" x="23"/>
        <item h="1" x="77"/>
        <item h="1" x="167"/>
        <item h="1" x="56"/>
        <item h="1" x="17"/>
        <item h="1" x="41"/>
        <item h="1" x="177"/>
        <item h="1" x="34"/>
        <item h="1" x="6"/>
        <item h="1" x="134"/>
        <item h="1" x="9"/>
        <item h="1" x="203"/>
        <item h="1" x="101"/>
        <item h="1" x="135"/>
        <item h="1" x="124"/>
        <item h="1" x="68"/>
        <item h="1" x="130"/>
        <item h="1" x="159"/>
        <item h="1" x="86"/>
        <item h="1" x="178"/>
        <item h="1" x="128"/>
        <item h="1" x="74"/>
        <item h="1" x="63"/>
        <item h="1" x="192"/>
        <item h="1" x="155"/>
        <item h="1" x="205"/>
        <item h="1" x="149"/>
        <item h="1" x="21"/>
        <item h="1" x="36"/>
        <item h="1" x="185"/>
        <item h="1" x="219"/>
        <item h="1" x="144"/>
        <item h="1" x="121"/>
        <item h="1" x="154"/>
        <item h="1" x="30"/>
        <item h="1" x="164"/>
        <item h="1" x="119"/>
        <item h="1" x="93"/>
        <item h="1" x="78"/>
        <item h="1" x="110"/>
        <item h="1" x="35"/>
        <item h="1" x="15"/>
        <item h="1" x="50"/>
        <item h="1" x="57"/>
        <item h="1" x="62"/>
        <item h="1" x="37"/>
        <item h="1" x="69"/>
        <item h="1" x="51"/>
        <item h="1" x="193"/>
        <item h="1" x="97"/>
        <item h="1" x="7"/>
        <item h="1" x="123"/>
        <item h="1" x="114"/>
        <item x="47"/>
        <item x="137"/>
        <item x="90"/>
        <item x="53"/>
        <item x="44"/>
        <item x="160"/>
        <item x="216"/>
        <item x="213"/>
        <item x="179"/>
        <item x="125"/>
        <item x="122"/>
        <item x="201"/>
        <item x="65"/>
        <item x="153"/>
        <item x="198"/>
        <item x="212"/>
        <item x="96"/>
        <item x="211"/>
        <item x="151"/>
        <item x="199"/>
        <item x="82"/>
        <item x="208"/>
        <item x="126"/>
        <item x="145"/>
        <item x="127"/>
        <item x="1"/>
        <item x="148"/>
        <item x="174"/>
        <item x="180"/>
        <item x="64"/>
        <item x="28"/>
        <item x="102"/>
        <item x="214"/>
        <item x="11"/>
        <item x="115"/>
        <item x="48"/>
        <item x="190"/>
        <item x="61"/>
        <item x="131"/>
        <item x="100"/>
        <item x="183"/>
        <item x="150"/>
        <item x="99"/>
        <item x="140"/>
        <item x="175"/>
        <item x="186"/>
        <item x="79"/>
        <item x="182"/>
        <item x="39"/>
        <item x="204"/>
        <item x="40"/>
        <item x="181"/>
        <item x="33"/>
        <item t="default"/>
      </items>
    </pivotField>
    <pivotField numFmtId="1" showAll="0"/>
    <pivotField numFmtId="1" showAll="0"/>
    <pivotField showAll="0"/>
    <pivotField numFmtId="166" showAll="0"/>
    <pivotField numFmtId="166" showAll="0"/>
    <pivotField numFmtId="166" showAll="0"/>
    <pivotField numFmtId="167" showAll="0"/>
    <pivotField showAll="0"/>
    <pivotField showAll="0" defaultSubtotal="0"/>
    <pivotField showAll="0" defaultSubtotal="0"/>
  </pivotFields>
  <rowFields count="1">
    <field x="9"/>
  </rowFields>
  <rowItems count="17">
    <i>
      <x/>
    </i>
    <i>
      <x v="1"/>
    </i>
    <i>
      <x v="2"/>
    </i>
    <i>
      <x v="3"/>
    </i>
    <i>
      <x v="4"/>
    </i>
    <i>
      <x v="5"/>
    </i>
    <i>
      <x v="6"/>
    </i>
    <i>
      <x v="7"/>
    </i>
    <i>
      <x v="8"/>
    </i>
    <i>
      <x v="9"/>
    </i>
    <i>
      <x v="10"/>
    </i>
    <i>
      <x v="11"/>
    </i>
    <i>
      <x v="12"/>
    </i>
    <i>
      <x v="13"/>
    </i>
    <i>
      <x v="14"/>
    </i>
    <i>
      <x v="15"/>
    </i>
    <i t="grand">
      <x/>
    </i>
  </rowItems>
  <colFields count="1">
    <field x="4"/>
  </colFields>
  <colItems count="5">
    <i>
      <x/>
    </i>
    <i>
      <x v="1"/>
    </i>
    <i>
      <x v="2"/>
    </i>
    <i>
      <x v="3"/>
    </i>
    <i t="grand">
      <x/>
    </i>
  </colItems>
  <pageFields count="1">
    <pageField fld="15" hier="-1"/>
  </pageFields>
  <dataFields count="1">
    <dataField name="Count of DiscountPct-Corrected"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N12" firstHeaderRow="1" firstDataRow="2" firstDataCol="1" rowPageCount="1" colPageCount="1"/>
  <pivotFields count="26">
    <pivotField showAll="0"/>
    <pivotField numFmtId="165" showAll="0"/>
    <pivotField numFmtId="165" showAll="0"/>
    <pivotField numFmtId="165" showAll="0"/>
    <pivotField showAll="0"/>
    <pivotField axis="axisCol" showAll="0">
      <items count="13">
        <item x="5"/>
        <item x="3"/>
        <item x="9"/>
        <item x="7"/>
        <item x="6"/>
        <item x="4"/>
        <item x="2"/>
        <item x="0"/>
        <item x="1"/>
        <item x="11"/>
        <item x="8"/>
        <item x="10"/>
        <item t="default"/>
      </items>
    </pivotField>
    <pivotField showAll="0"/>
    <pivotField showAll="0"/>
    <pivotField showAll="0"/>
    <pivotField showAll="0"/>
    <pivotField axis="axisRow" showAll="0">
      <items count="8">
        <item x="6"/>
        <item x="0"/>
        <item x="4"/>
        <item x="5"/>
        <item x="2"/>
        <item x="3"/>
        <item x="1"/>
        <item t="default"/>
      </items>
    </pivotField>
    <pivotField showAll="0"/>
    <pivotField numFmtId="166" showAll="0"/>
    <pivotField numFmtId="166" showAll="0"/>
    <pivotField numFmtId="10" showAll="0"/>
    <pivotField showAll="0"/>
    <pivotField numFmtId="1" showAll="0"/>
    <pivotField axis="axisPage" dataField="1" numFmtId="1" showAll="0">
      <items count="32">
        <item x="18"/>
        <item x="25"/>
        <item x="24"/>
        <item x="4"/>
        <item x="3"/>
        <item x="15"/>
        <item x="30"/>
        <item x="1"/>
        <item x="11"/>
        <item x="26"/>
        <item x="23"/>
        <item x="22"/>
        <item x="7"/>
        <item x="19"/>
        <item x="16"/>
        <item x="14"/>
        <item x="12"/>
        <item x="13"/>
        <item x="5"/>
        <item x="6"/>
        <item x="8"/>
        <item x="28"/>
        <item x="21"/>
        <item x="20"/>
        <item x="9"/>
        <item x="2"/>
        <item x="0"/>
        <item x="29"/>
        <item x="27"/>
        <item x="10"/>
        <item x="17"/>
        <item t="default"/>
      </items>
    </pivotField>
    <pivotField showAll="0"/>
    <pivotField numFmtId="166" showAll="0"/>
    <pivotField numFmtId="166" showAll="0"/>
    <pivotField numFmtId="166" showAll="0"/>
    <pivotField numFmtId="167" showAll="0"/>
    <pivotField showAll="0"/>
    <pivotField showAll="0" defaultSubtotal="0"/>
    <pivotField showAll="0" defaultSubtotal="0"/>
  </pivotFields>
  <rowFields count="1">
    <field x="10"/>
  </rowFields>
  <rowItems count="8">
    <i>
      <x/>
    </i>
    <i>
      <x v="1"/>
    </i>
    <i>
      <x v="2"/>
    </i>
    <i>
      <x v="3"/>
    </i>
    <i>
      <x v="4"/>
    </i>
    <i>
      <x v="5"/>
    </i>
    <i>
      <x v="6"/>
    </i>
    <i t="grand">
      <x/>
    </i>
  </rowItems>
  <colFields count="1">
    <field x="5"/>
  </colFields>
  <colItems count="13">
    <i>
      <x/>
    </i>
    <i>
      <x v="1"/>
    </i>
    <i>
      <x v="2"/>
    </i>
    <i>
      <x v="3"/>
    </i>
    <i>
      <x v="4"/>
    </i>
    <i>
      <x v="5"/>
    </i>
    <i>
      <x v="6"/>
    </i>
    <i>
      <x v="7"/>
    </i>
    <i>
      <x v="8"/>
    </i>
    <i>
      <x v="9"/>
    </i>
    <i>
      <x v="10"/>
    </i>
    <i>
      <x v="11"/>
    </i>
    <i t="grand">
      <x/>
    </i>
  </colItems>
  <pageFields count="1">
    <pageField fld="17" hier="-1"/>
  </pageFields>
  <dataFields count="1">
    <dataField name="Count of LeadTime days"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N28" firstHeaderRow="1" firstDataRow="2" firstDataCol="1" rowPageCount="1" colPageCount="1"/>
  <pivotFields count="26">
    <pivotField showAll="0"/>
    <pivotField numFmtId="165" showAll="0"/>
    <pivotField numFmtId="165" showAll="0"/>
    <pivotField numFmtId="165" showAll="0"/>
    <pivotField showAll="0"/>
    <pivotField axis="axisCol" showAll="0">
      <items count="13">
        <item x="5"/>
        <item x="3"/>
        <item x="9"/>
        <item x="7"/>
        <item x="6"/>
        <item x="4"/>
        <item x="2"/>
        <item x="0"/>
        <item x="1"/>
        <item x="11"/>
        <item x="8"/>
        <item x="10"/>
        <item t="default"/>
      </items>
    </pivotField>
    <pivotField showAll="0"/>
    <pivotField showAll="0"/>
    <pivotField showAll="0"/>
    <pivotField showAll="0"/>
    <pivotField axis="axisRow" showAll="0">
      <items count="8">
        <item x="6"/>
        <item x="0"/>
        <item x="4"/>
        <item x="5"/>
        <item x="2"/>
        <item x="3"/>
        <item x="1"/>
        <item t="default"/>
      </items>
    </pivotField>
    <pivotField showAll="0"/>
    <pivotField numFmtId="166" showAll="0"/>
    <pivotField numFmtId="166" showAll="0"/>
    <pivotField numFmtId="10" showAll="0"/>
    <pivotField showAll="0"/>
    <pivotField numFmtId="1" showAll="0"/>
    <pivotField axis="axisPage" dataField="1" numFmtId="1" multipleItemSelectionAllowed="1" showAll="0">
      <items count="32">
        <item x="18"/>
        <item x="25"/>
        <item x="24"/>
        <item x="4"/>
        <item x="3"/>
        <item x="15"/>
        <item x="30"/>
        <item x="1"/>
        <item h="1" x="11"/>
        <item h="1" x="26"/>
        <item h="1" x="23"/>
        <item h="1" x="22"/>
        <item h="1" x="7"/>
        <item h="1" x="19"/>
        <item h="1" x="16"/>
        <item h="1" x="14"/>
        <item h="1" x="12"/>
        <item h="1" x="13"/>
        <item h="1" x="5"/>
        <item h="1" x="6"/>
        <item h="1" x="8"/>
        <item h="1" x="28"/>
        <item h="1" x="21"/>
        <item h="1" x="20"/>
        <item h="1" x="9"/>
        <item h="1" x="2"/>
        <item h="1" x="0"/>
        <item h="1" x="29"/>
        <item h="1" x="27"/>
        <item h="1" x="10"/>
        <item h="1" x="17"/>
        <item t="default"/>
      </items>
    </pivotField>
    <pivotField showAll="0"/>
    <pivotField numFmtId="166" showAll="0"/>
    <pivotField numFmtId="166" showAll="0"/>
    <pivotField numFmtId="166" showAll="0"/>
    <pivotField numFmtId="167" showAll="0"/>
    <pivotField showAll="0"/>
    <pivotField showAll="0" defaultSubtotal="0"/>
    <pivotField showAll="0" defaultSubtotal="0"/>
  </pivotFields>
  <rowFields count="1">
    <field x="10"/>
  </rowFields>
  <rowItems count="8">
    <i>
      <x/>
    </i>
    <i>
      <x v="1"/>
    </i>
    <i>
      <x v="2"/>
    </i>
    <i>
      <x v="3"/>
    </i>
    <i>
      <x v="4"/>
    </i>
    <i>
      <x v="5"/>
    </i>
    <i>
      <x v="6"/>
    </i>
    <i t="grand">
      <x/>
    </i>
  </rowItems>
  <colFields count="1">
    <field x="5"/>
  </colFields>
  <colItems count="13">
    <i>
      <x/>
    </i>
    <i>
      <x v="1"/>
    </i>
    <i>
      <x v="2"/>
    </i>
    <i>
      <x v="3"/>
    </i>
    <i>
      <x v="4"/>
    </i>
    <i>
      <x v="5"/>
    </i>
    <i>
      <x v="6"/>
    </i>
    <i>
      <x v="7"/>
    </i>
    <i>
      <x v="8"/>
    </i>
    <i>
      <x v="9"/>
    </i>
    <i>
      <x v="10"/>
    </i>
    <i>
      <x v="11"/>
    </i>
    <i t="grand">
      <x/>
    </i>
  </colItems>
  <pageFields count="1">
    <pageField fld="17" hier="-1"/>
  </pageFields>
  <dataFields count="1">
    <dataField name="Count of LeadTime days"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MONTHS">
  <location ref="A3:B16" firstHeaderRow="1" firstDataRow="1" firstDataCol="1"/>
  <pivotFields count="26">
    <pivotField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axis="axisRow" numFmtId="165" showAll="0">
      <items count="15">
        <item x="0"/>
        <item x="1"/>
        <item x="2"/>
        <item x="3"/>
        <item x="4"/>
        <item x="5"/>
        <item x="6"/>
        <item x="7"/>
        <item x="8"/>
        <item x="9"/>
        <item x="10"/>
        <item x="11"/>
        <item x="12"/>
        <item x="13"/>
        <item t="default"/>
      </items>
    </pivotField>
    <pivotField numFmtId="165" showAll="0"/>
    <pivotField numFmtId="165" showAll="0"/>
    <pivotField showAll="0">
      <items count="5">
        <item x="0"/>
        <item x="2"/>
        <item x="1"/>
        <item x="3"/>
        <item t="default"/>
      </items>
    </pivotField>
    <pivotField showAll="0"/>
    <pivotField showAll="0"/>
    <pivotField showAll="0"/>
    <pivotField showAll="0">
      <items count="7">
        <item x="4"/>
        <item x="3"/>
        <item x="2"/>
        <item x="1"/>
        <item x="0"/>
        <item x="5"/>
        <item t="default"/>
      </items>
    </pivotField>
    <pivotField showAll="0"/>
    <pivotField showAll="0"/>
    <pivotField showAll="0">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pivotField>
    <pivotField numFmtId="166" showAll="0"/>
    <pivotField numFmtId="166" showAll="0"/>
    <pivotField numFmtId="10" showAll="0"/>
    <pivotField showAll="0"/>
    <pivotField numFmtId="1" showAll="0"/>
    <pivotField numFmtId="1" showAll="0"/>
    <pivotField showAll="0"/>
    <pivotField dataField="1" numFmtId="166" showAll="0"/>
    <pivotField numFmtId="166" showAll="0"/>
    <pivotField numFmtId="166" showAll="0"/>
    <pivotField numFmtId="167"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Items count="1">
    <i/>
  </colItems>
  <dataFields count="1">
    <dataField name="GrossRevEnue" fld="19"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REGIONS">
  <location ref="A19:H25" firstHeaderRow="1" firstDataRow="2" firstDataCol="1"/>
  <pivotFields count="26">
    <pivotField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65" showAll="0">
      <items count="15">
        <item x="0"/>
        <item x="1"/>
        <item x="2"/>
        <item x="3"/>
        <item x="4"/>
        <item x="5"/>
        <item x="6"/>
        <item x="7"/>
        <item x="8"/>
        <item x="9"/>
        <item x="10"/>
        <item x="11"/>
        <item x="12"/>
        <item x="13"/>
        <item t="default"/>
      </items>
    </pivotField>
    <pivotField numFmtId="165" showAll="0"/>
    <pivotField numFmtId="165"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1"/>
        <item x="0"/>
        <item x="5"/>
        <item t="default"/>
      </items>
    </pivotField>
    <pivotField showAll="0"/>
    <pivotField showAll="0"/>
    <pivotField showAll="0">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pivotField>
    <pivotField numFmtId="166" showAll="0"/>
    <pivotField numFmtId="166" showAll="0"/>
    <pivotField numFmtId="10" showAll="0"/>
    <pivotField showAll="0"/>
    <pivotField numFmtId="1" showAll="0"/>
    <pivotField numFmtId="1" showAll="0"/>
    <pivotField showAll="0"/>
    <pivotField numFmtId="166" showAll="0"/>
    <pivotField numFmtId="166" showAll="0"/>
    <pivotField dataField="1" numFmtId="166" showAll="0"/>
    <pivotField numFmtId="167"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4"/>
  </rowFields>
  <rowItems count="5">
    <i>
      <x/>
    </i>
    <i>
      <x v="1"/>
    </i>
    <i>
      <x v="2"/>
    </i>
    <i>
      <x v="3"/>
    </i>
    <i t="grand">
      <x/>
    </i>
  </rowItems>
  <colFields count="1">
    <field x="8"/>
  </colFields>
  <colItems count="7">
    <i>
      <x/>
    </i>
    <i>
      <x v="1"/>
    </i>
    <i>
      <x v="2"/>
    </i>
    <i>
      <x v="3"/>
    </i>
    <i>
      <x v="4"/>
    </i>
    <i>
      <x v="5"/>
    </i>
    <i t="grand">
      <x/>
    </i>
  </colItems>
  <dataFields count="1">
    <dataField name="Profit by Region and Channel" fld="21" baseField="0" baseItem="0"/>
  </dataFields>
  <chartFormats count="6">
    <chartFormat chart="10" format="0" series="1">
      <pivotArea type="data" outline="0" fieldPosition="0">
        <references count="2">
          <reference field="4294967294" count="1" selected="0">
            <x v="0"/>
          </reference>
          <reference field="8" count="1" selected="0">
            <x v="0"/>
          </reference>
        </references>
      </pivotArea>
    </chartFormat>
    <chartFormat chart="10" format="1" series="1">
      <pivotArea type="data" outline="0" fieldPosition="0">
        <references count="2">
          <reference field="4294967294" count="1" selected="0">
            <x v="0"/>
          </reference>
          <reference field="8" count="1" selected="0">
            <x v="1"/>
          </reference>
        </references>
      </pivotArea>
    </chartFormat>
    <chartFormat chart="10" format="2" series="1">
      <pivotArea type="data" outline="0" fieldPosition="0">
        <references count="2">
          <reference field="4294967294" count="1" selected="0">
            <x v="0"/>
          </reference>
          <reference field="8" count="1" selected="0">
            <x v="2"/>
          </reference>
        </references>
      </pivotArea>
    </chartFormat>
    <chartFormat chart="10" format="3" series="1">
      <pivotArea type="data" outline="0" fieldPosition="0">
        <references count="2">
          <reference field="4294967294" count="1" selected="0">
            <x v="0"/>
          </reference>
          <reference field="8" count="1" selected="0">
            <x v="3"/>
          </reference>
        </references>
      </pivotArea>
    </chartFormat>
    <chartFormat chart="10" format="4" series="1">
      <pivotArea type="data" outline="0" fieldPosition="0">
        <references count="2">
          <reference field="4294967294" count="1" selected="0">
            <x v="0"/>
          </reference>
          <reference field="8" count="1" selected="0">
            <x v="4"/>
          </reference>
        </references>
      </pivotArea>
    </chartFormat>
    <chartFormat chart="10" format="5"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rowHeaderCaption="SKU">
  <location ref="A29:B40" firstHeaderRow="1" firstDataRow="1" firstDataCol="1" rowPageCount="1" colPageCount="1"/>
  <pivotFields count="26">
    <pivotField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65" showAll="0">
      <items count="15">
        <item x="0"/>
        <item x="1"/>
        <item x="2"/>
        <item x="3"/>
        <item x="4"/>
        <item x="5"/>
        <item x="6"/>
        <item x="7"/>
        <item x="8"/>
        <item x="9"/>
        <item x="10"/>
        <item x="11"/>
        <item x="12"/>
        <item x="13"/>
        <item t="default"/>
      </items>
    </pivotField>
    <pivotField numFmtId="165" showAll="0"/>
    <pivotField numFmtId="165" showAll="0"/>
    <pivotField showAll="0">
      <items count="5">
        <item x="0"/>
        <item x="2"/>
        <item x="1"/>
        <item x="3"/>
        <item t="default"/>
      </items>
    </pivotField>
    <pivotField showAll="0"/>
    <pivotField showAll="0"/>
    <pivotField showAll="0"/>
    <pivotField showAll="0">
      <items count="7">
        <item x="4"/>
        <item x="3"/>
        <item x="2"/>
        <item x="1"/>
        <item x="0"/>
        <item x="5"/>
        <item t="default"/>
      </items>
    </pivotField>
    <pivotField showAll="0"/>
    <pivotField showAll="0"/>
    <pivotField axis="axisRow" showAll="0">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pivotField>
    <pivotField numFmtId="166" showAll="0"/>
    <pivotField numFmtId="166" showAll="0"/>
    <pivotField numFmtId="10" showAll="0"/>
    <pivotField showAll="0"/>
    <pivotField numFmtId="1" showAll="0"/>
    <pivotField numFmtId="1" showAll="0"/>
    <pivotField showAll="0"/>
    <pivotField axis="axisPage" dataField="1" numFmtId="166" multipleItemSelectionAllowed="1" showAll="0">
      <items count="633">
        <item h="1" x="180"/>
        <item h="1" x="112"/>
        <item h="1" x="298"/>
        <item h="1" x="286"/>
        <item h="1" x="172"/>
        <item h="1" x="493"/>
        <item h="1" x="96"/>
        <item h="1" x="54"/>
        <item h="1" x="631"/>
        <item h="1" x="177"/>
        <item h="1" x="586"/>
        <item h="1" x="389"/>
        <item h="1" x="575"/>
        <item h="1" x="106"/>
        <item h="1" x="83"/>
        <item h="1" x="532"/>
        <item h="1" x="109"/>
        <item h="1" x="263"/>
        <item h="1" x="119"/>
        <item h="1" x="51"/>
        <item h="1" x="247"/>
        <item h="1" x="531"/>
        <item h="1" x="89"/>
        <item h="1" x="230"/>
        <item h="1" x="282"/>
        <item h="1" x="7"/>
        <item h="1" x="323"/>
        <item h="1" x="418"/>
        <item h="1" x="243"/>
        <item h="1" x="116"/>
        <item h="1" x="572"/>
        <item h="1" x="127"/>
        <item h="1" x="519"/>
        <item h="1" x="311"/>
        <item h="1" x="221"/>
        <item h="1" x="461"/>
        <item h="1" x="476"/>
        <item h="1" x="517"/>
        <item h="1" x="620"/>
        <item h="1" x="602"/>
        <item h="1" x="291"/>
        <item h="1" x="341"/>
        <item h="1" x="354"/>
        <item h="1" x="139"/>
        <item h="1" x="114"/>
        <item h="1" x="490"/>
        <item h="1" x="305"/>
        <item h="1" x="87"/>
        <item h="1" x="108"/>
        <item h="1" x="460"/>
        <item h="1" x="26"/>
        <item h="1" x="211"/>
        <item h="1" x="582"/>
        <item h="1" x="464"/>
        <item h="1" x="551"/>
        <item h="1" x="463"/>
        <item h="1" x="445"/>
        <item h="1" x="434"/>
        <item h="1" x="174"/>
        <item h="1" x="412"/>
        <item h="1" x="124"/>
        <item h="1" x="609"/>
        <item h="1" x="113"/>
        <item h="1" x="526"/>
        <item h="1" x="347"/>
        <item h="1" x="217"/>
        <item h="1" x="169"/>
        <item h="1" x="621"/>
        <item h="1" x="326"/>
        <item h="1" x="257"/>
        <item h="1" x="53"/>
        <item h="1" x="391"/>
        <item h="1" x="330"/>
        <item h="1" x="432"/>
        <item h="1" x="128"/>
        <item h="1" x="466"/>
        <item h="1" x="608"/>
        <item h="1" x="439"/>
        <item h="1" x="232"/>
        <item h="1" x="6"/>
        <item h="1" x="245"/>
        <item h="1" x="318"/>
        <item h="1" x="338"/>
        <item h="1" x="597"/>
        <item h="1" x="344"/>
        <item h="1" x="297"/>
        <item h="1" x="540"/>
        <item h="1" x="570"/>
        <item h="1" x="133"/>
        <item h="1" x="511"/>
        <item h="1" x="39"/>
        <item h="1" x="146"/>
        <item h="1" x="248"/>
        <item h="1" x="307"/>
        <item h="1" x="327"/>
        <item h="1" x="239"/>
        <item h="1" x="584"/>
        <item h="1" x="28"/>
        <item h="1" x="508"/>
        <item h="1" x="194"/>
        <item h="1" x="285"/>
        <item h="1" x="27"/>
        <item h="1" x="488"/>
        <item h="1" x="462"/>
        <item h="1" x="358"/>
        <item h="1" x="373"/>
        <item h="1" x="350"/>
        <item h="1" x="370"/>
        <item h="1" x="152"/>
        <item h="1" x="5"/>
        <item h="1" x="477"/>
        <item h="1" x="565"/>
        <item h="1" x="296"/>
        <item h="1" x="579"/>
        <item h="1" x="137"/>
        <item h="1" x="258"/>
        <item h="1" x="193"/>
        <item h="1" x="598"/>
        <item h="1" x="131"/>
        <item h="1" x="179"/>
        <item h="1" x="240"/>
        <item h="1" x="222"/>
        <item h="1" x="369"/>
        <item h="1" x="59"/>
        <item h="1" x="571"/>
        <item h="1" x="201"/>
        <item h="1" x="408"/>
        <item h="1" x="495"/>
        <item h="1" x="74"/>
        <item h="1" x="543"/>
        <item h="1" x="481"/>
        <item h="1" x="57"/>
        <item h="1" x="361"/>
        <item h="1" x="546"/>
        <item h="1" x="186"/>
        <item h="1" x="334"/>
        <item h="1" x="0"/>
        <item h="1" x="79"/>
        <item h="1" x="12"/>
        <item h="1" x="314"/>
        <item h="1" x="627"/>
        <item h="1" x="483"/>
        <item h="1" x="486"/>
        <item h="1" x="513"/>
        <item h="1" x="3"/>
        <item h="1" x="403"/>
        <item h="1" x="233"/>
        <item h="1" x="410"/>
        <item h="1" x="98"/>
        <item h="1" x="82"/>
        <item h="1" x="308"/>
        <item h="1" x="604"/>
        <item h="1" x="94"/>
        <item h="1" x="227"/>
        <item h="1" x="436"/>
        <item h="1" x="447"/>
        <item h="1" x="333"/>
        <item h="1" x="161"/>
        <item h="1" x="593"/>
        <item h="1" x="118"/>
        <item h="1" x="52"/>
        <item h="1" x="231"/>
        <item h="1" x="304"/>
        <item h="1" x="443"/>
        <item h="1" x="103"/>
        <item h="1" x="599"/>
        <item h="1" x="485"/>
        <item h="1" x="277"/>
        <item h="1" x="581"/>
        <item h="1" x="101"/>
        <item h="1" x="71"/>
        <item h="1" x="524"/>
        <item h="1" x="254"/>
        <item h="1" x="218"/>
        <item h="1" x="378"/>
        <item h="1" x="35"/>
        <item h="1" x="491"/>
        <item h="1" x="328"/>
        <item h="1" x="238"/>
        <item h="1" x="206"/>
        <item h="1" x="578"/>
        <item h="1" x="561"/>
        <item h="1" x="168"/>
        <item h="1" x="75"/>
        <item h="1" x="411"/>
        <item h="1" x="268"/>
        <item h="1" x="212"/>
        <item h="1" x="605"/>
        <item h="1" x="15"/>
        <item h="1" x="178"/>
        <item h="1" x="332"/>
        <item h="1" x="271"/>
        <item h="1" x="46"/>
        <item h="1" x="580"/>
        <item h="1" x="156"/>
        <item h="1" x="270"/>
        <item h="1" x="363"/>
        <item h="1" x="437"/>
        <item h="1" x="293"/>
        <item h="1" x="520"/>
        <item h="1" x="501"/>
        <item h="1" x="229"/>
        <item h="1" x="601"/>
        <item h="1" x="321"/>
        <item h="1" x="492"/>
        <item h="1" x="259"/>
        <item h="1" x="14"/>
        <item h="1" x="458"/>
        <item h="1" x="269"/>
        <item h="1" x="182"/>
        <item h="1" x="130"/>
        <item h="1" x="216"/>
        <item h="1" x="536"/>
        <item h="1" x="404"/>
        <item h="1" x="214"/>
        <item h="1" x="457"/>
        <item h="1" x="150"/>
        <item h="1" x="417"/>
        <item h="1" x="303"/>
        <item h="1" x="596"/>
        <item h="1" x="162"/>
        <item h="1" x="262"/>
        <item h="1" x="141"/>
        <item h="1" x="509"/>
        <item h="1" x="90"/>
        <item h="1" x="525"/>
        <item h="1" x="473"/>
        <item h="1" x="132"/>
        <item h="1" x="198"/>
        <item h="1" x="594"/>
        <item h="1" x="563"/>
        <item h="1" x="275"/>
        <item h="1" x="189"/>
        <item h="1" x="25"/>
        <item h="1" x="503"/>
        <item h="1" x="498"/>
        <item h="1" x="68"/>
        <item h="1" x="183"/>
        <item h="1" x="191"/>
        <item h="1" x="331"/>
        <item h="1" x="315"/>
        <item h="1" x="294"/>
        <item h="1" x="279"/>
        <item h="1" x="155"/>
        <item h="1" x="125"/>
        <item h="1" x="171"/>
        <item h="1" x="69"/>
        <item h="1" x="343"/>
        <item h="1" x="590"/>
        <item h="1" x="316"/>
        <item h="1" x="510"/>
        <item h="1" x="612"/>
        <item h="1" x="530"/>
        <item h="1" x="73"/>
        <item h="1" x="419"/>
        <item h="1" x="386"/>
        <item h="1" x="489"/>
        <item h="1" x="32"/>
        <item h="1" x="241"/>
        <item h="1" x="136"/>
        <item h="1" x="446"/>
        <item h="1" x="246"/>
        <item h="1" x="30"/>
        <item h="1" x="518"/>
        <item h="1" x="325"/>
        <item h="1" x="309"/>
        <item h="1" x="301"/>
        <item h="1" x="143"/>
        <item h="1" x="421"/>
        <item h="1" x="92"/>
        <item h="1" x="564"/>
        <item h="1" x="504"/>
        <item h="1" x="610"/>
        <item h="1" x="11"/>
        <item h="1" x="158"/>
        <item h="1" x="185"/>
        <item h="1" x="470"/>
        <item h="1" x="78"/>
        <item h="1" x="289"/>
        <item h="1" x="615"/>
        <item h="1" x="558"/>
        <item h="1" x="41"/>
        <item h="1" x="70"/>
        <item h="1" x="43"/>
        <item h="1" x="623"/>
        <item h="1" x="616"/>
        <item h="1" x="545"/>
        <item h="1" x="123"/>
        <item h="1" x="515"/>
        <item h="1" x="502"/>
        <item h="1" x="416"/>
        <item h="1" x="22"/>
        <item h="1" x="549"/>
        <item h="1" x="62"/>
        <item h="1" x="4"/>
        <item h="1" x="154"/>
        <item h="1" x="312"/>
        <item h="1" x="393"/>
        <item h="1" x="197"/>
        <item h="1" x="380"/>
        <item h="1" x="527"/>
        <item h="1" x="274"/>
        <item h="1" x="283"/>
        <item h="1" x="591"/>
        <item h="1" x="249"/>
        <item h="1" x="88"/>
        <item h="1" x="164"/>
        <item h="1" x="494"/>
        <item h="1" x="533"/>
        <item h="1" x="453"/>
        <item h="1" x="37"/>
        <item h="1" x="134"/>
        <item h="1" x="589"/>
        <item h="1" x="105"/>
        <item h="1" x="576"/>
        <item h="1" x="65"/>
        <item h="1" x="250"/>
        <item h="1" x="163"/>
        <item h="1" x="349"/>
        <item h="1" x="244"/>
        <item h="1" x="449"/>
        <item h="1" x="104"/>
        <item h="1" x="167"/>
        <item h="1" x="2"/>
        <item h="1" x="450"/>
        <item h="1" x="265"/>
        <item h="1" x="441"/>
        <item h="1" x="299"/>
        <item h="1" x="364"/>
        <item h="1" x="630"/>
        <item h="1" x="381"/>
        <item h="1" x="145"/>
        <item h="1" x="430"/>
        <item h="1" x="433"/>
        <item h="1" x="399"/>
        <item h="1" x="559"/>
        <item h="1" x="85"/>
        <item h="1" x="398"/>
        <item h="1" x="33"/>
        <item h="1" x="560"/>
        <item h="1" x="147"/>
        <item h="1" x="281"/>
        <item h="1" x="405"/>
        <item h="1" x="428"/>
        <item h="1" x="220"/>
        <item h="1" x="345"/>
        <item h="1" x="102"/>
        <item h="1" x="368"/>
        <item h="1" x="606"/>
        <item h="1" x="577"/>
        <item h="1" x="626"/>
        <item h="1" x="388"/>
        <item h="1" x="544"/>
        <item h="1" x="86"/>
        <item h="1" x="467"/>
        <item h="1" x="234"/>
        <item h="1" x="67"/>
        <item h="1" x="395"/>
        <item h="1" x="166"/>
        <item h="1" x="574"/>
        <item h="1" x="420"/>
        <item h="1" x="170"/>
        <item h="1" x="8"/>
        <item h="1" x="455"/>
        <item h="1" x="359"/>
        <item h="1" x="148"/>
        <item h="1" x="50"/>
        <item h="1" x="595"/>
        <item h="1" x="200"/>
        <item h="1" x="38"/>
        <item h="1" x="535"/>
        <item h="1" x="215"/>
        <item h="1" x="384"/>
        <item h="1" x="507"/>
        <item h="1" x="377"/>
        <item h="1" x="425"/>
        <item h="1" x="472"/>
        <item h="1" x="224"/>
        <item h="1" x="284"/>
        <item h="1" x="547"/>
        <item h="1" x="176"/>
        <item h="1" x="208"/>
        <item h="1" x="554"/>
        <item h="1" x="10"/>
        <item h="1" x="66"/>
        <item h="1" x="122"/>
        <item h="1" x="129"/>
        <item h="1" x="523"/>
        <item h="1" x="413"/>
        <item h="1" x="390"/>
        <item h="1" x="335"/>
        <item h="1" x="469"/>
        <item h="1" x="317"/>
        <item h="1" x="351"/>
        <item h="1" x="499"/>
        <item h="1" x="228"/>
        <item h="1" x="371"/>
        <item h="1" x="402"/>
        <item h="1" x="235"/>
        <item h="1" x="401"/>
        <item h="1" x="280"/>
        <item h="1" x="251"/>
        <item h="1" x="566"/>
        <item h="1" x="267"/>
        <item h="1" x="252"/>
        <item h="1" x="400"/>
        <item h="1" x="209"/>
        <item h="1" x="44"/>
        <item h="1" x="1"/>
        <item h="1" x="261"/>
        <item h="1" x="611"/>
        <item h="1" x="210"/>
        <item h="1" x="81"/>
        <item h="1" x="415"/>
        <item h="1" x="614"/>
        <item h="1" x="367"/>
        <item h="1" x="397"/>
        <item h="1" x="552"/>
        <item h="1" x="36"/>
        <item h="1" x="290"/>
        <item h="1" x="256"/>
        <item h="1" x="573"/>
        <item h="1" x="474"/>
        <item h="1" x="91"/>
        <item h="1" x="190"/>
        <item h="1" x="366"/>
        <item h="1" x="541"/>
        <item h="1" x="451"/>
        <item h="1" x="387"/>
        <item h="1" x="394"/>
        <item h="1" x="21"/>
        <item h="1" x="287"/>
        <item h="1" x="427"/>
        <item h="1" x="342"/>
        <item h="1" x="93"/>
        <item h="1" x="29"/>
        <item h="1" x="553"/>
        <item h="1" x="72"/>
        <item h="1" x="23"/>
        <item h="1" x="500"/>
        <item h="1" x="538"/>
        <item h="1" x="295"/>
        <item h="1" x="440"/>
        <item h="1" x="456"/>
        <item h="1" x="84"/>
        <item h="1" x="407"/>
        <item h="1" x="151"/>
        <item h="1" x="225"/>
        <item h="1" x="365"/>
        <item h="1" x="13"/>
        <item h="1" x="444"/>
        <item h="1" x="196"/>
        <item h="1" x="484"/>
        <item h="1" x="160"/>
        <item h="1" x="385"/>
        <item h="1" x="516"/>
        <item h="1" x="320"/>
        <item h="1" x="406"/>
        <item h="1" x="522"/>
        <item h="1" x="479"/>
        <item h="1" x="585"/>
        <item h="1" x="260"/>
        <item h="1" x="121"/>
        <item h="1" x="454"/>
        <item h="1" x="355"/>
        <item h="1" x="292"/>
        <item h="1" x="409"/>
        <item h="1" x="107"/>
        <item h="1" x="452"/>
        <item h="1" x="20"/>
        <item h="1" x="157"/>
        <item h="1" x="255"/>
        <item h="1" x="213"/>
        <item h="1" x="438"/>
        <item h="1" x="459"/>
        <item h="1" x="192"/>
        <item h="1" x="115"/>
        <item h="1" x="24"/>
        <item h="1" x="568"/>
        <item h="1" x="587"/>
        <item h="1" x="618"/>
        <item h="1" x="497"/>
        <item h="1" x="468"/>
        <item h="1" x="202"/>
        <item h="1" x="253"/>
        <item h="1" x="99"/>
        <item h="1" x="204"/>
        <item h="1" x="300"/>
        <item h="1" x="144"/>
        <item h="1" x="16"/>
        <item h="1" x="324"/>
        <item h="1" x="339"/>
        <item h="1" x="205"/>
        <item h="1" x="31"/>
        <item h="1" x="64"/>
        <item h="1" x="184"/>
        <item h="1" x="352"/>
        <item h="1" x="187"/>
        <item h="1" x="288"/>
        <item h="1" x="348"/>
        <item h="1" x="475"/>
        <item h="1" x="435"/>
        <item h="1" x="34"/>
        <item h="1" x="135"/>
        <item h="1" x="340"/>
        <item h="1" x="110"/>
        <item h="1" x="61"/>
        <item h="1" x="329"/>
        <item h="1" x="188"/>
        <item h="1" x="219"/>
        <item h="1" x="336"/>
        <item h="1" x="207"/>
        <item h="1" x="487"/>
        <item h="1" x="607"/>
        <item h="1" x="159"/>
        <item h="1" x="273"/>
        <item h="1" x="423"/>
        <item h="1" x="153"/>
        <item h="1" x="56"/>
        <item h="1" x="550"/>
        <item h="1" x="617"/>
        <item h="1" x="111"/>
        <item h="1" x="622"/>
        <item h="1" x="426"/>
        <item h="1" x="226"/>
        <item h="1" x="542"/>
        <item h="1" x="496"/>
        <item h="1" x="310"/>
        <item h="1" x="374"/>
        <item h="1" x="195"/>
        <item h="1" x="42"/>
        <item h="1" x="442"/>
        <item h="1" x="414"/>
        <item h="1" x="173"/>
        <item h="1" x="55"/>
        <item h="1" x="548"/>
        <item h="1" x="142"/>
        <item h="1" x="372"/>
        <item h="1" x="505"/>
        <item h="1" x="45"/>
        <item h="1" x="625"/>
        <item h="1" x="628"/>
        <item h="1" x="77"/>
        <item h="1" x="562"/>
        <item h="1" x="379"/>
        <item h="1" x="514"/>
        <item h="1" x="529"/>
        <item h="1" x="555"/>
        <item h="1" x="60"/>
        <item h="1" x="600"/>
        <item h="1" x="242"/>
        <item h="1" x="97"/>
        <item h="1" x="569"/>
        <item h="1" x="49"/>
        <item h="1" x="272"/>
        <item h="1" x="506"/>
        <item h="1" x="353"/>
        <item h="1" x="278"/>
        <item h="1" x="360"/>
        <item h="1" x="17"/>
        <item h="1" x="76"/>
        <item h="1" x="138"/>
        <item h="1" x="48"/>
        <item h="1" x="482"/>
        <item h="1" x="471"/>
        <item h="1" x="236"/>
        <item h="1" x="382"/>
        <item h="1" x="18"/>
        <item h="1" x="375"/>
        <item h="1" x="337"/>
        <item h="1" x="266"/>
        <item h="1" x="19"/>
        <item h="1" x="120"/>
        <item h="1" x="322"/>
        <item h="1" x="302"/>
        <item h="1" x="603"/>
        <item h="1" x="264"/>
        <item h="1" x="313"/>
        <item h="1" x="629"/>
        <item h="1" x="480"/>
        <item h="1" x="583"/>
        <item h="1" x="40"/>
        <item h="1" x="429"/>
        <item h="1" x="181"/>
        <item h="1" x="619"/>
        <item h="1" x="478"/>
        <item h="1" x="534"/>
        <item h="1" x="149"/>
        <item h="1" x="306"/>
        <item h="1" x="95"/>
        <item h="1" x="376"/>
        <item h="1" x="356"/>
        <item h="1" x="567"/>
        <item h="1" x="448"/>
        <item h="1" x="556"/>
        <item h="1" x="383"/>
        <item h="1" x="203"/>
        <item h="1" x="357"/>
        <item h="1" x="624"/>
        <item h="1" x="512"/>
        <item h="1" x="557"/>
        <item h="1" x="537"/>
        <item h="1" x="592"/>
        <item h="1" x="392"/>
        <item h="1" x="100"/>
        <item h="1" x="319"/>
        <item h="1" x="199"/>
        <item h="1" x="396"/>
        <item h="1" x="431"/>
        <item h="1" x="424"/>
        <item h="1" x="528"/>
        <item h="1" x="80"/>
        <item h="1" x="9"/>
        <item h="1" x="58"/>
        <item h="1" x="521"/>
        <item h="1" x="126"/>
        <item h="1" x="117"/>
        <item h="1" x="539"/>
        <item h="1" x="223"/>
        <item h="1" x="588"/>
        <item h="1" x="63"/>
        <item h="1" x="346"/>
        <item x="276"/>
        <item x="613"/>
        <item x="362"/>
        <item x="465"/>
        <item x="165"/>
        <item x="140"/>
        <item x="175"/>
        <item x="422"/>
        <item x="47"/>
        <item x="237"/>
        <item t="default"/>
      </items>
    </pivotField>
    <pivotField numFmtId="166" showAll="0"/>
    <pivotField numFmtId="166" showAll="0"/>
    <pivotField numFmtId="167"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1"/>
  </rowFields>
  <rowItems count="11">
    <i>
      <x v="117"/>
    </i>
    <i>
      <x v="171"/>
    </i>
    <i>
      <x v="207"/>
    </i>
    <i>
      <x v="248"/>
    </i>
    <i>
      <x v="270"/>
    </i>
    <i>
      <x v="319"/>
    </i>
    <i>
      <x v="323"/>
    </i>
    <i>
      <x v="368"/>
    </i>
    <i>
      <x v="403"/>
    </i>
    <i>
      <x v="405"/>
    </i>
    <i t="grand">
      <x/>
    </i>
  </rowItems>
  <colItems count="1">
    <i/>
  </colItems>
  <pageFields count="1">
    <pageField fld="19" hier="-1"/>
  </pageFields>
  <dataFields count="1">
    <dataField name="GrossRevEnue" fld="19" baseField="0" baseItem="0"/>
  </dataFields>
  <chartFormats count="2">
    <chartFormat chart="5"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PivotTable1"/>
  </pivotTables>
  <data>
    <tabular pivotCacheId="1">
      <items count="12">
        <i x="5" s="1"/>
        <i x="3" s="1"/>
        <i x="9" s="1"/>
        <i x="7" s="1"/>
        <i x="6" s="1"/>
        <i x="4" s="1"/>
        <i x="2" s="1"/>
        <i x="0" s="1"/>
        <i x="1" s="1"/>
        <i x="11" s="1"/>
        <i x="8"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3"/>
  <sheetViews>
    <sheetView workbookViewId="0">
      <pane ySplit="1" topLeftCell="A2" activePane="bottomLeft" state="frozen"/>
      <selection pane="bottomLeft" activeCell="D25" sqref="D25"/>
    </sheetView>
  </sheetViews>
  <sheetFormatPr defaultRowHeight="15" x14ac:dyDescent="0.25"/>
  <cols>
    <col min="1" max="1" width="16.42578125" customWidth="1"/>
    <col min="2" max="2" width="10.42578125" customWidth="1"/>
    <col min="3" max="3" width="13.42578125" customWidth="1"/>
    <col min="5" max="5" width="15.42578125" customWidth="1"/>
    <col min="6" max="6" width="13.5703125" customWidth="1"/>
    <col min="7" max="7" width="17.7109375" customWidth="1"/>
    <col min="8" max="8" width="12" customWidth="1"/>
    <col min="9" max="9" width="11.7109375" customWidth="1"/>
    <col min="10" max="10" width="15.85546875" customWidth="1"/>
    <col min="11" max="11" width="10.28515625" customWidth="1"/>
    <col min="12" max="12" width="8.7109375" customWidth="1"/>
    <col min="13" max="13" width="9.28515625" customWidth="1"/>
    <col min="14" max="14" width="11.42578125" customWidth="1"/>
    <col min="15" max="15" width="8.71093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2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2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2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2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2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2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2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2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2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2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2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2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2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2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2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2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2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2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2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2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2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2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2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2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2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2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2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2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2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2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2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2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2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2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2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2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2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2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2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2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2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2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2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2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2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2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2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2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2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2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2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2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2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2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2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2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2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2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2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2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2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2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2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2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2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2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2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2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2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2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2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2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2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2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2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2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2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2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2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2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2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2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2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2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2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2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2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2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2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2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2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2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2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2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2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2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2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2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2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2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2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2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2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2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2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2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2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2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2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2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2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2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2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2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2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2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2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2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2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2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2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2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2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2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2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2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2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2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2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2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2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2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2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2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2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2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2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2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2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2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2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2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2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2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2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2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2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2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2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2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2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2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2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2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2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2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2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2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2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2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2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2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2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2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2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2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2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2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2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2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2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2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2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2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2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2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2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2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2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2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2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2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2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2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2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2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2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2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2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2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2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2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2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2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2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2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2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2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2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2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2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2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2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2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2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2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2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2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2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2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2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2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2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2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2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2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2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2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2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2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2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2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2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2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2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2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2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2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2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2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2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2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2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2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2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2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2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2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2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2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2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2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2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2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2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2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2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2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2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2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2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2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2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2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2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2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2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2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2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2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2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2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2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2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2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2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2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2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2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2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2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2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2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2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2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2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2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2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2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2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2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2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2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2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2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2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2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2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2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2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2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2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2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2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2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2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2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2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2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2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2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2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2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2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2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2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2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2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2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2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2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2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2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2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2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2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2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2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2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2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2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2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2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2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2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2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2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2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2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2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2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2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2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2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2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2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2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2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2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2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2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2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2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2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2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2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2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2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2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2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2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2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2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2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2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2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2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2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2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2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2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2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2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2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2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2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2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2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2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2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2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2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2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2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2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2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2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2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2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2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2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2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2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2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2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2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2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2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2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2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2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2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2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2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2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2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2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2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2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2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2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2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2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2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2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2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2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2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2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2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2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2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2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2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2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2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2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2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2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2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2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2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2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2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2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2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2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2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2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2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2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2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2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2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2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2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2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2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2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2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2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2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2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2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2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2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2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2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2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2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2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2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2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2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2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2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2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2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2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2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2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2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2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2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2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2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2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2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2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2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2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2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2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2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2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2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2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2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2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2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2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2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2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2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2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2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2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2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2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2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2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2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2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2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2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2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2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2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2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2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2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2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2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2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2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2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2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2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2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2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2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2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2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2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2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2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2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2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2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2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2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2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2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2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2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2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2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2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2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2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2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2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2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2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2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2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2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2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2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2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2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2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2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2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2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2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2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2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2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2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2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2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2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2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2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2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2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2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2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2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2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2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2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2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2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2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2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2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2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2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2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2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2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2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2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2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2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2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2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2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2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2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2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2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2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2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2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2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2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2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2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2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2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2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2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2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2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2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2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2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2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2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2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2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2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2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2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2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2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2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2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2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2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2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2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2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2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2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2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2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2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2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2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2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2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2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2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2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2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2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2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7"/>
  <sheetViews>
    <sheetView topLeftCell="A24" workbookViewId="0">
      <selection activeCell="F52" sqref="F52"/>
    </sheetView>
  </sheetViews>
  <sheetFormatPr defaultRowHeight="15" x14ac:dyDescent="0.25"/>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1386</v>
      </c>
    </row>
    <row r="29" spans="1:1" x14ac:dyDescent="0.25">
      <c r="A29" t="s">
        <v>1387</v>
      </c>
    </row>
    <row r="30" spans="1:1" x14ac:dyDescent="0.25">
      <c r="A30" t="s">
        <v>1388</v>
      </c>
    </row>
    <row r="31" spans="1:1" x14ac:dyDescent="0.25">
      <c r="A31" t="s">
        <v>1389</v>
      </c>
    </row>
    <row r="32" spans="1:1" x14ac:dyDescent="0.25">
      <c r="A32" t="s">
        <v>1390</v>
      </c>
    </row>
    <row r="33" spans="1:1" x14ac:dyDescent="0.25">
      <c r="A33" t="s">
        <v>1391</v>
      </c>
    </row>
    <row r="34" spans="1:1" x14ac:dyDescent="0.25">
      <c r="A34" t="s">
        <v>1392</v>
      </c>
    </row>
    <row r="35" spans="1:1" x14ac:dyDescent="0.25">
      <c r="A35" t="s">
        <v>1393</v>
      </c>
    </row>
    <row r="36" spans="1:1" x14ac:dyDescent="0.25">
      <c r="A36" t="s">
        <v>1394</v>
      </c>
    </row>
    <row r="37" spans="1:1" x14ac:dyDescent="0.25">
      <c r="A37" t="s">
        <v>1395</v>
      </c>
    </row>
    <row r="38" spans="1:1" x14ac:dyDescent="0.25">
      <c r="A38" t="s">
        <v>1396</v>
      </c>
    </row>
    <row r="39" spans="1:1" x14ac:dyDescent="0.25">
      <c r="A39" t="s">
        <v>1397</v>
      </c>
    </row>
    <row r="40" spans="1:1" x14ac:dyDescent="0.25">
      <c r="A40" t="s">
        <v>1398</v>
      </c>
    </row>
    <row r="41" spans="1:1" x14ac:dyDescent="0.25">
      <c r="A41" t="s">
        <v>1399</v>
      </c>
    </row>
    <row r="43" spans="1:1" x14ac:dyDescent="0.25">
      <c r="A43" t="s">
        <v>1400</v>
      </c>
    </row>
    <row r="44" spans="1:1" x14ac:dyDescent="0.25">
      <c r="A44" t="s">
        <v>1401</v>
      </c>
    </row>
    <row r="45" spans="1:1" x14ac:dyDescent="0.25">
      <c r="A45" t="s">
        <v>1402</v>
      </c>
    </row>
    <row r="46" spans="1:1" x14ac:dyDescent="0.25">
      <c r="A46" t="s">
        <v>1403</v>
      </c>
    </row>
    <row r="47" spans="1:1" x14ac:dyDescent="0.25">
      <c r="A47" t="s">
        <v>1404</v>
      </c>
    </row>
    <row r="48" spans="1:1" x14ac:dyDescent="0.25">
      <c r="A48" t="s">
        <v>1405</v>
      </c>
    </row>
    <row r="50" spans="1:1" x14ac:dyDescent="0.25">
      <c r="A50" t="s">
        <v>1406</v>
      </c>
    </row>
    <row r="51" spans="1:1" x14ac:dyDescent="0.25">
      <c r="A51" t="s">
        <v>1407</v>
      </c>
    </row>
    <row r="52" spans="1:1" x14ac:dyDescent="0.25">
      <c r="A52" t="s">
        <v>1408</v>
      </c>
    </row>
    <row r="53" spans="1:1" x14ac:dyDescent="0.25">
      <c r="A53" t="s">
        <v>1409</v>
      </c>
    </row>
    <row r="54" spans="1:1" x14ac:dyDescent="0.25">
      <c r="A54" t="s">
        <v>1410</v>
      </c>
    </row>
    <row r="55" spans="1:1" x14ac:dyDescent="0.25">
      <c r="A55" t="s">
        <v>1411</v>
      </c>
    </row>
    <row r="56" spans="1:1" x14ac:dyDescent="0.25">
      <c r="A56" t="s">
        <v>1412</v>
      </c>
    </row>
    <row r="57" spans="1:1" x14ac:dyDescent="0.25">
      <c r="A57" t="s">
        <v>1413</v>
      </c>
    </row>
    <row r="58" spans="1:1" x14ac:dyDescent="0.25">
      <c r="A58" t="s">
        <v>1414</v>
      </c>
    </row>
    <row r="59" spans="1:1" x14ac:dyDescent="0.25">
      <c r="A59"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34"/>
  <sheetViews>
    <sheetView topLeftCell="L1" workbookViewId="0">
      <pane ySplit="1" topLeftCell="A607" activePane="bottomLeft" state="frozen"/>
      <selection pane="bottomLeft" activeCell="B610" sqref="B610"/>
    </sheetView>
  </sheetViews>
  <sheetFormatPr defaultRowHeight="15" x14ac:dyDescent="0.25"/>
  <cols>
    <col min="1" max="1" width="16.42578125" customWidth="1"/>
    <col min="2" max="2" width="14.85546875" style="13" customWidth="1"/>
    <col min="3" max="3" width="18" style="8" customWidth="1"/>
    <col min="4" max="4" width="23.140625" style="8" customWidth="1"/>
    <col min="5" max="5" width="18.85546875" style="6" customWidth="1"/>
    <col min="6" max="6" width="23.42578125" style="6" customWidth="1"/>
    <col min="7" max="7" width="11.7109375" customWidth="1"/>
    <col min="8" max="8" width="15.42578125" customWidth="1"/>
    <col min="9" max="9" width="13.5703125" customWidth="1"/>
    <col min="10" max="10" width="22.28515625" customWidth="1"/>
    <col min="11" max="11" width="12.85546875" customWidth="1"/>
    <col min="12" max="12" width="16.28515625" customWidth="1"/>
    <col min="13" max="14" width="20.42578125" customWidth="1"/>
    <col min="15" max="15" width="10.28515625" customWidth="1"/>
    <col min="16" max="16" width="13.28515625" style="4" customWidth="1"/>
    <col min="17" max="17" width="13.85546875" style="4" customWidth="1"/>
    <col min="18" max="18" width="23.7109375" style="4" customWidth="1"/>
    <col min="19" max="19" width="16" customWidth="1"/>
    <col min="20" max="20" width="13.28515625" style="4" customWidth="1"/>
    <col min="21" max="21" width="19" customWidth="1"/>
    <col min="22" max="22" width="17.42578125" customWidth="1"/>
    <col min="23" max="23" width="16" customWidth="1"/>
    <col min="24" max="24" width="15" customWidth="1"/>
  </cols>
  <sheetData>
    <row r="1" spans="1:24" x14ac:dyDescent="0.25">
      <c r="A1" s="1" t="s">
        <v>0</v>
      </c>
      <c r="B1" s="12" t="s">
        <v>1</v>
      </c>
      <c r="C1" s="7" t="s">
        <v>2</v>
      </c>
      <c r="D1" s="7" t="s">
        <v>1427</v>
      </c>
      <c r="E1" s="5" t="s">
        <v>1428</v>
      </c>
      <c r="F1" s="5" t="s">
        <v>1429</v>
      </c>
      <c r="G1" s="1" t="s">
        <v>3</v>
      </c>
      <c r="H1" s="1" t="s">
        <v>4</v>
      </c>
      <c r="I1" s="1" t="s">
        <v>5</v>
      </c>
      <c r="J1" s="1" t="s">
        <v>6</v>
      </c>
      <c r="K1" s="1" t="s">
        <v>7</v>
      </c>
      <c r="L1" s="1" t="s">
        <v>8</v>
      </c>
      <c r="M1" s="1" t="s">
        <v>9</v>
      </c>
      <c r="N1" s="1" t="s">
        <v>1441</v>
      </c>
      <c r="O1" s="1" t="s">
        <v>10</v>
      </c>
      <c r="P1" s="3" t="s">
        <v>11</v>
      </c>
      <c r="Q1" s="3" t="s">
        <v>12</v>
      </c>
      <c r="R1" s="3" t="s">
        <v>1430</v>
      </c>
      <c r="S1" s="1" t="s">
        <v>13</v>
      </c>
      <c r="T1" s="3" t="s">
        <v>14</v>
      </c>
      <c r="U1" s="9" t="s">
        <v>1423</v>
      </c>
      <c r="V1" s="9" t="s">
        <v>1424</v>
      </c>
      <c r="W1" s="9" t="s">
        <v>1425</v>
      </c>
      <c r="X1" s="9" t="s">
        <v>1426</v>
      </c>
    </row>
    <row r="2" spans="1:24" x14ac:dyDescent="0.25">
      <c r="A2" t="s">
        <v>15</v>
      </c>
      <c r="B2" s="13">
        <v>45362</v>
      </c>
      <c r="C2" s="8">
        <v>45388</v>
      </c>
      <c r="D2" s="8">
        <f>IF(B2&gt;C2, B2+7, C2)</f>
        <v>45388</v>
      </c>
      <c r="E2" s="6">
        <f>(D2-B2)</f>
        <v>26</v>
      </c>
      <c r="F2" s="6" t="str">
        <f>"Q"&amp;ROUNDUP(MONTH(B2)/3,0)&amp;"-"&amp;YEAR(B2)</f>
        <v>Q1-2024</v>
      </c>
      <c r="G2" t="s">
        <v>646</v>
      </c>
      <c r="H2" t="s">
        <v>650</v>
      </c>
      <c r="I2" t="s">
        <v>662</v>
      </c>
      <c r="J2" t="s">
        <v>701</v>
      </c>
      <c r="K2" t="s">
        <v>707</v>
      </c>
      <c r="L2" t="s">
        <v>712</v>
      </c>
      <c r="M2" t="s">
        <v>727</v>
      </c>
      <c r="N2">
        <f>(U2/$U$634)*100</f>
        <v>4.4527381264546376E-2</v>
      </c>
      <c r="O2" t="s">
        <v>734</v>
      </c>
      <c r="P2" s="4">
        <v>279.24</v>
      </c>
      <c r="Q2" s="4">
        <v>608.9</v>
      </c>
      <c r="R2" s="4" t="str">
        <f>IF(Q2&gt;P2, "Profit", IF(Q2&lt;P2, "Loss"))</f>
        <v>Profit</v>
      </c>
      <c r="S2">
        <v>0.112</v>
      </c>
      <c r="T2" s="4">
        <v>9</v>
      </c>
      <c r="U2">
        <f>Q2*T2*(1-S2)</f>
        <v>4866.3287999999993</v>
      </c>
      <c r="V2">
        <f>P2*T2</f>
        <v>2513.16</v>
      </c>
      <c r="W2">
        <f>U2-V2</f>
        <v>2353.1687999999995</v>
      </c>
      <c r="X2">
        <f>IF(U2=0, 0, W2/U2)</f>
        <v>0.48356140670149533</v>
      </c>
    </row>
    <row r="3" spans="1:24" x14ac:dyDescent="0.25">
      <c r="A3" t="s">
        <v>16</v>
      </c>
      <c r="B3" s="13">
        <v>45588</v>
      </c>
      <c r="C3" s="8">
        <v>45587</v>
      </c>
      <c r="D3" s="8">
        <f t="shared" ref="D3:D66" si="0">IF(B3&gt;C3, B3+7, C3)</f>
        <v>45595</v>
      </c>
      <c r="E3" s="6">
        <f t="shared" ref="E3:E66" si="1">(D3-B3)</f>
        <v>7</v>
      </c>
      <c r="F3" s="6" t="str">
        <f t="shared" ref="F3:F66" si="2">"Q"&amp;ROUNDUP(MONTH(B3)/3,0)&amp;"-"&amp;YEAR(B3)</f>
        <v>Q4-2024</v>
      </c>
      <c r="G3" t="s">
        <v>646</v>
      </c>
      <c r="H3" t="s">
        <v>651</v>
      </c>
      <c r="I3" t="s">
        <v>663</v>
      </c>
      <c r="J3" t="s">
        <v>702</v>
      </c>
      <c r="K3" t="s">
        <v>708</v>
      </c>
      <c r="L3" t="s">
        <v>713</v>
      </c>
      <c r="M3" t="s">
        <v>728</v>
      </c>
      <c r="N3">
        <f t="shared" ref="N3:N66" si="3">(U3/$U$634)*100</f>
        <v>0.16433970206829759</v>
      </c>
      <c r="O3" t="s">
        <v>735</v>
      </c>
      <c r="P3" s="4">
        <v>1084.3900000000001</v>
      </c>
      <c r="Q3" s="4">
        <v>759.33</v>
      </c>
      <c r="R3" s="4" t="str">
        <f t="shared" ref="R3:R66" si="4">IF(Q3&gt;P3, "Profit", IF(Q3&lt;P3, "Loss"))</f>
        <v>Loss</v>
      </c>
      <c r="S3">
        <v>0.23699999999999999</v>
      </c>
      <c r="T3" s="4">
        <v>31</v>
      </c>
      <c r="U3">
        <f t="shared" ref="U3:U66" si="5">Q3*T3*(1-S3)</f>
        <v>17960.432489999999</v>
      </c>
      <c r="V3">
        <f t="shared" ref="V3:V66" si="6">P3*T3</f>
        <v>33616.090000000004</v>
      </c>
      <c r="W3">
        <f t="shared" ref="W3:W66" si="7">U3-V3</f>
        <v>-15655.657510000005</v>
      </c>
      <c r="X3">
        <f t="shared" ref="X3:X66" si="8">IF(U3=0, 0, W3/U3)</f>
        <v>-0.87167486187856302</v>
      </c>
    </row>
    <row r="4" spans="1:24" x14ac:dyDescent="0.25">
      <c r="A4" t="s">
        <v>17</v>
      </c>
      <c r="B4" s="13">
        <v>44985</v>
      </c>
      <c r="C4" s="8">
        <v>45010</v>
      </c>
      <c r="D4" s="8">
        <f t="shared" si="0"/>
        <v>45010</v>
      </c>
      <c r="E4" s="6">
        <f t="shared" si="1"/>
        <v>25</v>
      </c>
      <c r="F4" s="6" t="str">
        <f t="shared" si="2"/>
        <v>Q1-2023</v>
      </c>
      <c r="G4" t="s">
        <v>646</v>
      </c>
      <c r="H4" t="s">
        <v>650</v>
      </c>
      <c r="I4" t="s">
        <v>664</v>
      </c>
      <c r="J4" t="s">
        <v>701</v>
      </c>
      <c r="K4" t="s">
        <v>707</v>
      </c>
      <c r="L4" t="s">
        <v>714</v>
      </c>
      <c r="M4" t="s">
        <v>729</v>
      </c>
      <c r="N4">
        <f t="shared" si="3"/>
        <v>2.9254917517711316E-3</v>
      </c>
      <c r="O4" t="s">
        <v>736</v>
      </c>
      <c r="P4" s="4">
        <v>1460.76</v>
      </c>
      <c r="Q4" s="4">
        <v>30.66</v>
      </c>
      <c r="R4" s="4" t="str">
        <f t="shared" si="4"/>
        <v>Loss</v>
      </c>
      <c r="S4">
        <v>0.13100000000000001</v>
      </c>
      <c r="T4" s="4">
        <v>12</v>
      </c>
      <c r="U4">
        <f t="shared" si="5"/>
        <v>319.72248000000002</v>
      </c>
      <c r="V4">
        <f t="shared" si="6"/>
        <v>17529.12</v>
      </c>
      <c r="W4">
        <f t="shared" si="7"/>
        <v>-17209.397519999999</v>
      </c>
      <c r="X4">
        <f t="shared" si="8"/>
        <v>-53.826047890032626</v>
      </c>
    </row>
    <row r="5" spans="1:24" x14ac:dyDescent="0.25">
      <c r="A5" t="s">
        <v>18</v>
      </c>
      <c r="B5" s="13">
        <v>45745</v>
      </c>
      <c r="C5" s="8">
        <v>45749</v>
      </c>
      <c r="D5" s="8">
        <f t="shared" si="0"/>
        <v>45749</v>
      </c>
      <c r="E5" s="6">
        <f t="shared" si="1"/>
        <v>4</v>
      </c>
      <c r="F5" s="6" t="str">
        <f t="shared" si="2"/>
        <v>Q1-2025</v>
      </c>
      <c r="G5" t="s">
        <v>646</v>
      </c>
      <c r="H5" t="s">
        <v>651</v>
      </c>
      <c r="I5" t="s">
        <v>665</v>
      </c>
      <c r="J5" t="s">
        <v>703</v>
      </c>
      <c r="K5" t="s">
        <v>709</v>
      </c>
      <c r="L5" t="s">
        <v>715</v>
      </c>
      <c r="M5" t="s">
        <v>730</v>
      </c>
      <c r="N5">
        <f t="shared" si="3"/>
        <v>4.7811737630361686E-2</v>
      </c>
      <c r="O5" t="s">
        <v>737</v>
      </c>
      <c r="P5" s="4">
        <v>259.93</v>
      </c>
      <c r="Q5" s="4">
        <v>255.94</v>
      </c>
      <c r="R5" s="4" t="str">
        <f t="shared" si="4"/>
        <v>Loss</v>
      </c>
      <c r="S5">
        <v>7.1999999999999995E-2</v>
      </c>
      <c r="T5" s="4">
        <v>22</v>
      </c>
      <c r="U5">
        <f t="shared" si="5"/>
        <v>5225.2710400000005</v>
      </c>
      <c r="V5">
        <f t="shared" si="6"/>
        <v>5718.46</v>
      </c>
      <c r="W5">
        <f t="shared" si="7"/>
        <v>-493.1889599999995</v>
      </c>
      <c r="X5">
        <f t="shared" si="8"/>
        <v>-9.4385335463861311E-2</v>
      </c>
    </row>
    <row r="6" spans="1:24" x14ac:dyDescent="0.25">
      <c r="A6" t="s">
        <v>19</v>
      </c>
      <c r="B6" s="13">
        <v>45266</v>
      </c>
      <c r="C6" s="8">
        <v>45291</v>
      </c>
      <c r="D6" s="8">
        <f t="shared" si="0"/>
        <v>45291</v>
      </c>
      <c r="E6" s="6">
        <f t="shared" si="1"/>
        <v>25</v>
      </c>
      <c r="F6" s="6" t="str">
        <f t="shared" si="2"/>
        <v>Q4-2023</v>
      </c>
      <c r="G6" t="s">
        <v>647</v>
      </c>
      <c r="H6" t="s">
        <v>652</v>
      </c>
      <c r="I6" t="s">
        <v>666</v>
      </c>
      <c r="J6" t="s">
        <v>704</v>
      </c>
      <c r="K6" t="s">
        <v>707</v>
      </c>
      <c r="L6" t="s">
        <v>716</v>
      </c>
      <c r="M6" t="s">
        <v>728</v>
      </c>
      <c r="N6">
        <f t="shared" si="3"/>
        <v>0.10026657877927599</v>
      </c>
      <c r="O6" t="s">
        <v>738</v>
      </c>
      <c r="P6" s="4">
        <v>663.03</v>
      </c>
      <c r="Q6" s="4">
        <v>813.51</v>
      </c>
      <c r="R6" s="4" t="str">
        <f t="shared" si="4"/>
        <v>Profit</v>
      </c>
      <c r="S6">
        <v>0.10199999999999999</v>
      </c>
      <c r="T6" s="4">
        <v>15</v>
      </c>
      <c r="U6">
        <f t="shared" si="5"/>
        <v>10957.9797</v>
      </c>
      <c r="V6">
        <f t="shared" si="6"/>
        <v>9945.4499999999989</v>
      </c>
      <c r="W6">
        <f t="shared" si="7"/>
        <v>1012.529700000001</v>
      </c>
      <c r="X6">
        <f t="shared" si="8"/>
        <v>9.2401129379715952E-2</v>
      </c>
    </row>
    <row r="7" spans="1:24" x14ac:dyDescent="0.25">
      <c r="A7" t="s">
        <v>20</v>
      </c>
      <c r="B7" s="13">
        <v>44928</v>
      </c>
      <c r="C7" s="8">
        <v>44931</v>
      </c>
      <c r="D7" s="8">
        <f t="shared" si="0"/>
        <v>44931</v>
      </c>
      <c r="E7" s="6">
        <f t="shared" si="1"/>
        <v>3</v>
      </c>
      <c r="F7" s="6" t="str">
        <f t="shared" si="2"/>
        <v>Q1-2023</v>
      </c>
      <c r="G7" t="s">
        <v>648</v>
      </c>
      <c r="H7" t="s">
        <v>653</v>
      </c>
      <c r="I7" t="s">
        <v>667</v>
      </c>
      <c r="J7" t="s">
        <v>701</v>
      </c>
      <c r="K7" t="s">
        <v>710</v>
      </c>
      <c r="L7" t="s">
        <v>717</v>
      </c>
      <c r="M7" t="s">
        <v>731</v>
      </c>
      <c r="N7">
        <f t="shared" si="3"/>
        <v>3.7897506355560599E-2</v>
      </c>
      <c r="O7" t="s">
        <v>739</v>
      </c>
      <c r="P7" s="4">
        <v>315.87</v>
      </c>
      <c r="Q7" s="4">
        <v>591.67999999999995</v>
      </c>
      <c r="R7" s="4" t="str">
        <f t="shared" si="4"/>
        <v>Profit</v>
      </c>
      <c r="S7">
        <v>0</v>
      </c>
      <c r="T7" s="4">
        <v>7</v>
      </c>
      <c r="U7">
        <f t="shared" si="5"/>
        <v>4141.7599999999993</v>
      </c>
      <c r="V7">
        <f t="shared" si="6"/>
        <v>2211.09</v>
      </c>
      <c r="W7">
        <f t="shared" si="7"/>
        <v>1930.6699999999992</v>
      </c>
      <c r="X7">
        <f t="shared" si="8"/>
        <v>0.46614724175229844</v>
      </c>
    </row>
    <row r="8" spans="1:24" x14ac:dyDescent="0.25">
      <c r="A8" t="s">
        <v>21</v>
      </c>
      <c r="B8" s="13">
        <v>45653</v>
      </c>
      <c r="C8" s="8">
        <v>45671</v>
      </c>
      <c r="D8" s="8">
        <f t="shared" si="0"/>
        <v>45671</v>
      </c>
      <c r="E8" s="6">
        <f t="shared" si="1"/>
        <v>18</v>
      </c>
      <c r="F8" s="6" t="str">
        <f t="shared" si="2"/>
        <v>Q4-2024</v>
      </c>
      <c r="G8" t="s">
        <v>647</v>
      </c>
      <c r="H8" t="s">
        <v>654</v>
      </c>
      <c r="I8" t="s">
        <v>668</v>
      </c>
      <c r="J8" t="s">
        <v>705</v>
      </c>
      <c r="K8" t="s">
        <v>709</v>
      </c>
      <c r="L8" t="s">
        <v>718</v>
      </c>
      <c r="M8" t="s">
        <v>732</v>
      </c>
      <c r="N8">
        <f t="shared" si="3"/>
        <v>2.6411294613136838E-2</v>
      </c>
      <c r="O8" t="s">
        <v>740</v>
      </c>
      <c r="P8" s="4">
        <v>586.07000000000005</v>
      </c>
      <c r="Q8" s="4">
        <v>845.97</v>
      </c>
      <c r="R8" s="4" t="str">
        <f t="shared" si="4"/>
        <v>Profit</v>
      </c>
      <c r="S8">
        <v>0.14699999999999999</v>
      </c>
      <c r="T8" s="4">
        <v>4</v>
      </c>
      <c r="U8">
        <f t="shared" si="5"/>
        <v>2886.4496399999998</v>
      </c>
      <c r="V8">
        <f t="shared" si="6"/>
        <v>2344.2800000000002</v>
      </c>
      <c r="W8">
        <f t="shared" si="7"/>
        <v>542.16963999999962</v>
      </c>
      <c r="X8">
        <f t="shared" si="8"/>
        <v>0.18783270370862928</v>
      </c>
    </row>
    <row r="9" spans="1:24" x14ac:dyDescent="0.25">
      <c r="A9" t="s">
        <v>22</v>
      </c>
      <c r="B9" s="13">
        <v>44941</v>
      </c>
      <c r="C9" s="8">
        <v>44939</v>
      </c>
      <c r="D9" s="8">
        <f t="shared" si="0"/>
        <v>44948</v>
      </c>
      <c r="E9" s="6">
        <f t="shared" si="1"/>
        <v>7</v>
      </c>
      <c r="F9" s="6" t="str">
        <f t="shared" si="2"/>
        <v>Q1-2023</v>
      </c>
      <c r="G9" t="s">
        <v>646</v>
      </c>
      <c r="H9" t="s">
        <v>651</v>
      </c>
      <c r="I9" t="s">
        <v>669</v>
      </c>
      <c r="J9" t="s">
        <v>702</v>
      </c>
      <c r="K9" t="s">
        <v>708</v>
      </c>
      <c r="L9" t="s">
        <v>719</v>
      </c>
      <c r="M9" t="s">
        <v>728</v>
      </c>
      <c r="N9">
        <f t="shared" si="3"/>
        <v>6.2684365556163737E-3</v>
      </c>
      <c r="O9" t="s">
        <v>741</v>
      </c>
      <c r="P9" s="4">
        <v>28.38</v>
      </c>
      <c r="Q9" s="4">
        <v>47.22</v>
      </c>
      <c r="R9" s="4" t="str">
        <f t="shared" si="4"/>
        <v>Profit</v>
      </c>
      <c r="S9">
        <v>0.19400000000000001</v>
      </c>
      <c r="T9" s="4">
        <v>18</v>
      </c>
      <c r="U9">
        <f t="shared" si="5"/>
        <v>685.06776000000002</v>
      </c>
      <c r="V9">
        <f t="shared" si="6"/>
        <v>510.84</v>
      </c>
      <c r="W9">
        <f t="shared" si="7"/>
        <v>174.22776000000005</v>
      </c>
      <c r="X9">
        <f t="shared" si="8"/>
        <v>0.25432193743871417</v>
      </c>
    </row>
    <row r="10" spans="1:24" x14ac:dyDescent="0.25">
      <c r="A10" t="s">
        <v>23</v>
      </c>
      <c r="B10" s="13">
        <v>45416</v>
      </c>
      <c r="C10" s="8">
        <v>45441</v>
      </c>
      <c r="D10" s="8">
        <f t="shared" si="0"/>
        <v>45441</v>
      </c>
      <c r="E10" s="6">
        <f t="shared" si="1"/>
        <v>25</v>
      </c>
      <c r="F10" s="6" t="str">
        <f t="shared" si="2"/>
        <v>Q2-2024</v>
      </c>
      <c r="G10" t="s">
        <v>646</v>
      </c>
      <c r="H10" t="s">
        <v>651</v>
      </c>
      <c r="I10" t="s">
        <v>669</v>
      </c>
      <c r="J10" t="s">
        <v>703</v>
      </c>
      <c r="K10" t="s">
        <v>709</v>
      </c>
      <c r="L10" t="s">
        <v>719</v>
      </c>
      <c r="M10" t="s">
        <v>732</v>
      </c>
      <c r="N10">
        <f t="shared" si="3"/>
        <v>0.1346357128803192</v>
      </c>
      <c r="O10" t="s">
        <v>742</v>
      </c>
      <c r="P10" s="4">
        <v>1295.3399999999999</v>
      </c>
      <c r="Q10" s="4">
        <v>2530.81</v>
      </c>
      <c r="R10" s="4" t="str">
        <f t="shared" si="4"/>
        <v>Profit</v>
      </c>
      <c r="S10">
        <v>3.1E-2</v>
      </c>
      <c r="T10" s="4">
        <v>6</v>
      </c>
      <c r="U10">
        <f t="shared" si="5"/>
        <v>14714.12934</v>
      </c>
      <c r="V10">
        <f t="shared" si="6"/>
        <v>7772.0399999999991</v>
      </c>
      <c r="W10">
        <f t="shared" si="7"/>
        <v>6942.0893400000004</v>
      </c>
      <c r="X10">
        <f t="shared" si="8"/>
        <v>0.4717974933880798</v>
      </c>
    </row>
    <row r="11" spans="1:24" x14ac:dyDescent="0.25">
      <c r="A11" t="s">
        <v>24</v>
      </c>
      <c r="B11" s="13">
        <v>45798</v>
      </c>
      <c r="C11" s="8">
        <v>45817</v>
      </c>
      <c r="D11" s="8">
        <f t="shared" si="0"/>
        <v>45817</v>
      </c>
      <c r="E11" s="6">
        <f t="shared" si="1"/>
        <v>19</v>
      </c>
      <c r="F11" s="6" t="str">
        <f t="shared" si="2"/>
        <v>Q2-2025</v>
      </c>
      <c r="G11" t="s">
        <v>648</v>
      </c>
      <c r="H11" t="s">
        <v>655</v>
      </c>
      <c r="I11" t="s">
        <v>670</v>
      </c>
      <c r="J11" t="s">
        <v>703</v>
      </c>
      <c r="K11" t="s">
        <v>708</v>
      </c>
      <c r="L11" t="s">
        <v>720</v>
      </c>
      <c r="M11" t="s">
        <v>727</v>
      </c>
      <c r="N11">
        <f t="shared" si="3"/>
        <v>0.55750171555640349</v>
      </c>
      <c r="O11" t="s">
        <v>743</v>
      </c>
      <c r="P11" s="4">
        <v>1331.38</v>
      </c>
      <c r="Q11" s="4">
        <v>2309.56</v>
      </c>
      <c r="R11" s="4" t="str">
        <f t="shared" si="4"/>
        <v>Profit</v>
      </c>
      <c r="S11">
        <v>0.14899999999999999</v>
      </c>
      <c r="T11" s="4">
        <v>31</v>
      </c>
      <c r="U11">
        <f t="shared" si="5"/>
        <v>60928.502359999999</v>
      </c>
      <c r="V11">
        <f t="shared" si="6"/>
        <v>41272.780000000006</v>
      </c>
      <c r="W11">
        <f t="shared" si="7"/>
        <v>19655.722359999992</v>
      </c>
      <c r="X11">
        <f t="shared" si="8"/>
        <v>0.32260307735553528</v>
      </c>
    </row>
    <row r="12" spans="1:24" x14ac:dyDescent="0.25">
      <c r="A12" t="s">
        <v>25</v>
      </c>
      <c r="B12" s="13">
        <v>45319</v>
      </c>
      <c r="C12" s="8">
        <v>45331</v>
      </c>
      <c r="D12" s="8">
        <f t="shared" si="0"/>
        <v>45331</v>
      </c>
      <c r="E12" s="6">
        <f t="shared" si="1"/>
        <v>12</v>
      </c>
      <c r="F12" s="6" t="str">
        <f t="shared" si="2"/>
        <v>Q1-2024</v>
      </c>
      <c r="G12" t="s">
        <v>649</v>
      </c>
      <c r="H12" t="s">
        <v>656</v>
      </c>
      <c r="I12" t="s">
        <v>671</v>
      </c>
      <c r="J12" t="s">
        <v>701</v>
      </c>
      <c r="K12" t="s">
        <v>708</v>
      </c>
      <c r="L12" t="s">
        <v>715</v>
      </c>
      <c r="M12" t="s">
        <v>733</v>
      </c>
      <c r="N12">
        <f t="shared" si="3"/>
        <v>0.14645776740936578</v>
      </c>
      <c r="O12" t="s">
        <v>744</v>
      </c>
      <c r="P12" s="4">
        <v>644.16999999999996</v>
      </c>
      <c r="Q12" s="4">
        <v>700.12</v>
      </c>
      <c r="R12" s="4" t="str">
        <f t="shared" si="4"/>
        <v>Profit</v>
      </c>
      <c r="S12">
        <v>6.0000000000000001E-3</v>
      </c>
      <c r="T12" s="4">
        <v>23</v>
      </c>
      <c r="U12">
        <f t="shared" si="5"/>
        <v>16006.14344</v>
      </c>
      <c r="V12">
        <f t="shared" si="6"/>
        <v>14815.91</v>
      </c>
      <c r="W12">
        <f t="shared" si="7"/>
        <v>1190.23344</v>
      </c>
      <c r="X12">
        <f t="shared" si="8"/>
        <v>7.436103796405813E-2</v>
      </c>
    </row>
    <row r="13" spans="1:24" x14ac:dyDescent="0.25">
      <c r="A13" t="s">
        <v>26</v>
      </c>
      <c r="B13" s="13">
        <v>45660</v>
      </c>
      <c r="C13" s="8">
        <v>45680</v>
      </c>
      <c r="D13" s="8">
        <f t="shared" si="0"/>
        <v>45680</v>
      </c>
      <c r="E13" s="6">
        <f t="shared" si="1"/>
        <v>20</v>
      </c>
      <c r="F13" s="6" t="str">
        <f t="shared" si="2"/>
        <v>Q1-2025</v>
      </c>
      <c r="G13" t="s">
        <v>647</v>
      </c>
      <c r="H13" t="s">
        <v>652</v>
      </c>
      <c r="I13" t="s">
        <v>666</v>
      </c>
      <c r="J13" t="s">
        <v>701</v>
      </c>
      <c r="K13" t="s">
        <v>710</v>
      </c>
      <c r="L13" t="s">
        <v>721</v>
      </c>
      <c r="M13" t="s">
        <v>730</v>
      </c>
      <c r="N13">
        <f t="shared" si="3"/>
        <v>9.4891539957809981E-2</v>
      </c>
      <c r="O13" t="s">
        <v>745</v>
      </c>
      <c r="P13" s="4">
        <v>908.6</v>
      </c>
      <c r="Q13" s="4">
        <v>691.37</v>
      </c>
      <c r="R13" s="4" t="str">
        <f t="shared" si="4"/>
        <v>Loss</v>
      </c>
      <c r="S13">
        <v>0.25</v>
      </c>
      <c r="T13" s="4">
        <v>20</v>
      </c>
      <c r="U13">
        <f t="shared" si="5"/>
        <v>10370.549999999999</v>
      </c>
      <c r="V13">
        <f t="shared" si="6"/>
        <v>18172</v>
      </c>
      <c r="W13">
        <f t="shared" si="7"/>
        <v>-7801.4500000000007</v>
      </c>
      <c r="X13">
        <f t="shared" si="8"/>
        <v>-0.75226964818645115</v>
      </c>
    </row>
    <row r="14" spans="1:24" x14ac:dyDescent="0.25">
      <c r="A14" t="s">
        <v>27</v>
      </c>
      <c r="B14" s="13">
        <v>45722</v>
      </c>
      <c r="C14" s="8">
        <v>45747</v>
      </c>
      <c r="D14" s="8">
        <f t="shared" si="0"/>
        <v>45747</v>
      </c>
      <c r="E14" s="6">
        <f t="shared" si="1"/>
        <v>25</v>
      </c>
      <c r="F14" s="6" t="str">
        <f t="shared" si="2"/>
        <v>Q1-2025</v>
      </c>
      <c r="G14" t="s">
        <v>648</v>
      </c>
      <c r="H14" t="s">
        <v>655</v>
      </c>
      <c r="I14" t="s">
        <v>672</v>
      </c>
      <c r="J14" t="s">
        <v>703</v>
      </c>
      <c r="K14" t="s">
        <v>708</v>
      </c>
      <c r="L14" t="s">
        <v>713</v>
      </c>
      <c r="M14" t="s">
        <v>727</v>
      </c>
      <c r="N14">
        <f t="shared" si="3"/>
        <v>4.546229427046191E-2</v>
      </c>
      <c r="O14" t="s">
        <v>746</v>
      </c>
      <c r="P14" s="4">
        <v>331.57</v>
      </c>
      <c r="Q14" s="4">
        <v>548.4</v>
      </c>
      <c r="R14" s="4" t="str">
        <f t="shared" si="4"/>
        <v>Profit</v>
      </c>
      <c r="S14">
        <v>9.4E-2</v>
      </c>
      <c r="T14" s="4">
        <v>10</v>
      </c>
      <c r="U14">
        <f t="shared" si="5"/>
        <v>4968.5039999999999</v>
      </c>
      <c r="V14">
        <f t="shared" si="6"/>
        <v>3315.7</v>
      </c>
      <c r="W14">
        <f t="shared" si="7"/>
        <v>1652.8040000000001</v>
      </c>
      <c r="X14">
        <f t="shared" si="8"/>
        <v>0.33265626836568918</v>
      </c>
    </row>
    <row r="15" spans="1:24" x14ac:dyDescent="0.25">
      <c r="A15" t="s">
        <v>28</v>
      </c>
      <c r="B15" s="13">
        <v>45311</v>
      </c>
      <c r="C15" s="8">
        <v>45335</v>
      </c>
      <c r="D15" s="8">
        <f t="shared" si="0"/>
        <v>45335</v>
      </c>
      <c r="E15" s="6">
        <f t="shared" si="1"/>
        <v>24</v>
      </c>
      <c r="F15" s="6" t="str">
        <f t="shared" si="2"/>
        <v>Q1-2024</v>
      </c>
      <c r="G15" t="s">
        <v>649</v>
      </c>
      <c r="H15" t="s">
        <v>657</v>
      </c>
      <c r="I15" t="s">
        <v>673</v>
      </c>
      <c r="J15" t="s">
        <v>701</v>
      </c>
      <c r="K15" t="s">
        <v>707</v>
      </c>
      <c r="L15" t="s">
        <v>722</v>
      </c>
      <c r="M15" t="s">
        <v>728</v>
      </c>
      <c r="N15">
        <f t="shared" si="3"/>
        <v>0.19750621941173058</v>
      </c>
      <c r="O15" t="s">
        <v>747</v>
      </c>
      <c r="P15" s="4">
        <v>643.53</v>
      </c>
      <c r="Q15" s="4">
        <v>1439.01</v>
      </c>
      <c r="R15" s="4" t="str">
        <f t="shared" si="4"/>
        <v>Profit</v>
      </c>
      <c r="S15">
        <v>0</v>
      </c>
      <c r="T15" s="4">
        <v>15</v>
      </c>
      <c r="U15">
        <f t="shared" si="5"/>
        <v>21585.15</v>
      </c>
      <c r="V15">
        <f t="shared" si="6"/>
        <v>9652.9499999999989</v>
      </c>
      <c r="W15">
        <f t="shared" si="7"/>
        <v>11932.200000000003</v>
      </c>
      <c r="X15">
        <f t="shared" si="8"/>
        <v>0.55279671440782208</v>
      </c>
    </row>
    <row r="16" spans="1:24" x14ac:dyDescent="0.25">
      <c r="A16" t="s">
        <v>29</v>
      </c>
      <c r="B16" s="13">
        <v>45901</v>
      </c>
      <c r="C16" s="8">
        <v>45930</v>
      </c>
      <c r="D16" s="8">
        <f t="shared" si="0"/>
        <v>45930</v>
      </c>
      <c r="E16" s="6">
        <f t="shared" si="1"/>
        <v>29</v>
      </c>
      <c r="F16" s="6" t="str">
        <f t="shared" si="2"/>
        <v>Q3-2025</v>
      </c>
      <c r="G16" t="s">
        <v>648</v>
      </c>
      <c r="H16" t="s">
        <v>655</v>
      </c>
      <c r="I16" t="s">
        <v>672</v>
      </c>
      <c r="J16" t="s">
        <v>702</v>
      </c>
      <c r="K16" t="s">
        <v>707</v>
      </c>
      <c r="L16" t="s">
        <v>723</v>
      </c>
      <c r="M16" t="s">
        <v>733</v>
      </c>
      <c r="N16">
        <f t="shared" si="3"/>
        <v>6.9347122254253504E-2</v>
      </c>
      <c r="O16" t="s">
        <v>748</v>
      </c>
      <c r="P16" s="4">
        <v>780.59</v>
      </c>
      <c r="Q16" s="4">
        <v>631.57000000000005</v>
      </c>
      <c r="R16" s="4" t="str">
        <f t="shared" si="4"/>
        <v>Loss</v>
      </c>
      <c r="S16">
        <v>0</v>
      </c>
      <c r="T16" s="4">
        <v>12</v>
      </c>
      <c r="U16">
        <f t="shared" si="5"/>
        <v>7578.84</v>
      </c>
      <c r="V16">
        <f t="shared" si="6"/>
        <v>9367.08</v>
      </c>
      <c r="W16">
        <f t="shared" si="7"/>
        <v>-1788.2399999999998</v>
      </c>
      <c r="X16">
        <f t="shared" si="8"/>
        <v>-0.23595167598207639</v>
      </c>
    </row>
    <row r="17" spans="1:24" x14ac:dyDescent="0.25">
      <c r="A17" t="s">
        <v>30</v>
      </c>
      <c r="B17" s="13">
        <v>45039</v>
      </c>
      <c r="C17" s="8">
        <v>45038</v>
      </c>
      <c r="D17" s="8">
        <f t="shared" si="0"/>
        <v>45046</v>
      </c>
      <c r="E17" s="6">
        <f t="shared" si="1"/>
        <v>7</v>
      </c>
      <c r="F17" s="6" t="str">
        <f t="shared" si="2"/>
        <v>Q2-2023</v>
      </c>
      <c r="G17" t="s">
        <v>646</v>
      </c>
      <c r="H17" t="s">
        <v>650</v>
      </c>
      <c r="I17" t="s">
        <v>664</v>
      </c>
      <c r="J17" t="s">
        <v>705</v>
      </c>
      <c r="K17" t="s">
        <v>711</v>
      </c>
      <c r="L17" t="s">
        <v>718</v>
      </c>
      <c r="M17" t="s">
        <v>731</v>
      </c>
      <c r="N17">
        <f t="shared" si="3"/>
        <v>6.4879378700487142E-2</v>
      </c>
      <c r="O17" t="s">
        <v>749</v>
      </c>
      <c r="P17" s="4">
        <v>756.51</v>
      </c>
      <c r="Q17" s="4">
        <v>850.8</v>
      </c>
      <c r="R17" s="4" t="str">
        <f t="shared" si="4"/>
        <v>Profit</v>
      </c>
      <c r="S17">
        <v>7.3999999999999996E-2</v>
      </c>
      <c r="T17" s="4">
        <v>9</v>
      </c>
      <c r="U17">
        <f t="shared" si="5"/>
        <v>7090.5672000000004</v>
      </c>
      <c r="V17">
        <f t="shared" si="6"/>
        <v>6808.59</v>
      </c>
      <c r="W17">
        <f t="shared" si="7"/>
        <v>281.97720000000027</v>
      </c>
      <c r="X17">
        <f t="shared" si="8"/>
        <v>3.9767932810791252E-2</v>
      </c>
    </row>
    <row r="18" spans="1:24" x14ac:dyDescent="0.25">
      <c r="A18" t="s">
        <v>31</v>
      </c>
      <c r="B18" s="13">
        <v>45636</v>
      </c>
      <c r="C18" s="8">
        <v>45665</v>
      </c>
      <c r="D18" s="8">
        <f t="shared" si="0"/>
        <v>45665</v>
      </c>
      <c r="E18" s="6">
        <f t="shared" si="1"/>
        <v>29</v>
      </c>
      <c r="F18" s="6" t="str">
        <f t="shared" si="2"/>
        <v>Q4-2024</v>
      </c>
      <c r="G18" t="s">
        <v>649</v>
      </c>
      <c r="H18" t="s">
        <v>657</v>
      </c>
      <c r="I18" t="s">
        <v>673</v>
      </c>
      <c r="J18" t="s">
        <v>705</v>
      </c>
      <c r="K18" t="s">
        <v>707</v>
      </c>
      <c r="L18" t="s">
        <v>723</v>
      </c>
      <c r="M18" t="s">
        <v>728</v>
      </c>
      <c r="N18">
        <f t="shared" si="3"/>
        <v>0.2374305162056041</v>
      </c>
      <c r="O18" t="s">
        <v>750</v>
      </c>
      <c r="P18" s="4">
        <v>891.08</v>
      </c>
      <c r="Q18" s="4">
        <v>1040.0999999999999</v>
      </c>
      <c r="R18" s="4" t="str">
        <f t="shared" si="4"/>
        <v>Profit</v>
      </c>
      <c r="S18">
        <v>0.109</v>
      </c>
      <c r="T18" s="4">
        <v>28</v>
      </c>
      <c r="U18">
        <f t="shared" si="5"/>
        <v>25948.414799999995</v>
      </c>
      <c r="V18">
        <f t="shared" si="6"/>
        <v>24950.240000000002</v>
      </c>
      <c r="W18">
        <f t="shared" si="7"/>
        <v>998.17479999999341</v>
      </c>
      <c r="X18">
        <f t="shared" si="8"/>
        <v>3.8467660074556598E-2</v>
      </c>
    </row>
    <row r="19" spans="1:24" x14ac:dyDescent="0.25">
      <c r="A19" t="s">
        <v>32</v>
      </c>
      <c r="B19" s="13">
        <v>45908</v>
      </c>
      <c r="C19" s="8">
        <v>45916</v>
      </c>
      <c r="D19" s="8">
        <f t="shared" si="0"/>
        <v>45916</v>
      </c>
      <c r="E19" s="6">
        <f t="shared" si="1"/>
        <v>8</v>
      </c>
      <c r="F19" s="6" t="str">
        <f t="shared" si="2"/>
        <v>Q3-2025</v>
      </c>
      <c r="G19" t="s">
        <v>647</v>
      </c>
      <c r="H19" t="s">
        <v>652</v>
      </c>
      <c r="I19" t="s">
        <v>666</v>
      </c>
      <c r="J19" t="s">
        <v>701</v>
      </c>
      <c r="K19" t="s">
        <v>710</v>
      </c>
      <c r="L19" t="s">
        <v>712</v>
      </c>
      <c r="M19" t="s">
        <v>730</v>
      </c>
      <c r="N19">
        <f t="shared" si="3"/>
        <v>0.32361341680031036</v>
      </c>
      <c r="O19" t="s">
        <v>751</v>
      </c>
      <c r="P19" s="4">
        <v>1225.57</v>
      </c>
      <c r="Q19" s="4">
        <v>2705.57</v>
      </c>
      <c r="R19" s="4" t="str">
        <f t="shared" si="4"/>
        <v>Profit</v>
      </c>
      <c r="S19">
        <v>0.183</v>
      </c>
      <c r="T19" s="4">
        <v>16</v>
      </c>
      <c r="U19">
        <f t="shared" si="5"/>
        <v>35367.211040000002</v>
      </c>
      <c r="V19">
        <f t="shared" si="6"/>
        <v>19609.12</v>
      </c>
      <c r="W19">
        <f t="shared" si="7"/>
        <v>15758.091040000003</v>
      </c>
      <c r="X19">
        <f t="shared" si="8"/>
        <v>0.44555650775453404</v>
      </c>
    </row>
    <row r="20" spans="1:24" x14ac:dyDescent="0.25">
      <c r="A20" t="s">
        <v>33</v>
      </c>
      <c r="B20" s="13">
        <v>45858</v>
      </c>
      <c r="C20" s="8">
        <v>45874</v>
      </c>
      <c r="D20" s="8">
        <f t="shared" si="0"/>
        <v>45874</v>
      </c>
      <c r="E20" s="6">
        <f t="shared" si="1"/>
        <v>16</v>
      </c>
      <c r="F20" s="6" t="str">
        <f t="shared" si="2"/>
        <v>Q3-2025</v>
      </c>
      <c r="G20" t="s">
        <v>648</v>
      </c>
      <c r="H20" t="s">
        <v>655</v>
      </c>
      <c r="I20" t="s">
        <v>672</v>
      </c>
      <c r="J20" t="s">
        <v>706</v>
      </c>
      <c r="K20" t="s">
        <v>709</v>
      </c>
      <c r="L20" t="s">
        <v>715</v>
      </c>
      <c r="M20" t="s">
        <v>733</v>
      </c>
      <c r="N20">
        <f t="shared" si="3"/>
        <v>0.34858378504221799</v>
      </c>
      <c r="O20" t="s">
        <v>752</v>
      </c>
      <c r="P20" s="4">
        <v>1068.17</v>
      </c>
      <c r="Q20" s="4">
        <v>2375.37</v>
      </c>
      <c r="R20" s="4" t="str">
        <f t="shared" si="4"/>
        <v>Profit</v>
      </c>
      <c r="S20">
        <v>0.109</v>
      </c>
      <c r="T20" s="4">
        <v>18</v>
      </c>
      <c r="U20">
        <f t="shared" si="5"/>
        <v>38096.18406</v>
      </c>
      <c r="V20">
        <f t="shared" si="6"/>
        <v>19227.060000000001</v>
      </c>
      <c r="W20">
        <f t="shared" si="7"/>
        <v>18869.124059999998</v>
      </c>
      <c r="X20">
        <f t="shared" si="8"/>
        <v>0.49530220744108822</v>
      </c>
    </row>
    <row r="21" spans="1:24" x14ac:dyDescent="0.25">
      <c r="A21" t="s">
        <v>34</v>
      </c>
      <c r="B21" s="13">
        <v>45798</v>
      </c>
      <c r="C21" s="8">
        <v>45796</v>
      </c>
      <c r="D21" s="8">
        <f t="shared" si="0"/>
        <v>45805</v>
      </c>
      <c r="E21" s="6">
        <f t="shared" si="1"/>
        <v>7</v>
      </c>
      <c r="F21" s="6" t="str">
        <f t="shared" si="2"/>
        <v>Q2-2025</v>
      </c>
      <c r="G21" t="s">
        <v>649</v>
      </c>
      <c r="H21" t="s">
        <v>658</v>
      </c>
      <c r="I21" t="s">
        <v>674</v>
      </c>
      <c r="J21" t="s">
        <v>706</v>
      </c>
      <c r="K21" t="s">
        <v>708</v>
      </c>
      <c r="L21" t="s">
        <v>724</v>
      </c>
      <c r="M21" t="s">
        <v>731</v>
      </c>
      <c r="N21">
        <f t="shared" si="3"/>
        <v>0.35926669603104561</v>
      </c>
      <c r="O21" t="s">
        <v>753</v>
      </c>
      <c r="P21" s="4">
        <v>1015.16</v>
      </c>
      <c r="Q21" s="4">
        <v>2148.14</v>
      </c>
      <c r="R21" s="4" t="str">
        <f t="shared" si="4"/>
        <v>Profit</v>
      </c>
      <c r="S21">
        <v>3.7999999999999999E-2</v>
      </c>
      <c r="T21" s="4">
        <v>19</v>
      </c>
      <c r="U21">
        <f t="shared" si="5"/>
        <v>39263.702919999996</v>
      </c>
      <c r="V21">
        <f t="shared" si="6"/>
        <v>19288.04</v>
      </c>
      <c r="W21">
        <f t="shared" si="7"/>
        <v>19975.662919999995</v>
      </c>
      <c r="X21">
        <f t="shared" si="8"/>
        <v>0.50875647059322227</v>
      </c>
    </row>
    <row r="22" spans="1:24" x14ac:dyDescent="0.25">
      <c r="A22" t="s">
        <v>35</v>
      </c>
      <c r="B22" s="13">
        <v>45498</v>
      </c>
      <c r="C22" s="8">
        <v>45497</v>
      </c>
      <c r="D22" s="8">
        <f t="shared" si="0"/>
        <v>45505</v>
      </c>
      <c r="E22" s="6">
        <f t="shared" si="1"/>
        <v>7</v>
      </c>
      <c r="F22" s="6" t="str">
        <f t="shared" si="2"/>
        <v>Q3-2024</v>
      </c>
      <c r="G22" t="s">
        <v>646</v>
      </c>
      <c r="H22" t="s">
        <v>650</v>
      </c>
      <c r="I22" t="s">
        <v>675</v>
      </c>
      <c r="J22" t="s">
        <v>703</v>
      </c>
      <c r="K22" t="s">
        <v>711</v>
      </c>
      <c r="L22" t="s">
        <v>713</v>
      </c>
      <c r="M22" t="s">
        <v>731</v>
      </c>
      <c r="N22">
        <f t="shared" si="3"/>
        <v>0.21761045344518207</v>
      </c>
      <c r="O22" t="s">
        <v>754</v>
      </c>
      <c r="P22" s="4">
        <v>1494.4</v>
      </c>
      <c r="Q22" s="4">
        <v>3661.07</v>
      </c>
      <c r="R22" s="4" t="str">
        <f t="shared" si="4"/>
        <v>Profit</v>
      </c>
      <c r="S22">
        <v>7.1999999999999995E-2</v>
      </c>
      <c r="T22" s="4">
        <v>7</v>
      </c>
      <c r="U22">
        <f t="shared" si="5"/>
        <v>23782.310720000001</v>
      </c>
      <c r="V22">
        <f t="shared" si="6"/>
        <v>10460.800000000001</v>
      </c>
      <c r="W22">
        <f t="shared" si="7"/>
        <v>13321.51072</v>
      </c>
      <c r="X22">
        <f t="shared" si="8"/>
        <v>0.56014366630897339</v>
      </c>
    </row>
    <row r="23" spans="1:24" x14ac:dyDescent="0.25">
      <c r="A23" t="s">
        <v>36</v>
      </c>
      <c r="B23" s="13">
        <v>45057</v>
      </c>
      <c r="C23" s="8">
        <v>45074</v>
      </c>
      <c r="D23" s="8">
        <f t="shared" si="0"/>
        <v>45074</v>
      </c>
      <c r="E23" s="6">
        <f t="shared" si="1"/>
        <v>17</v>
      </c>
      <c r="F23" s="6" t="str">
        <f t="shared" si="2"/>
        <v>Q2-2023</v>
      </c>
      <c r="G23" t="s">
        <v>647</v>
      </c>
      <c r="H23" t="s">
        <v>659</v>
      </c>
      <c r="I23" t="s">
        <v>676</v>
      </c>
      <c r="J23" t="s">
        <v>706</v>
      </c>
      <c r="K23" t="s">
        <v>709</v>
      </c>
      <c r="L23" t="s">
        <v>718</v>
      </c>
      <c r="M23" t="s">
        <v>729</v>
      </c>
      <c r="N23">
        <f t="shared" si="3"/>
        <v>0.18211973667036263</v>
      </c>
      <c r="O23" t="s">
        <v>755</v>
      </c>
      <c r="P23" s="4">
        <v>1331.19</v>
      </c>
      <c r="Q23" s="4">
        <v>2903.09</v>
      </c>
      <c r="R23" s="4" t="str">
        <f t="shared" si="4"/>
        <v>Profit</v>
      </c>
      <c r="S23">
        <v>0.14299999999999999</v>
      </c>
      <c r="T23" s="4">
        <v>8</v>
      </c>
      <c r="U23">
        <f t="shared" si="5"/>
        <v>19903.585040000002</v>
      </c>
      <c r="V23">
        <f t="shared" si="6"/>
        <v>10649.52</v>
      </c>
      <c r="W23">
        <f t="shared" si="7"/>
        <v>9254.0650400000013</v>
      </c>
      <c r="X23">
        <f t="shared" si="8"/>
        <v>0.46494463290920784</v>
      </c>
    </row>
    <row r="24" spans="1:24" x14ac:dyDescent="0.25">
      <c r="A24" t="s">
        <v>37</v>
      </c>
      <c r="B24" s="13">
        <v>45822</v>
      </c>
      <c r="C24" s="8">
        <v>45837</v>
      </c>
      <c r="D24" s="8">
        <f t="shared" si="0"/>
        <v>45837</v>
      </c>
      <c r="E24" s="6">
        <f t="shared" si="1"/>
        <v>15</v>
      </c>
      <c r="F24" s="6" t="str">
        <f t="shared" si="2"/>
        <v>Q2-2025</v>
      </c>
      <c r="G24" t="s">
        <v>646</v>
      </c>
      <c r="H24" t="s">
        <v>651</v>
      </c>
      <c r="I24" t="s">
        <v>663</v>
      </c>
      <c r="J24" t="s">
        <v>704</v>
      </c>
      <c r="K24" t="s">
        <v>709</v>
      </c>
      <c r="L24" t="s">
        <v>724</v>
      </c>
      <c r="M24" t="s">
        <v>733</v>
      </c>
      <c r="N24">
        <f t="shared" si="3"/>
        <v>0.10007453928540418</v>
      </c>
      <c r="O24" t="s">
        <v>756</v>
      </c>
      <c r="P24" s="4">
        <v>730.99</v>
      </c>
      <c r="Q24" s="4">
        <v>1242.8399999999999</v>
      </c>
      <c r="R24" s="4" t="str">
        <f t="shared" si="4"/>
        <v>Profit</v>
      </c>
      <c r="S24">
        <v>0.12</v>
      </c>
      <c r="T24" s="4">
        <v>10</v>
      </c>
      <c r="U24">
        <f t="shared" si="5"/>
        <v>10936.992</v>
      </c>
      <c r="V24">
        <f t="shared" si="6"/>
        <v>7309.9</v>
      </c>
      <c r="W24">
        <f t="shared" si="7"/>
        <v>3627.0920000000006</v>
      </c>
      <c r="X24">
        <f t="shared" si="8"/>
        <v>0.33163524303574515</v>
      </c>
    </row>
    <row r="25" spans="1:24" x14ac:dyDescent="0.25">
      <c r="A25" t="s">
        <v>38</v>
      </c>
      <c r="B25" s="13">
        <v>45430</v>
      </c>
      <c r="C25" s="8">
        <v>45435</v>
      </c>
      <c r="D25" s="8">
        <f t="shared" si="0"/>
        <v>45435</v>
      </c>
      <c r="E25" s="6">
        <f t="shared" si="1"/>
        <v>5</v>
      </c>
      <c r="F25" s="6" t="str">
        <f t="shared" si="2"/>
        <v>Q2-2024</v>
      </c>
      <c r="G25" t="s">
        <v>648</v>
      </c>
      <c r="H25" t="s">
        <v>660</v>
      </c>
      <c r="I25" t="s">
        <v>677</v>
      </c>
      <c r="J25" t="s">
        <v>706</v>
      </c>
      <c r="K25" t="s">
        <v>707</v>
      </c>
      <c r="L25" t="s">
        <v>722</v>
      </c>
      <c r="M25" t="s">
        <v>731</v>
      </c>
      <c r="N25">
        <f t="shared" si="3"/>
        <v>0.1850627717203899</v>
      </c>
      <c r="O25" t="s">
        <v>757</v>
      </c>
      <c r="P25" s="4">
        <v>1274.5899999999999</v>
      </c>
      <c r="Q25" s="4">
        <v>2553.69</v>
      </c>
      <c r="R25" s="4" t="str">
        <f t="shared" si="4"/>
        <v>Profit</v>
      </c>
      <c r="S25">
        <v>0.01</v>
      </c>
      <c r="T25" s="4">
        <v>8</v>
      </c>
      <c r="U25">
        <f t="shared" si="5"/>
        <v>20225.2248</v>
      </c>
      <c r="V25">
        <f t="shared" si="6"/>
        <v>10196.719999999999</v>
      </c>
      <c r="W25">
        <f t="shared" si="7"/>
        <v>10028.504800000001</v>
      </c>
      <c r="X25">
        <f t="shared" si="8"/>
        <v>0.49584145042481803</v>
      </c>
    </row>
    <row r="26" spans="1:24" x14ac:dyDescent="0.25">
      <c r="A26" t="s">
        <v>39</v>
      </c>
      <c r="B26" s="13">
        <v>44964</v>
      </c>
      <c r="C26" s="8">
        <v>44969</v>
      </c>
      <c r="D26" s="8">
        <f t="shared" si="0"/>
        <v>44969</v>
      </c>
      <c r="E26" s="6">
        <f t="shared" si="1"/>
        <v>5</v>
      </c>
      <c r="F26" s="6" t="str">
        <f t="shared" si="2"/>
        <v>Q1-2023</v>
      </c>
      <c r="G26" t="s">
        <v>648</v>
      </c>
      <c r="H26" t="s">
        <v>655</v>
      </c>
      <c r="I26" t="s">
        <v>670</v>
      </c>
      <c r="J26" t="s">
        <v>702</v>
      </c>
      <c r="K26" t="s">
        <v>708</v>
      </c>
      <c r="L26" t="s">
        <v>725</v>
      </c>
      <c r="M26" t="s">
        <v>727</v>
      </c>
      <c r="N26">
        <f t="shared" si="3"/>
        <v>0.22778645801921457</v>
      </c>
      <c r="O26" t="s">
        <v>758</v>
      </c>
      <c r="P26" s="4">
        <v>948.55</v>
      </c>
      <c r="Q26" s="4">
        <v>2089.16</v>
      </c>
      <c r="R26" s="4" t="str">
        <f t="shared" si="4"/>
        <v>Profit</v>
      </c>
      <c r="S26">
        <v>7.0000000000000001E-3</v>
      </c>
      <c r="T26" s="4">
        <v>12</v>
      </c>
      <c r="U26">
        <f t="shared" si="5"/>
        <v>24894.430559999997</v>
      </c>
      <c r="V26">
        <f t="shared" si="6"/>
        <v>11382.599999999999</v>
      </c>
      <c r="W26">
        <f t="shared" si="7"/>
        <v>13511.830559999999</v>
      </c>
      <c r="X26">
        <f t="shared" si="8"/>
        <v>0.54276519912492427</v>
      </c>
    </row>
    <row r="27" spans="1:24" x14ac:dyDescent="0.25">
      <c r="A27" t="s">
        <v>40</v>
      </c>
      <c r="B27" s="13">
        <v>45473</v>
      </c>
      <c r="C27" s="8">
        <v>45487</v>
      </c>
      <c r="D27" s="8">
        <f t="shared" si="0"/>
        <v>45487</v>
      </c>
      <c r="E27" s="6">
        <f t="shared" si="1"/>
        <v>14</v>
      </c>
      <c r="F27" s="6" t="str">
        <f t="shared" si="2"/>
        <v>Q2-2024</v>
      </c>
      <c r="G27" t="s">
        <v>648</v>
      </c>
      <c r="H27" t="s">
        <v>655</v>
      </c>
      <c r="I27" t="s">
        <v>672</v>
      </c>
      <c r="J27" t="s">
        <v>702</v>
      </c>
      <c r="K27" t="s">
        <v>707</v>
      </c>
      <c r="L27" t="s">
        <v>712</v>
      </c>
      <c r="M27" t="s">
        <v>733</v>
      </c>
      <c r="N27">
        <f t="shared" si="3"/>
        <v>7.8656893719540877E-2</v>
      </c>
      <c r="O27" t="s">
        <v>759</v>
      </c>
      <c r="P27" s="4">
        <v>1491.85</v>
      </c>
      <c r="Q27" s="4">
        <v>2583.02</v>
      </c>
      <c r="R27" s="4" t="str">
        <f t="shared" si="4"/>
        <v>Profit</v>
      </c>
      <c r="S27">
        <v>0.16800000000000001</v>
      </c>
      <c r="T27" s="4">
        <v>4</v>
      </c>
      <c r="U27">
        <f t="shared" si="5"/>
        <v>8596.2905599999995</v>
      </c>
      <c r="V27">
        <f t="shared" si="6"/>
        <v>5967.4</v>
      </c>
      <c r="W27">
        <f t="shared" si="7"/>
        <v>2628.8905599999998</v>
      </c>
      <c r="X27">
        <f t="shared" si="8"/>
        <v>0.30581685689321325</v>
      </c>
    </row>
    <row r="28" spans="1:24" x14ac:dyDescent="0.25">
      <c r="A28" t="s">
        <v>41</v>
      </c>
      <c r="B28" s="13">
        <v>45626</v>
      </c>
      <c r="C28" s="8">
        <v>45656</v>
      </c>
      <c r="D28" s="8">
        <f t="shared" si="0"/>
        <v>45656</v>
      </c>
      <c r="E28" s="6">
        <f t="shared" si="1"/>
        <v>30</v>
      </c>
      <c r="F28" s="6" t="str">
        <f t="shared" si="2"/>
        <v>Q4-2024</v>
      </c>
      <c r="G28" t="s">
        <v>649</v>
      </c>
      <c r="H28" t="s">
        <v>657</v>
      </c>
      <c r="I28" t="s">
        <v>673</v>
      </c>
      <c r="J28" t="s">
        <v>704</v>
      </c>
      <c r="K28" t="s">
        <v>709</v>
      </c>
      <c r="L28" t="s">
        <v>721</v>
      </c>
      <c r="M28" t="s">
        <v>728</v>
      </c>
      <c r="N28">
        <f t="shared" si="3"/>
        <v>1.6073975656439126E-2</v>
      </c>
      <c r="O28" t="s">
        <v>760</v>
      </c>
      <c r="P28" s="4">
        <v>117.64</v>
      </c>
      <c r="Q28" s="4">
        <v>175.67</v>
      </c>
      <c r="R28" s="4" t="str">
        <f t="shared" si="4"/>
        <v>Profit</v>
      </c>
      <c r="S28">
        <v>0</v>
      </c>
      <c r="T28" s="4">
        <v>10</v>
      </c>
      <c r="U28">
        <f t="shared" si="5"/>
        <v>1756.6999999999998</v>
      </c>
      <c r="V28">
        <f t="shared" si="6"/>
        <v>1176.4000000000001</v>
      </c>
      <c r="W28">
        <f t="shared" si="7"/>
        <v>580.29999999999973</v>
      </c>
      <c r="X28">
        <f t="shared" si="8"/>
        <v>0.33033528775545046</v>
      </c>
    </row>
    <row r="29" spans="1:24" x14ac:dyDescent="0.25">
      <c r="A29" t="s">
        <v>42</v>
      </c>
      <c r="B29" s="13">
        <v>45492</v>
      </c>
      <c r="C29" s="8">
        <v>45492</v>
      </c>
      <c r="D29" s="8">
        <f t="shared" si="0"/>
        <v>45492</v>
      </c>
      <c r="E29" s="6">
        <f t="shared" si="1"/>
        <v>0</v>
      </c>
      <c r="F29" s="6" t="str">
        <f t="shared" si="2"/>
        <v>Q3-2024</v>
      </c>
      <c r="G29" t="s">
        <v>646</v>
      </c>
      <c r="H29" t="s">
        <v>650</v>
      </c>
      <c r="I29" t="s">
        <v>662</v>
      </c>
      <c r="J29" t="s">
        <v>705</v>
      </c>
      <c r="K29" t="s">
        <v>707</v>
      </c>
      <c r="L29" t="s">
        <v>720</v>
      </c>
      <c r="M29" t="s">
        <v>730</v>
      </c>
      <c r="N29">
        <f t="shared" si="3"/>
        <v>3.6423860334948863E-2</v>
      </c>
      <c r="O29" t="s">
        <v>761</v>
      </c>
      <c r="P29" s="4">
        <v>857.24</v>
      </c>
      <c r="Q29" s="4">
        <v>758.23</v>
      </c>
      <c r="R29" s="4" t="str">
        <f t="shared" si="4"/>
        <v>Loss</v>
      </c>
      <c r="S29">
        <v>0.125</v>
      </c>
      <c r="T29" s="4">
        <v>6</v>
      </c>
      <c r="U29">
        <f t="shared" si="5"/>
        <v>3980.7075</v>
      </c>
      <c r="V29">
        <f t="shared" si="6"/>
        <v>5143.4400000000005</v>
      </c>
      <c r="W29">
        <f t="shared" si="7"/>
        <v>-1162.7325000000005</v>
      </c>
      <c r="X29">
        <f t="shared" si="8"/>
        <v>-0.29209192084572921</v>
      </c>
    </row>
    <row r="30" spans="1:24" x14ac:dyDescent="0.25">
      <c r="A30" t="s">
        <v>43</v>
      </c>
      <c r="B30" s="13">
        <v>45030</v>
      </c>
      <c r="C30" s="8">
        <v>45060</v>
      </c>
      <c r="D30" s="8">
        <f t="shared" si="0"/>
        <v>45060</v>
      </c>
      <c r="E30" s="6">
        <f t="shared" si="1"/>
        <v>30</v>
      </c>
      <c r="F30" s="6" t="str">
        <f t="shared" si="2"/>
        <v>Q2-2023</v>
      </c>
      <c r="G30" t="s">
        <v>646</v>
      </c>
      <c r="H30" t="s">
        <v>650</v>
      </c>
      <c r="I30" t="s">
        <v>678</v>
      </c>
      <c r="J30" t="s">
        <v>704</v>
      </c>
      <c r="K30" t="s">
        <v>709</v>
      </c>
      <c r="L30" t="s">
        <v>724</v>
      </c>
      <c r="M30" t="s">
        <v>730</v>
      </c>
      <c r="N30">
        <f t="shared" si="3"/>
        <v>3.5806160151862922E-2</v>
      </c>
      <c r="O30" t="s">
        <v>762</v>
      </c>
      <c r="P30" s="4">
        <v>209.25</v>
      </c>
      <c r="Q30" s="4">
        <v>434.8</v>
      </c>
      <c r="R30" s="4" t="str">
        <f t="shared" si="4"/>
        <v>Profit</v>
      </c>
      <c r="S30">
        <v>0</v>
      </c>
      <c r="T30" s="4">
        <v>9</v>
      </c>
      <c r="U30">
        <f t="shared" si="5"/>
        <v>3913.2000000000003</v>
      </c>
      <c r="V30">
        <f t="shared" si="6"/>
        <v>1883.25</v>
      </c>
      <c r="W30">
        <f t="shared" si="7"/>
        <v>2029.9500000000003</v>
      </c>
      <c r="X30">
        <f t="shared" si="8"/>
        <v>0.51874425022999082</v>
      </c>
    </row>
    <row r="31" spans="1:24" x14ac:dyDescent="0.25">
      <c r="A31" t="s">
        <v>44</v>
      </c>
      <c r="B31" s="13">
        <v>45754</v>
      </c>
      <c r="C31" s="8">
        <v>45758</v>
      </c>
      <c r="D31" s="8">
        <f t="shared" si="0"/>
        <v>45758</v>
      </c>
      <c r="E31" s="6">
        <f t="shared" si="1"/>
        <v>4</v>
      </c>
      <c r="F31" s="6" t="str">
        <f t="shared" si="2"/>
        <v>Q2-2025</v>
      </c>
      <c r="G31" t="s">
        <v>649</v>
      </c>
      <c r="H31" t="s">
        <v>657</v>
      </c>
      <c r="I31" t="s">
        <v>679</v>
      </c>
      <c r="J31" t="s">
        <v>702</v>
      </c>
      <c r="K31" t="s">
        <v>707</v>
      </c>
      <c r="L31" t="s">
        <v>718</v>
      </c>
      <c r="M31" t="s">
        <v>729</v>
      </c>
      <c r="N31">
        <f t="shared" si="3"/>
        <v>0.18377177463195096</v>
      </c>
      <c r="O31" t="s">
        <v>763</v>
      </c>
      <c r="P31" s="4">
        <v>754.77</v>
      </c>
      <c r="Q31" s="4">
        <v>1666.18</v>
      </c>
      <c r="R31" s="4" t="str">
        <f t="shared" si="4"/>
        <v>Profit</v>
      </c>
      <c r="S31">
        <v>0.13900000000000001</v>
      </c>
      <c r="T31" s="4">
        <v>14</v>
      </c>
      <c r="U31">
        <f t="shared" si="5"/>
        <v>20084.133720000002</v>
      </c>
      <c r="V31">
        <f t="shared" si="6"/>
        <v>10566.779999999999</v>
      </c>
      <c r="W31">
        <f t="shared" si="7"/>
        <v>9517.3537200000028</v>
      </c>
      <c r="X31">
        <f t="shared" si="8"/>
        <v>0.47387424584424653</v>
      </c>
    </row>
    <row r="32" spans="1:24" x14ac:dyDescent="0.25">
      <c r="A32" t="s">
        <v>45</v>
      </c>
      <c r="B32" s="13">
        <v>45653</v>
      </c>
      <c r="C32" s="8">
        <v>45672</v>
      </c>
      <c r="D32" s="8">
        <f t="shared" si="0"/>
        <v>45672</v>
      </c>
      <c r="E32" s="6">
        <f t="shared" si="1"/>
        <v>19</v>
      </c>
      <c r="F32" s="6" t="str">
        <f t="shared" si="2"/>
        <v>Q4-2024</v>
      </c>
      <c r="G32" t="s">
        <v>647</v>
      </c>
      <c r="H32" t="s">
        <v>654</v>
      </c>
      <c r="I32" t="s">
        <v>680</v>
      </c>
      <c r="J32" t="s">
        <v>703</v>
      </c>
      <c r="K32" t="s">
        <v>710</v>
      </c>
      <c r="L32" t="s">
        <v>715</v>
      </c>
      <c r="M32" t="s">
        <v>727</v>
      </c>
      <c r="N32">
        <f t="shared" si="3"/>
        <v>8.9724547627161158E-2</v>
      </c>
      <c r="O32" t="s">
        <v>764</v>
      </c>
      <c r="P32" s="4">
        <v>495.59</v>
      </c>
      <c r="Q32" s="4">
        <v>631.78</v>
      </c>
      <c r="R32" s="4" t="str">
        <f t="shared" si="4"/>
        <v>Profit</v>
      </c>
      <c r="S32">
        <v>8.6999999999999994E-2</v>
      </c>
      <c r="T32" s="4">
        <v>17</v>
      </c>
      <c r="U32">
        <f t="shared" si="5"/>
        <v>9805.8573800000013</v>
      </c>
      <c r="V32">
        <f t="shared" si="6"/>
        <v>8425.0299999999988</v>
      </c>
      <c r="W32">
        <f t="shared" si="7"/>
        <v>1380.8273800000024</v>
      </c>
      <c r="X32">
        <f t="shared" si="8"/>
        <v>0.14081658813601899</v>
      </c>
    </row>
    <row r="33" spans="1:24" x14ac:dyDescent="0.25">
      <c r="A33" t="s">
        <v>46</v>
      </c>
      <c r="B33" s="13">
        <v>44980</v>
      </c>
      <c r="C33" s="8">
        <v>45010</v>
      </c>
      <c r="D33" s="8">
        <f t="shared" si="0"/>
        <v>45010</v>
      </c>
      <c r="E33" s="6">
        <f t="shared" si="1"/>
        <v>30</v>
      </c>
      <c r="F33" s="6" t="str">
        <f t="shared" si="2"/>
        <v>Q1-2023</v>
      </c>
      <c r="G33" t="s">
        <v>648</v>
      </c>
      <c r="H33" t="s">
        <v>653</v>
      </c>
      <c r="I33" t="s">
        <v>681</v>
      </c>
      <c r="J33" t="s">
        <v>706</v>
      </c>
      <c r="K33" t="s">
        <v>708</v>
      </c>
      <c r="L33" t="s">
        <v>726</v>
      </c>
      <c r="M33" t="s">
        <v>730</v>
      </c>
      <c r="N33">
        <f t="shared" si="3"/>
        <v>0.23927837393219925</v>
      </c>
      <c r="O33" t="s">
        <v>765</v>
      </c>
      <c r="P33" s="4">
        <v>1242.6600000000001</v>
      </c>
      <c r="Q33" s="4">
        <v>1794.07</v>
      </c>
      <c r="R33" s="4" t="str">
        <f t="shared" si="4"/>
        <v>Profit</v>
      </c>
      <c r="S33">
        <v>8.8999999999999996E-2</v>
      </c>
      <c r="T33" s="4">
        <v>16</v>
      </c>
      <c r="U33">
        <f t="shared" si="5"/>
        <v>26150.364320000001</v>
      </c>
      <c r="V33">
        <f t="shared" si="6"/>
        <v>19882.560000000001</v>
      </c>
      <c r="W33">
        <f t="shared" si="7"/>
        <v>6267.8043199999993</v>
      </c>
      <c r="X33">
        <f t="shared" si="8"/>
        <v>0.23968325042440553</v>
      </c>
    </row>
    <row r="34" spans="1:24" x14ac:dyDescent="0.25">
      <c r="A34" t="s">
        <v>47</v>
      </c>
      <c r="B34" s="13">
        <v>45862</v>
      </c>
      <c r="C34" s="8">
        <v>45875</v>
      </c>
      <c r="D34" s="8">
        <f t="shared" si="0"/>
        <v>45875</v>
      </c>
      <c r="E34" s="6">
        <f t="shared" si="1"/>
        <v>13</v>
      </c>
      <c r="F34" s="6" t="str">
        <f t="shared" si="2"/>
        <v>Q3-2025</v>
      </c>
      <c r="G34" t="s">
        <v>646</v>
      </c>
      <c r="H34" t="s">
        <v>661</v>
      </c>
      <c r="I34" t="s">
        <v>682</v>
      </c>
      <c r="J34" t="s">
        <v>702</v>
      </c>
      <c r="K34" t="s">
        <v>709</v>
      </c>
      <c r="L34" t="s">
        <v>726</v>
      </c>
      <c r="M34" t="s">
        <v>729</v>
      </c>
      <c r="N34">
        <f t="shared" si="3"/>
        <v>8.8274512517225012E-2</v>
      </c>
      <c r="O34" t="s">
        <v>766</v>
      </c>
      <c r="P34" s="4">
        <v>1463.9</v>
      </c>
      <c r="Q34" s="4">
        <v>2633.02</v>
      </c>
      <c r="R34" s="4" t="str">
        <f t="shared" si="4"/>
        <v>Profit</v>
      </c>
      <c r="S34">
        <v>8.4000000000000005E-2</v>
      </c>
      <c r="T34" s="4">
        <v>4</v>
      </c>
      <c r="U34">
        <f t="shared" si="5"/>
        <v>9647.3852800000004</v>
      </c>
      <c r="V34">
        <f t="shared" si="6"/>
        <v>5855.6</v>
      </c>
      <c r="W34">
        <f t="shared" si="7"/>
        <v>3791.7852800000001</v>
      </c>
      <c r="X34">
        <f t="shared" si="8"/>
        <v>0.39303761277791527</v>
      </c>
    </row>
    <row r="35" spans="1:24" x14ac:dyDescent="0.25">
      <c r="A35" t="s">
        <v>48</v>
      </c>
      <c r="B35" s="13">
        <v>45400</v>
      </c>
      <c r="C35" s="8">
        <v>45420</v>
      </c>
      <c r="D35" s="8">
        <f t="shared" si="0"/>
        <v>45420</v>
      </c>
      <c r="E35" s="6">
        <f t="shared" si="1"/>
        <v>20</v>
      </c>
      <c r="F35" s="6" t="str">
        <f t="shared" si="2"/>
        <v>Q2-2024</v>
      </c>
      <c r="G35" t="s">
        <v>649</v>
      </c>
      <c r="H35" t="s">
        <v>658</v>
      </c>
      <c r="I35" t="s">
        <v>683</v>
      </c>
      <c r="J35" t="s">
        <v>703</v>
      </c>
      <c r="K35" t="s">
        <v>1422</v>
      </c>
      <c r="L35" t="s">
        <v>726</v>
      </c>
      <c r="M35" t="s">
        <v>731</v>
      </c>
      <c r="N35">
        <f t="shared" si="3"/>
        <v>0.12095055912485946</v>
      </c>
      <c r="O35" t="s">
        <v>767</v>
      </c>
      <c r="P35" s="4">
        <v>645.33000000000004</v>
      </c>
      <c r="Q35" s="4">
        <v>1321.85</v>
      </c>
      <c r="R35" s="4" t="str">
        <f t="shared" si="4"/>
        <v>Profit</v>
      </c>
      <c r="S35">
        <v>0</v>
      </c>
      <c r="T35" s="4">
        <v>10</v>
      </c>
      <c r="U35">
        <f t="shared" si="5"/>
        <v>13218.5</v>
      </c>
      <c r="V35">
        <f t="shared" si="6"/>
        <v>6453.3</v>
      </c>
      <c r="W35">
        <f t="shared" si="7"/>
        <v>6765.2</v>
      </c>
      <c r="X35">
        <f t="shared" si="8"/>
        <v>0.51179785906116426</v>
      </c>
    </row>
    <row r="36" spans="1:24" x14ac:dyDescent="0.25">
      <c r="A36" t="s">
        <v>49</v>
      </c>
      <c r="B36" s="13">
        <v>45527</v>
      </c>
      <c r="C36" s="8">
        <v>45525</v>
      </c>
      <c r="D36" s="8">
        <f t="shared" si="0"/>
        <v>45534</v>
      </c>
      <c r="E36" s="6">
        <f t="shared" si="1"/>
        <v>7</v>
      </c>
      <c r="F36" s="6" t="str">
        <f t="shared" si="2"/>
        <v>Q3-2024</v>
      </c>
      <c r="G36" t="s">
        <v>646</v>
      </c>
      <c r="H36" t="s">
        <v>661</v>
      </c>
      <c r="I36" t="s">
        <v>682</v>
      </c>
      <c r="J36" t="s">
        <v>702</v>
      </c>
      <c r="K36" t="s">
        <v>707</v>
      </c>
      <c r="L36" t="s">
        <v>718</v>
      </c>
      <c r="M36" t="s">
        <v>727</v>
      </c>
      <c r="N36">
        <f t="shared" si="3"/>
        <v>0.25008889967890513</v>
      </c>
      <c r="O36" t="s">
        <v>768</v>
      </c>
      <c r="P36" s="4">
        <v>1432.52</v>
      </c>
      <c r="Q36" s="4">
        <v>3036.87</v>
      </c>
      <c r="R36" s="4" t="str">
        <f t="shared" si="4"/>
        <v>Profit</v>
      </c>
      <c r="S36">
        <v>0</v>
      </c>
      <c r="T36" s="4">
        <v>9</v>
      </c>
      <c r="U36">
        <f t="shared" si="5"/>
        <v>27331.829999999998</v>
      </c>
      <c r="V36">
        <f t="shared" si="6"/>
        <v>12892.68</v>
      </c>
      <c r="W36">
        <f t="shared" si="7"/>
        <v>14439.149999999998</v>
      </c>
      <c r="X36">
        <f t="shared" si="8"/>
        <v>0.52829064135112791</v>
      </c>
    </row>
    <row r="37" spans="1:24" x14ac:dyDescent="0.25">
      <c r="A37" t="s">
        <v>50</v>
      </c>
      <c r="B37" s="13">
        <v>45012</v>
      </c>
      <c r="C37" s="8">
        <v>45038</v>
      </c>
      <c r="D37" s="8">
        <f t="shared" si="0"/>
        <v>45038</v>
      </c>
      <c r="E37" s="6">
        <f t="shared" si="1"/>
        <v>26</v>
      </c>
      <c r="F37" s="6" t="str">
        <f t="shared" si="2"/>
        <v>Q1-2023</v>
      </c>
      <c r="G37" t="s">
        <v>647</v>
      </c>
      <c r="H37" t="s">
        <v>654</v>
      </c>
      <c r="I37" t="s">
        <v>680</v>
      </c>
      <c r="J37" t="s">
        <v>703</v>
      </c>
      <c r="K37" t="s">
        <v>709</v>
      </c>
      <c r="L37" t="s">
        <v>713</v>
      </c>
      <c r="M37" t="s">
        <v>728</v>
      </c>
      <c r="N37">
        <f t="shared" si="3"/>
        <v>6.0680189674448153E-2</v>
      </c>
      <c r="O37" t="s">
        <v>769</v>
      </c>
      <c r="P37" s="4">
        <v>178.53</v>
      </c>
      <c r="Q37" s="4">
        <v>199.37</v>
      </c>
      <c r="R37" s="4" t="str">
        <f t="shared" si="4"/>
        <v>Profit</v>
      </c>
      <c r="S37">
        <v>0.10100000000000001</v>
      </c>
      <c r="T37" s="4">
        <v>37</v>
      </c>
      <c r="U37">
        <f t="shared" si="5"/>
        <v>6631.6443100000006</v>
      </c>
      <c r="V37">
        <f t="shared" si="6"/>
        <v>6605.61</v>
      </c>
      <c r="W37">
        <f t="shared" si="7"/>
        <v>26.034310000000914</v>
      </c>
      <c r="X37">
        <f t="shared" si="8"/>
        <v>3.9257699573457538E-3</v>
      </c>
    </row>
    <row r="38" spans="1:24" x14ac:dyDescent="0.25">
      <c r="A38" t="s">
        <v>51</v>
      </c>
      <c r="B38" s="13">
        <v>45358</v>
      </c>
      <c r="C38" s="8">
        <v>45376</v>
      </c>
      <c r="D38" s="8">
        <f t="shared" si="0"/>
        <v>45376</v>
      </c>
      <c r="E38" s="6">
        <f t="shared" si="1"/>
        <v>18</v>
      </c>
      <c r="F38" s="6" t="str">
        <f t="shared" si="2"/>
        <v>Q1-2024</v>
      </c>
      <c r="G38" t="s">
        <v>649</v>
      </c>
      <c r="H38" t="s">
        <v>656</v>
      </c>
      <c r="I38" t="s">
        <v>684</v>
      </c>
      <c r="J38" t="s">
        <v>701</v>
      </c>
      <c r="K38" t="s">
        <v>708</v>
      </c>
      <c r="L38" t="s">
        <v>717</v>
      </c>
      <c r="M38" t="s">
        <v>727</v>
      </c>
      <c r="N38">
        <f t="shared" si="3"/>
        <v>0.17346184017749286</v>
      </c>
      <c r="O38" t="s">
        <v>770</v>
      </c>
      <c r="P38" s="4">
        <v>712.84</v>
      </c>
      <c r="Q38" s="4">
        <v>927.51</v>
      </c>
      <c r="R38" s="4" t="str">
        <f t="shared" si="4"/>
        <v>Profit</v>
      </c>
      <c r="S38">
        <v>0.24299999999999999</v>
      </c>
      <c r="T38" s="4">
        <v>27</v>
      </c>
      <c r="U38">
        <f t="shared" si="5"/>
        <v>18957.37689</v>
      </c>
      <c r="V38">
        <f t="shared" si="6"/>
        <v>19246.68</v>
      </c>
      <c r="W38">
        <f t="shared" si="7"/>
        <v>-289.30311000000074</v>
      </c>
      <c r="X38">
        <f t="shared" si="8"/>
        <v>-1.5260714163076427E-2</v>
      </c>
    </row>
    <row r="39" spans="1:24" x14ac:dyDescent="0.25">
      <c r="A39" t="s">
        <v>52</v>
      </c>
      <c r="B39" s="13">
        <v>45832</v>
      </c>
      <c r="C39" s="8">
        <v>45848</v>
      </c>
      <c r="D39" s="8">
        <f t="shared" si="0"/>
        <v>45848</v>
      </c>
      <c r="E39" s="6">
        <f t="shared" si="1"/>
        <v>16</v>
      </c>
      <c r="F39" s="6" t="str">
        <f t="shared" si="2"/>
        <v>Q2-2025</v>
      </c>
      <c r="G39" t="s">
        <v>647</v>
      </c>
      <c r="H39" t="s">
        <v>659</v>
      </c>
      <c r="I39" t="s">
        <v>685</v>
      </c>
      <c r="J39" t="s">
        <v>706</v>
      </c>
      <c r="K39" t="s">
        <v>711</v>
      </c>
      <c r="L39" t="s">
        <v>725</v>
      </c>
      <c r="M39" t="s">
        <v>727</v>
      </c>
      <c r="N39">
        <f t="shared" si="3"/>
        <v>0.10975682364963875</v>
      </c>
      <c r="O39" t="s">
        <v>771</v>
      </c>
      <c r="P39" s="4">
        <v>757.19</v>
      </c>
      <c r="Q39" s="4">
        <v>1735.41</v>
      </c>
      <c r="R39" s="4" t="str">
        <f t="shared" si="4"/>
        <v>Profit</v>
      </c>
      <c r="S39">
        <v>0.13600000000000001</v>
      </c>
      <c r="T39" s="4">
        <v>8</v>
      </c>
      <c r="U39">
        <f t="shared" si="5"/>
        <v>11995.153920000001</v>
      </c>
      <c r="V39">
        <f t="shared" si="6"/>
        <v>6057.52</v>
      </c>
      <c r="W39">
        <f t="shared" si="7"/>
        <v>5937.6339200000002</v>
      </c>
      <c r="X39">
        <f t="shared" si="8"/>
        <v>0.4950027285685718</v>
      </c>
    </row>
    <row r="40" spans="1:24" x14ac:dyDescent="0.25">
      <c r="A40" t="s">
        <v>53</v>
      </c>
      <c r="B40" s="13">
        <v>45401</v>
      </c>
      <c r="C40" s="8">
        <v>45418</v>
      </c>
      <c r="D40" s="8">
        <f t="shared" si="0"/>
        <v>45418</v>
      </c>
      <c r="E40" s="6">
        <f t="shared" si="1"/>
        <v>17</v>
      </c>
      <c r="F40" s="6" t="str">
        <f t="shared" si="2"/>
        <v>Q2-2024</v>
      </c>
      <c r="G40" t="s">
        <v>646</v>
      </c>
      <c r="H40" t="s">
        <v>651</v>
      </c>
      <c r="I40" t="s">
        <v>663</v>
      </c>
      <c r="J40" t="s">
        <v>703</v>
      </c>
      <c r="K40" t="s">
        <v>708</v>
      </c>
      <c r="L40" t="s">
        <v>720</v>
      </c>
      <c r="M40" t="s">
        <v>728</v>
      </c>
      <c r="N40">
        <f t="shared" si="3"/>
        <v>0.13696084095506503</v>
      </c>
      <c r="O40" t="s">
        <v>772</v>
      </c>
      <c r="P40" s="4">
        <v>865.33</v>
      </c>
      <c r="Q40" s="4">
        <v>1395.64</v>
      </c>
      <c r="R40" s="4" t="str">
        <f t="shared" si="4"/>
        <v>Profit</v>
      </c>
      <c r="S40">
        <v>0.17499999999999999</v>
      </c>
      <c r="T40" s="4">
        <v>13</v>
      </c>
      <c r="U40">
        <f t="shared" si="5"/>
        <v>14968.239</v>
      </c>
      <c r="V40">
        <f t="shared" si="6"/>
        <v>11249.29</v>
      </c>
      <c r="W40">
        <f t="shared" si="7"/>
        <v>3718.9489999999987</v>
      </c>
      <c r="X40">
        <f t="shared" si="8"/>
        <v>0.24845601409758347</v>
      </c>
    </row>
    <row r="41" spans="1:24" x14ac:dyDescent="0.25">
      <c r="A41" t="s">
        <v>54</v>
      </c>
      <c r="B41" s="13">
        <v>45094</v>
      </c>
      <c r="C41" s="8">
        <v>45101</v>
      </c>
      <c r="D41" s="8">
        <f t="shared" si="0"/>
        <v>45101</v>
      </c>
      <c r="E41" s="6">
        <f t="shared" si="1"/>
        <v>7</v>
      </c>
      <c r="F41" s="6" t="str">
        <f t="shared" si="2"/>
        <v>Q2-2023</v>
      </c>
      <c r="G41" t="s">
        <v>648</v>
      </c>
      <c r="H41" t="s">
        <v>660</v>
      </c>
      <c r="I41" t="s">
        <v>686</v>
      </c>
      <c r="J41" t="s">
        <v>701</v>
      </c>
      <c r="K41" t="s">
        <v>707</v>
      </c>
      <c r="L41" t="s">
        <v>714</v>
      </c>
      <c r="M41" t="s">
        <v>728</v>
      </c>
      <c r="N41">
        <f t="shared" si="3"/>
        <v>3.2594461230447375E-2</v>
      </c>
      <c r="O41" t="s">
        <v>773</v>
      </c>
      <c r="P41" s="4">
        <v>313.99</v>
      </c>
      <c r="Q41" s="4">
        <v>454.42</v>
      </c>
      <c r="R41" s="4" t="str">
        <f t="shared" si="4"/>
        <v>Profit</v>
      </c>
      <c r="S41">
        <v>0.129</v>
      </c>
      <c r="T41" s="4">
        <v>9</v>
      </c>
      <c r="U41">
        <f t="shared" si="5"/>
        <v>3562.1983800000003</v>
      </c>
      <c r="V41">
        <f t="shared" si="6"/>
        <v>2825.91</v>
      </c>
      <c r="W41">
        <f t="shared" si="7"/>
        <v>736.28838000000042</v>
      </c>
      <c r="X41">
        <f t="shared" si="8"/>
        <v>0.20669493988147858</v>
      </c>
    </row>
    <row r="42" spans="1:24" x14ac:dyDescent="0.25">
      <c r="A42" t="s">
        <v>55</v>
      </c>
      <c r="B42" s="13">
        <v>45531</v>
      </c>
      <c r="C42" s="8">
        <v>45554</v>
      </c>
      <c r="D42" s="8">
        <f t="shared" si="0"/>
        <v>45554</v>
      </c>
      <c r="E42" s="6">
        <f t="shared" si="1"/>
        <v>23</v>
      </c>
      <c r="F42" s="6" t="str">
        <f t="shared" si="2"/>
        <v>Q3-2024</v>
      </c>
      <c r="G42" t="s">
        <v>649</v>
      </c>
      <c r="H42" t="s">
        <v>656</v>
      </c>
      <c r="I42" t="s">
        <v>671</v>
      </c>
      <c r="J42" t="s">
        <v>705</v>
      </c>
      <c r="K42" t="s">
        <v>711</v>
      </c>
      <c r="L42" t="s">
        <v>726</v>
      </c>
      <c r="M42" t="s">
        <v>732</v>
      </c>
      <c r="N42">
        <f t="shared" si="3"/>
        <v>0.37613122223821283</v>
      </c>
      <c r="O42" t="s">
        <v>774</v>
      </c>
      <c r="P42" s="4">
        <v>1024.01</v>
      </c>
      <c r="Q42" s="4">
        <v>1580.97</v>
      </c>
      <c r="R42" s="4" t="str">
        <f t="shared" si="4"/>
        <v>Profit</v>
      </c>
      <c r="S42">
        <v>3.6999999999999998E-2</v>
      </c>
      <c r="T42" s="4">
        <v>27</v>
      </c>
      <c r="U42">
        <f t="shared" si="5"/>
        <v>41106.800970000004</v>
      </c>
      <c r="V42">
        <f t="shared" si="6"/>
        <v>27648.27</v>
      </c>
      <c r="W42">
        <f t="shared" si="7"/>
        <v>13458.530970000003</v>
      </c>
      <c r="X42">
        <f t="shared" si="8"/>
        <v>0.3274039976942531</v>
      </c>
    </row>
    <row r="43" spans="1:24" x14ac:dyDescent="0.25">
      <c r="A43" t="s">
        <v>56</v>
      </c>
      <c r="B43" s="13">
        <v>45302</v>
      </c>
      <c r="C43" s="8">
        <v>45324</v>
      </c>
      <c r="D43" s="8">
        <f t="shared" si="0"/>
        <v>45324</v>
      </c>
      <c r="E43" s="6">
        <f t="shared" si="1"/>
        <v>22</v>
      </c>
      <c r="F43" s="6" t="str">
        <f t="shared" si="2"/>
        <v>Q1-2024</v>
      </c>
      <c r="G43" t="s">
        <v>646</v>
      </c>
      <c r="H43" t="s">
        <v>661</v>
      </c>
      <c r="I43" t="s">
        <v>687</v>
      </c>
      <c r="J43" t="s">
        <v>704</v>
      </c>
      <c r="K43" t="s">
        <v>708</v>
      </c>
      <c r="L43" t="s">
        <v>723</v>
      </c>
      <c r="M43" t="s">
        <v>729</v>
      </c>
      <c r="N43">
        <f t="shared" si="3"/>
        <v>9.6613496739722249E-2</v>
      </c>
      <c r="O43" t="s">
        <v>775</v>
      </c>
      <c r="P43" s="4">
        <v>1206.2</v>
      </c>
      <c r="Q43" s="4">
        <v>1759.79</v>
      </c>
      <c r="R43" s="4" t="str">
        <f t="shared" si="4"/>
        <v>Profit</v>
      </c>
      <c r="S43">
        <v>0</v>
      </c>
      <c r="T43" s="4">
        <v>6</v>
      </c>
      <c r="U43">
        <f t="shared" si="5"/>
        <v>10558.74</v>
      </c>
      <c r="V43">
        <f t="shared" si="6"/>
        <v>7237.2000000000007</v>
      </c>
      <c r="W43">
        <f t="shared" si="7"/>
        <v>3321.5399999999991</v>
      </c>
      <c r="X43">
        <f t="shared" si="8"/>
        <v>0.31457730751964713</v>
      </c>
    </row>
    <row r="44" spans="1:24" x14ac:dyDescent="0.25">
      <c r="A44" t="s">
        <v>57</v>
      </c>
      <c r="B44" s="13">
        <v>45590</v>
      </c>
      <c r="C44" s="8">
        <v>45610</v>
      </c>
      <c r="D44" s="8">
        <f t="shared" si="0"/>
        <v>45610</v>
      </c>
      <c r="E44" s="6">
        <f t="shared" si="1"/>
        <v>20</v>
      </c>
      <c r="F44" s="6" t="str">
        <f t="shared" si="2"/>
        <v>Q4-2024</v>
      </c>
      <c r="G44" t="s">
        <v>646</v>
      </c>
      <c r="H44" t="s">
        <v>650</v>
      </c>
      <c r="I44" t="s">
        <v>675</v>
      </c>
      <c r="J44" t="s">
        <v>701</v>
      </c>
      <c r="K44" t="s">
        <v>711</v>
      </c>
      <c r="L44" t="s">
        <v>722</v>
      </c>
      <c r="M44" t="s">
        <v>728</v>
      </c>
      <c r="N44">
        <f t="shared" si="3"/>
        <v>0.27996155123506183</v>
      </c>
      <c r="O44" t="s">
        <v>776</v>
      </c>
      <c r="P44" s="4">
        <v>1396.48</v>
      </c>
      <c r="Q44" s="4">
        <v>3204.5</v>
      </c>
      <c r="R44" s="4" t="str">
        <f t="shared" si="4"/>
        <v>Profit</v>
      </c>
      <c r="S44">
        <v>0.318</v>
      </c>
      <c r="T44" s="4">
        <v>14</v>
      </c>
      <c r="U44">
        <f t="shared" si="5"/>
        <v>30596.565999999999</v>
      </c>
      <c r="V44">
        <f t="shared" si="6"/>
        <v>19550.72</v>
      </c>
      <c r="W44">
        <f t="shared" si="7"/>
        <v>11045.845999999998</v>
      </c>
      <c r="X44">
        <f t="shared" si="8"/>
        <v>0.36101587348070363</v>
      </c>
    </row>
    <row r="45" spans="1:24" x14ac:dyDescent="0.25">
      <c r="A45" t="s">
        <v>58</v>
      </c>
      <c r="B45" s="13">
        <v>45806</v>
      </c>
      <c r="C45" s="8">
        <v>45828</v>
      </c>
      <c r="D45" s="8">
        <f t="shared" si="0"/>
        <v>45828</v>
      </c>
      <c r="E45" s="6">
        <f t="shared" si="1"/>
        <v>22</v>
      </c>
      <c r="F45" s="6" t="str">
        <f t="shared" si="2"/>
        <v>Q2-2025</v>
      </c>
      <c r="G45" t="s">
        <v>649</v>
      </c>
      <c r="H45" t="s">
        <v>656</v>
      </c>
      <c r="I45" t="s">
        <v>671</v>
      </c>
      <c r="J45" t="s">
        <v>701</v>
      </c>
      <c r="K45" t="s">
        <v>711</v>
      </c>
      <c r="L45" t="s">
        <v>720</v>
      </c>
      <c r="M45" t="s">
        <v>728</v>
      </c>
      <c r="N45">
        <f t="shared" si="3"/>
        <v>9.7597035374893185E-2</v>
      </c>
      <c r="O45" t="s">
        <v>777</v>
      </c>
      <c r="P45" s="4">
        <v>483.47</v>
      </c>
      <c r="Q45" s="4">
        <v>1135.43</v>
      </c>
      <c r="R45" s="4" t="str">
        <f t="shared" si="4"/>
        <v>Profit</v>
      </c>
      <c r="S45">
        <v>0.14599999999999999</v>
      </c>
      <c r="T45" s="4">
        <v>11</v>
      </c>
      <c r="U45">
        <f t="shared" si="5"/>
        <v>10666.229420000001</v>
      </c>
      <c r="V45">
        <f t="shared" si="6"/>
        <v>5318.17</v>
      </c>
      <c r="W45">
        <f t="shared" si="7"/>
        <v>5348.0594200000014</v>
      </c>
      <c r="X45">
        <f t="shared" si="8"/>
        <v>0.50140112399719983</v>
      </c>
    </row>
    <row r="46" spans="1:24" x14ac:dyDescent="0.25">
      <c r="A46" t="s">
        <v>59</v>
      </c>
      <c r="B46" s="13">
        <v>45432</v>
      </c>
      <c r="C46" s="8">
        <v>45445</v>
      </c>
      <c r="D46" s="8">
        <f t="shared" si="0"/>
        <v>45445</v>
      </c>
      <c r="E46" s="6">
        <f t="shared" si="1"/>
        <v>13</v>
      </c>
      <c r="F46" s="6" t="str">
        <f t="shared" si="2"/>
        <v>Q2-2024</v>
      </c>
      <c r="G46" t="s">
        <v>648</v>
      </c>
      <c r="H46" t="s">
        <v>653</v>
      </c>
      <c r="I46" t="s">
        <v>688</v>
      </c>
      <c r="J46" t="s">
        <v>706</v>
      </c>
      <c r="K46" t="s">
        <v>709</v>
      </c>
      <c r="L46" t="s">
        <v>723</v>
      </c>
      <c r="M46" t="s">
        <v>727</v>
      </c>
      <c r="N46">
        <f t="shared" si="3"/>
        <v>0.16406576710044646</v>
      </c>
      <c r="O46" t="s">
        <v>778</v>
      </c>
      <c r="P46" s="4">
        <v>675.43</v>
      </c>
      <c r="Q46" s="4">
        <v>996.36</v>
      </c>
      <c r="R46" s="4" t="str">
        <f t="shared" si="4"/>
        <v>Profit</v>
      </c>
      <c r="S46">
        <v>0.182</v>
      </c>
      <c r="T46" s="4">
        <v>22</v>
      </c>
      <c r="U46">
        <f t="shared" si="5"/>
        <v>17930.494560000003</v>
      </c>
      <c r="V46">
        <f t="shared" si="6"/>
        <v>14859.46</v>
      </c>
      <c r="W46">
        <f t="shared" si="7"/>
        <v>3071.0345600000037</v>
      </c>
      <c r="X46">
        <f t="shared" si="8"/>
        <v>0.17127439233332575</v>
      </c>
    </row>
    <row r="47" spans="1:24" x14ac:dyDescent="0.25">
      <c r="A47" t="s">
        <v>60</v>
      </c>
      <c r="B47" s="13">
        <v>45035</v>
      </c>
      <c r="C47" s="8">
        <v>45046</v>
      </c>
      <c r="D47" s="8">
        <f t="shared" si="0"/>
        <v>45046</v>
      </c>
      <c r="E47" s="6">
        <f t="shared" si="1"/>
        <v>11</v>
      </c>
      <c r="F47" s="6" t="str">
        <f t="shared" si="2"/>
        <v>Q2-2023</v>
      </c>
      <c r="G47" t="s">
        <v>647</v>
      </c>
      <c r="H47" t="s">
        <v>654</v>
      </c>
      <c r="I47" t="s">
        <v>680</v>
      </c>
      <c r="J47" t="s">
        <v>705</v>
      </c>
      <c r="K47" t="s">
        <v>707</v>
      </c>
      <c r="L47" t="s">
        <v>720</v>
      </c>
      <c r="M47" t="s">
        <v>729</v>
      </c>
      <c r="N47">
        <f t="shared" si="3"/>
        <v>0.29743817639334691</v>
      </c>
      <c r="O47" t="s">
        <v>779</v>
      </c>
      <c r="P47" s="4">
        <v>826.55</v>
      </c>
      <c r="Q47" s="4">
        <v>1397.05</v>
      </c>
      <c r="R47" s="4" t="str">
        <f t="shared" si="4"/>
        <v>Profit</v>
      </c>
      <c r="S47">
        <v>0.16900000000000001</v>
      </c>
      <c r="T47" s="4">
        <v>28</v>
      </c>
      <c r="U47">
        <f t="shared" si="5"/>
        <v>32506.559399999998</v>
      </c>
      <c r="V47">
        <f t="shared" si="6"/>
        <v>23143.399999999998</v>
      </c>
      <c r="W47">
        <f t="shared" si="7"/>
        <v>9363.1594000000005</v>
      </c>
      <c r="X47">
        <f t="shared" si="8"/>
        <v>0.28803907804527601</v>
      </c>
    </row>
    <row r="48" spans="1:24" x14ac:dyDescent="0.25">
      <c r="A48" t="s">
        <v>61</v>
      </c>
      <c r="B48" s="13">
        <v>45100</v>
      </c>
      <c r="C48" s="8">
        <v>45110</v>
      </c>
      <c r="D48" s="8">
        <f t="shared" si="0"/>
        <v>45110</v>
      </c>
      <c r="E48" s="6">
        <f t="shared" si="1"/>
        <v>10</v>
      </c>
      <c r="F48" s="6" t="str">
        <f t="shared" si="2"/>
        <v>Q2-2023</v>
      </c>
      <c r="G48" t="s">
        <v>646</v>
      </c>
      <c r="H48" t="s">
        <v>651</v>
      </c>
      <c r="I48" t="s">
        <v>669</v>
      </c>
      <c r="J48" t="s">
        <v>704</v>
      </c>
      <c r="K48" t="s">
        <v>708</v>
      </c>
      <c r="L48" t="s">
        <v>713</v>
      </c>
      <c r="M48" t="s">
        <v>728</v>
      </c>
      <c r="N48">
        <f t="shared" si="3"/>
        <v>6.5291158692330695E-2</v>
      </c>
      <c r="O48" t="s">
        <v>780</v>
      </c>
      <c r="P48" s="4">
        <v>337.75</v>
      </c>
      <c r="Q48" s="4">
        <v>548.89</v>
      </c>
      <c r="R48" s="4" t="str">
        <f t="shared" si="4"/>
        <v>Profit</v>
      </c>
      <c r="S48">
        <v>0</v>
      </c>
      <c r="T48" s="4">
        <v>13</v>
      </c>
      <c r="U48">
        <f t="shared" si="5"/>
        <v>7135.57</v>
      </c>
      <c r="V48">
        <f t="shared" si="6"/>
        <v>4390.75</v>
      </c>
      <c r="W48">
        <f t="shared" si="7"/>
        <v>2744.8199999999997</v>
      </c>
      <c r="X48">
        <f t="shared" si="8"/>
        <v>0.38466723751571352</v>
      </c>
    </row>
    <row r="49" spans="1:24" x14ac:dyDescent="0.25">
      <c r="A49" t="s">
        <v>62</v>
      </c>
      <c r="B49" s="13">
        <v>45426</v>
      </c>
      <c r="C49" s="8">
        <v>45440</v>
      </c>
      <c r="D49" s="8">
        <f t="shared" si="0"/>
        <v>45440</v>
      </c>
      <c r="E49" s="6">
        <f t="shared" si="1"/>
        <v>14</v>
      </c>
      <c r="F49" s="6" t="str">
        <f t="shared" si="2"/>
        <v>Q2-2024</v>
      </c>
      <c r="G49" t="s">
        <v>649</v>
      </c>
      <c r="H49" t="s">
        <v>658</v>
      </c>
      <c r="I49" t="s">
        <v>674</v>
      </c>
      <c r="J49" t="s">
        <v>704</v>
      </c>
      <c r="K49" t="s">
        <v>707</v>
      </c>
      <c r="L49" t="s">
        <v>717</v>
      </c>
      <c r="M49" t="s">
        <v>729</v>
      </c>
      <c r="N49">
        <f t="shared" si="3"/>
        <v>0.99959321262141299</v>
      </c>
      <c r="O49" t="s">
        <v>781</v>
      </c>
      <c r="P49" s="4">
        <v>1421.14</v>
      </c>
      <c r="Q49" s="4">
        <v>3524</v>
      </c>
      <c r="R49" s="4" t="str">
        <f t="shared" si="4"/>
        <v>Profit</v>
      </c>
      <c r="S49">
        <v>0</v>
      </c>
      <c r="T49" s="4">
        <v>31</v>
      </c>
      <c r="U49">
        <f t="shared" si="5"/>
        <v>109244</v>
      </c>
      <c r="V49">
        <f t="shared" si="6"/>
        <v>44055.340000000004</v>
      </c>
      <c r="W49">
        <f t="shared" si="7"/>
        <v>65188.659999999996</v>
      </c>
      <c r="X49">
        <f t="shared" si="8"/>
        <v>0.59672531214528945</v>
      </c>
    </row>
    <row r="50" spans="1:24" x14ac:dyDescent="0.25">
      <c r="A50" t="s">
        <v>63</v>
      </c>
      <c r="B50" s="13">
        <v>45579</v>
      </c>
      <c r="C50" s="8">
        <v>45604</v>
      </c>
      <c r="D50" s="8">
        <f t="shared" si="0"/>
        <v>45604</v>
      </c>
      <c r="E50" s="6">
        <f t="shared" si="1"/>
        <v>25</v>
      </c>
      <c r="F50" s="6" t="str">
        <f t="shared" si="2"/>
        <v>Q4-2024</v>
      </c>
      <c r="G50" t="s">
        <v>646</v>
      </c>
      <c r="H50" t="s">
        <v>651</v>
      </c>
      <c r="I50" t="s">
        <v>665</v>
      </c>
      <c r="J50" t="s">
        <v>706</v>
      </c>
      <c r="K50" t="s">
        <v>708</v>
      </c>
      <c r="L50" t="s">
        <v>719</v>
      </c>
      <c r="M50" t="s">
        <v>729</v>
      </c>
      <c r="N50">
        <f t="shared" si="3"/>
        <v>0.32593837669627057</v>
      </c>
      <c r="O50" t="s">
        <v>782</v>
      </c>
      <c r="P50" s="4">
        <v>859.35</v>
      </c>
      <c r="Q50" s="4">
        <v>1825.61</v>
      </c>
      <c r="R50" s="4" t="str">
        <f t="shared" si="4"/>
        <v>Profit</v>
      </c>
      <c r="S50">
        <v>0.187</v>
      </c>
      <c r="T50" s="4">
        <v>24</v>
      </c>
      <c r="U50">
        <f t="shared" si="5"/>
        <v>35621.302319999995</v>
      </c>
      <c r="V50">
        <f t="shared" si="6"/>
        <v>20624.400000000001</v>
      </c>
      <c r="W50">
        <f t="shared" si="7"/>
        <v>14996.902319999994</v>
      </c>
      <c r="X50">
        <f t="shared" si="8"/>
        <v>0.42100937762681989</v>
      </c>
    </row>
    <row r="51" spans="1:24" x14ac:dyDescent="0.25">
      <c r="A51" t="s">
        <v>64</v>
      </c>
      <c r="B51" s="13">
        <v>45117</v>
      </c>
      <c r="C51" s="8">
        <v>45139</v>
      </c>
      <c r="D51" s="8">
        <f t="shared" si="0"/>
        <v>45139</v>
      </c>
      <c r="E51" s="6">
        <f t="shared" si="1"/>
        <v>22</v>
      </c>
      <c r="F51" s="6" t="str">
        <f t="shared" si="2"/>
        <v>Q3-2023</v>
      </c>
      <c r="G51" t="s">
        <v>649</v>
      </c>
      <c r="H51" t="s">
        <v>657</v>
      </c>
      <c r="I51" t="s">
        <v>673</v>
      </c>
      <c r="J51" t="s">
        <v>704</v>
      </c>
      <c r="K51" t="s">
        <v>709</v>
      </c>
      <c r="L51" t="s">
        <v>717</v>
      </c>
      <c r="M51" t="s">
        <v>728</v>
      </c>
      <c r="N51">
        <f t="shared" si="3"/>
        <v>0.31517017673693504</v>
      </c>
      <c r="O51" t="s">
        <v>783</v>
      </c>
      <c r="P51" s="4">
        <v>1303.56</v>
      </c>
      <c r="Q51" s="4">
        <v>1791.37</v>
      </c>
      <c r="R51" s="4" t="str">
        <f t="shared" si="4"/>
        <v>Profit</v>
      </c>
      <c r="S51">
        <v>0.126</v>
      </c>
      <c r="T51" s="4">
        <v>22</v>
      </c>
      <c r="U51">
        <f t="shared" si="5"/>
        <v>34444.462359999998</v>
      </c>
      <c r="V51">
        <f t="shared" si="6"/>
        <v>28678.32</v>
      </c>
      <c r="W51">
        <f t="shared" si="7"/>
        <v>5766.142359999998</v>
      </c>
      <c r="X51">
        <f t="shared" si="8"/>
        <v>0.16740404596055358</v>
      </c>
    </row>
    <row r="52" spans="1:24" x14ac:dyDescent="0.25">
      <c r="A52" t="s">
        <v>65</v>
      </c>
      <c r="B52" s="13">
        <v>45602</v>
      </c>
      <c r="C52" s="8">
        <v>45618</v>
      </c>
      <c r="D52" s="8">
        <f t="shared" si="0"/>
        <v>45618</v>
      </c>
      <c r="E52" s="6">
        <f t="shared" si="1"/>
        <v>16</v>
      </c>
      <c r="F52" s="6" t="str">
        <f t="shared" si="2"/>
        <v>Q4-2024</v>
      </c>
      <c r="G52" t="s">
        <v>648</v>
      </c>
      <c r="H52" t="s">
        <v>653</v>
      </c>
      <c r="I52" t="s">
        <v>667</v>
      </c>
      <c r="J52" t="s">
        <v>703</v>
      </c>
      <c r="K52" t="s">
        <v>710</v>
      </c>
      <c r="L52" t="s">
        <v>726</v>
      </c>
      <c r="M52" t="s">
        <v>733</v>
      </c>
      <c r="N52">
        <f t="shared" si="3"/>
        <v>0.13628981858086056</v>
      </c>
      <c r="O52" t="s">
        <v>784</v>
      </c>
      <c r="P52" s="4">
        <v>1454.11</v>
      </c>
      <c r="Q52" s="4">
        <v>2629.75</v>
      </c>
      <c r="R52" s="4" t="str">
        <f t="shared" si="4"/>
        <v>Profit</v>
      </c>
      <c r="S52">
        <v>0.29199999999999998</v>
      </c>
      <c r="T52" s="4">
        <v>8</v>
      </c>
      <c r="U52">
        <f t="shared" si="5"/>
        <v>14894.903999999999</v>
      </c>
      <c r="V52">
        <f t="shared" si="6"/>
        <v>11632.88</v>
      </c>
      <c r="W52">
        <f t="shared" si="7"/>
        <v>3262.0239999999994</v>
      </c>
      <c r="X52">
        <f t="shared" si="8"/>
        <v>0.21900268709351867</v>
      </c>
    </row>
    <row r="53" spans="1:24" x14ac:dyDescent="0.25">
      <c r="A53" t="s">
        <v>66</v>
      </c>
      <c r="B53" s="13">
        <v>45582</v>
      </c>
      <c r="C53" s="8">
        <v>45602</v>
      </c>
      <c r="D53" s="8">
        <f t="shared" si="0"/>
        <v>45602</v>
      </c>
      <c r="E53" s="6">
        <f t="shared" si="1"/>
        <v>20</v>
      </c>
      <c r="F53" s="6" t="str">
        <f t="shared" si="2"/>
        <v>Q4-2024</v>
      </c>
      <c r="G53" t="s">
        <v>647</v>
      </c>
      <c r="H53" t="s">
        <v>654</v>
      </c>
      <c r="I53" t="s">
        <v>668</v>
      </c>
      <c r="J53" t="s">
        <v>706</v>
      </c>
      <c r="K53" t="s">
        <v>710</v>
      </c>
      <c r="L53" t="s">
        <v>719</v>
      </c>
      <c r="M53" t="s">
        <v>732</v>
      </c>
      <c r="N53">
        <f t="shared" si="3"/>
        <v>5.4857760421564662E-3</v>
      </c>
      <c r="O53" t="s">
        <v>785</v>
      </c>
      <c r="P53" s="4">
        <v>72.94</v>
      </c>
      <c r="Q53" s="4">
        <v>106.3</v>
      </c>
      <c r="R53" s="4" t="str">
        <f t="shared" si="4"/>
        <v>Profit</v>
      </c>
      <c r="S53">
        <v>0.29499999999999998</v>
      </c>
      <c r="T53" s="4">
        <v>8</v>
      </c>
      <c r="U53">
        <f t="shared" si="5"/>
        <v>599.53200000000004</v>
      </c>
      <c r="V53">
        <f t="shared" si="6"/>
        <v>583.52</v>
      </c>
      <c r="W53">
        <f t="shared" si="7"/>
        <v>16.012000000000057</v>
      </c>
      <c r="X53">
        <f t="shared" si="8"/>
        <v>2.6707498515508857E-2</v>
      </c>
    </row>
    <row r="54" spans="1:24" x14ac:dyDescent="0.25">
      <c r="A54" t="s">
        <v>67</v>
      </c>
      <c r="B54" s="13">
        <v>45016</v>
      </c>
      <c r="C54" s="8">
        <v>45021</v>
      </c>
      <c r="D54" s="8">
        <f t="shared" si="0"/>
        <v>45021</v>
      </c>
      <c r="E54" s="6">
        <f t="shared" si="1"/>
        <v>5</v>
      </c>
      <c r="F54" s="6" t="str">
        <f t="shared" si="2"/>
        <v>Q1-2023</v>
      </c>
      <c r="G54" t="s">
        <v>646</v>
      </c>
      <c r="H54" t="s">
        <v>650</v>
      </c>
      <c r="I54" t="s">
        <v>678</v>
      </c>
      <c r="J54" t="s">
        <v>702</v>
      </c>
      <c r="K54" t="s">
        <v>709</v>
      </c>
      <c r="L54" t="s">
        <v>717</v>
      </c>
      <c r="M54" t="s">
        <v>731</v>
      </c>
      <c r="N54">
        <f t="shared" si="3"/>
        <v>5.2940632067527471E-2</v>
      </c>
      <c r="O54" t="s">
        <v>786</v>
      </c>
      <c r="P54" s="4">
        <v>533.26</v>
      </c>
      <c r="Q54" s="4">
        <v>385.72</v>
      </c>
      <c r="R54" s="4" t="str">
        <f t="shared" si="4"/>
        <v>Loss</v>
      </c>
      <c r="S54">
        <v>0</v>
      </c>
      <c r="T54" s="4">
        <v>15</v>
      </c>
      <c r="U54">
        <f t="shared" si="5"/>
        <v>5785.8</v>
      </c>
      <c r="V54">
        <f t="shared" si="6"/>
        <v>7998.9</v>
      </c>
      <c r="W54">
        <f t="shared" si="7"/>
        <v>-2213.0999999999995</v>
      </c>
      <c r="X54">
        <f t="shared" si="8"/>
        <v>-0.38250544436378708</v>
      </c>
    </row>
    <row r="55" spans="1:24" x14ac:dyDescent="0.25">
      <c r="A55" t="s">
        <v>68</v>
      </c>
      <c r="B55" s="13">
        <v>45678</v>
      </c>
      <c r="C55" s="8">
        <v>45704</v>
      </c>
      <c r="D55" s="8">
        <f t="shared" si="0"/>
        <v>45704</v>
      </c>
      <c r="E55" s="6">
        <f t="shared" si="1"/>
        <v>26</v>
      </c>
      <c r="F55" s="6" t="str">
        <f t="shared" si="2"/>
        <v>Q1-2025</v>
      </c>
      <c r="G55" t="s">
        <v>649</v>
      </c>
      <c r="H55" t="s">
        <v>657</v>
      </c>
      <c r="I55" t="s">
        <v>679</v>
      </c>
      <c r="J55" t="s">
        <v>701</v>
      </c>
      <c r="K55" t="s">
        <v>710</v>
      </c>
      <c r="L55" t="s">
        <v>719</v>
      </c>
      <c r="M55" t="s">
        <v>731</v>
      </c>
      <c r="N55">
        <f t="shared" si="3"/>
        <v>2.3047956255774462E-2</v>
      </c>
      <c r="O55" t="s">
        <v>787</v>
      </c>
      <c r="P55" s="4">
        <v>204.11</v>
      </c>
      <c r="Q55" s="4">
        <v>236.87</v>
      </c>
      <c r="R55" s="4" t="str">
        <f t="shared" si="4"/>
        <v>Profit</v>
      </c>
      <c r="S55">
        <v>0.182</v>
      </c>
      <c r="T55" s="4">
        <v>13</v>
      </c>
      <c r="U55">
        <f t="shared" si="5"/>
        <v>2518.8755800000004</v>
      </c>
      <c r="V55">
        <f t="shared" si="6"/>
        <v>2653.4300000000003</v>
      </c>
      <c r="W55">
        <f t="shared" si="7"/>
        <v>-134.55441999999994</v>
      </c>
      <c r="X55">
        <f t="shared" si="8"/>
        <v>-5.3418446337075494E-2</v>
      </c>
    </row>
    <row r="56" spans="1:24" x14ac:dyDescent="0.25">
      <c r="A56" t="s">
        <v>69</v>
      </c>
      <c r="B56" s="13">
        <v>45168</v>
      </c>
      <c r="C56" s="8">
        <v>45170</v>
      </c>
      <c r="D56" s="8">
        <f t="shared" si="0"/>
        <v>45170</v>
      </c>
      <c r="E56" s="6">
        <f t="shared" si="1"/>
        <v>2</v>
      </c>
      <c r="F56" s="6" t="str">
        <f t="shared" si="2"/>
        <v>Q3-2023</v>
      </c>
      <c r="G56" t="s">
        <v>649</v>
      </c>
      <c r="H56" t="s">
        <v>656</v>
      </c>
      <c r="I56" t="s">
        <v>684</v>
      </c>
      <c r="J56" t="s">
        <v>701</v>
      </c>
      <c r="K56" t="s">
        <v>711</v>
      </c>
      <c r="L56" t="s">
        <v>725</v>
      </c>
      <c r="M56" t="s">
        <v>729</v>
      </c>
      <c r="N56">
        <f t="shared" si="3"/>
        <v>1.9690862656712299E-3</v>
      </c>
      <c r="O56" t="s">
        <v>788</v>
      </c>
      <c r="P56" s="4">
        <v>44.42</v>
      </c>
      <c r="Q56" s="4">
        <v>41.9</v>
      </c>
      <c r="R56" s="4" t="str">
        <f t="shared" si="4"/>
        <v>Loss</v>
      </c>
      <c r="S56">
        <v>0.14399999999999999</v>
      </c>
      <c r="T56" s="4">
        <v>6</v>
      </c>
      <c r="U56">
        <f t="shared" si="5"/>
        <v>215.19839999999996</v>
      </c>
      <c r="V56">
        <f t="shared" si="6"/>
        <v>266.52</v>
      </c>
      <c r="W56">
        <f t="shared" si="7"/>
        <v>-51.321600000000018</v>
      </c>
      <c r="X56">
        <f t="shared" si="8"/>
        <v>-0.23848504449847224</v>
      </c>
    </row>
    <row r="57" spans="1:24" x14ac:dyDescent="0.25">
      <c r="A57" t="s">
        <v>70</v>
      </c>
      <c r="B57" s="13">
        <v>45753</v>
      </c>
      <c r="C57" s="8">
        <v>45777</v>
      </c>
      <c r="D57" s="8">
        <f t="shared" si="0"/>
        <v>45777</v>
      </c>
      <c r="E57" s="6">
        <f t="shared" si="1"/>
        <v>24</v>
      </c>
      <c r="F57" s="6" t="str">
        <f t="shared" si="2"/>
        <v>Q2-2025</v>
      </c>
      <c r="G57" t="s">
        <v>648</v>
      </c>
      <c r="H57" t="s">
        <v>655</v>
      </c>
      <c r="I57" t="s">
        <v>672</v>
      </c>
      <c r="J57" t="s">
        <v>702</v>
      </c>
      <c r="K57" t="s">
        <v>708</v>
      </c>
      <c r="L57" t="s">
        <v>723</v>
      </c>
      <c r="M57" t="s">
        <v>732</v>
      </c>
      <c r="N57">
        <f t="shared" si="3"/>
        <v>0.28988235484164093</v>
      </c>
      <c r="O57" t="s">
        <v>789</v>
      </c>
      <c r="P57" s="4">
        <v>855.78</v>
      </c>
      <c r="Q57" s="4">
        <v>977.38</v>
      </c>
      <c r="R57" s="4" t="str">
        <f t="shared" si="4"/>
        <v>Profit</v>
      </c>
      <c r="S57">
        <v>0.14699999999999999</v>
      </c>
      <c r="T57" s="4">
        <v>38</v>
      </c>
      <c r="U57">
        <f t="shared" si="5"/>
        <v>31680.795320000001</v>
      </c>
      <c r="V57">
        <f t="shared" si="6"/>
        <v>32519.64</v>
      </c>
      <c r="W57">
        <f t="shared" si="7"/>
        <v>-838.84467999999833</v>
      </c>
      <c r="X57">
        <f t="shared" si="8"/>
        <v>-2.6478018355506307E-2</v>
      </c>
    </row>
    <row r="58" spans="1:24" x14ac:dyDescent="0.25">
      <c r="A58" t="s">
        <v>71</v>
      </c>
      <c r="B58" s="13">
        <v>45697</v>
      </c>
      <c r="C58" s="8">
        <v>45717</v>
      </c>
      <c r="D58" s="8">
        <f t="shared" si="0"/>
        <v>45717</v>
      </c>
      <c r="E58" s="6">
        <f t="shared" si="1"/>
        <v>20</v>
      </c>
      <c r="F58" s="6" t="str">
        <f t="shared" si="2"/>
        <v>Q1-2025</v>
      </c>
      <c r="G58" t="s">
        <v>648</v>
      </c>
      <c r="H58" t="s">
        <v>655</v>
      </c>
      <c r="I58" t="s">
        <v>670</v>
      </c>
      <c r="J58" t="s">
        <v>701</v>
      </c>
      <c r="K58" t="s">
        <v>710</v>
      </c>
      <c r="L58" t="s">
        <v>717</v>
      </c>
      <c r="M58" t="s">
        <v>731</v>
      </c>
      <c r="N58">
        <f t="shared" si="3"/>
        <v>0.27138904436376854</v>
      </c>
      <c r="O58" t="s">
        <v>790</v>
      </c>
      <c r="P58" s="4">
        <v>1154.6400000000001</v>
      </c>
      <c r="Q58" s="4">
        <v>2794.13</v>
      </c>
      <c r="R58" s="4" t="str">
        <f t="shared" si="4"/>
        <v>Profit</v>
      </c>
      <c r="S58">
        <v>3.5000000000000003E-2</v>
      </c>
      <c r="T58" s="4">
        <v>11</v>
      </c>
      <c r="U58">
        <f t="shared" si="5"/>
        <v>29659.68995</v>
      </c>
      <c r="V58">
        <f t="shared" si="6"/>
        <v>12701.04</v>
      </c>
      <c r="W58">
        <f t="shared" si="7"/>
        <v>16958.649949999999</v>
      </c>
      <c r="X58">
        <f t="shared" si="8"/>
        <v>0.57177435025749479</v>
      </c>
    </row>
    <row r="59" spans="1:24" x14ac:dyDescent="0.25">
      <c r="A59" t="s">
        <v>72</v>
      </c>
      <c r="B59" s="13">
        <v>45643</v>
      </c>
      <c r="C59" s="8">
        <v>45644</v>
      </c>
      <c r="D59" s="8">
        <f t="shared" si="0"/>
        <v>45644</v>
      </c>
      <c r="E59" s="6">
        <f t="shared" si="1"/>
        <v>1</v>
      </c>
      <c r="F59" s="6" t="str">
        <f t="shared" si="2"/>
        <v>Q4-2024</v>
      </c>
      <c r="G59" t="s">
        <v>649</v>
      </c>
      <c r="H59" t="s">
        <v>656</v>
      </c>
      <c r="I59" t="s">
        <v>684</v>
      </c>
      <c r="J59" t="s">
        <v>702</v>
      </c>
      <c r="K59" t="s">
        <v>707</v>
      </c>
      <c r="L59" t="s">
        <v>716</v>
      </c>
      <c r="M59" t="s">
        <v>733</v>
      </c>
      <c r="N59">
        <f t="shared" si="3"/>
        <v>4.3829942559881339E-2</v>
      </c>
      <c r="O59" t="s">
        <v>791</v>
      </c>
      <c r="P59" s="4">
        <v>346.82</v>
      </c>
      <c r="Q59" s="4">
        <v>701.95</v>
      </c>
      <c r="R59" s="4" t="str">
        <f t="shared" si="4"/>
        <v>Profit</v>
      </c>
      <c r="S59">
        <v>0.14699999999999999</v>
      </c>
      <c r="T59" s="4">
        <v>8</v>
      </c>
      <c r="U59">
        <f t="shared" si="5"/>
        <v>4790.1068000000005</v>
      </c>
      <c r="V59">
        <f t="shared" si="6"/>
        <v>2774.56</v>
      </c>
      <c r="W59">
        <f t="shared" si="7"/>
        <v>2015.5468000000005</v>
      </c>
      <c r="X59">
        <f t="shared" si="8"/>
        <v>0.42077283120284509</v>
      </c>
    </row>
    <row r="60" spans="1:24" x14ac:dyDescent="0.25">
      <c r="A60" t="s">
        <v>73</v>
      </c>
      <c r="B60" s="13">
        <v>45817</v>
      </c>
      <c r="C60" s="8">
        <v>45826</v>
      </c>
      <c r="D60" s="8">
        <f t="shared" si="0"/>
        <v>45826</v>
      </c>
      <c r="E60" s="6">
        <f t="shared" si="1"/>
        <v>9</v>
      </c>
      <c r="F60" s="6" t="str">
        <f t="shared" si="2"/>
        <v>Q2-2025</v>
      </c>
      <c r="G60" t="s">
        <v>649</v>
      </c>
      <c r="H60" t="s">
        <v>657</v>
      </c>
      <c r="I60" t="s">
        <v>673</v>
      </c>
      <c r="J60" t="s">
        <v>705</v>
      </c>
      <c r="K60" t="s">
        <v>709</v>
      </c>
      <c r="L60" t="s">
        <v>722</v>
      </c>
      <c r="M60" t="s">
        <v>733</v>
      </c>
      <c r="N60">
        <f t="shared" si="3"/>
        <v>2.497848419507424E-3</v>
      </c>
      <c r="O60" t="s">
        <v>792</v>
      </c>
      <c r="P60" s="4">
        <v>1225.5</v>
      </c>
      <c r="Q60" s="4">
        <v>5.27</v>
      </c>
      <c r="R60" s="4" t="str">
        <f t="shared" si="4"/>
        <v>Loss</v>
      </c>
      <c r="S60">
        <v>7.4999999999999997E-2</v>
      </c>
      <c r="T60" s="4">
        <v>56</v>
      </c>
      <c r="U60">
        <f t="shared" si="5"/>
        <v>272.98599999999999</v>
      </c>
      <c r="V60">
        <f t="shared" si="6"/>
        <v>68628</v>
      </c>
      <c r="W60">
        <f t="shared" si="7"/>
        <v>-68355.013999999996</v>
      </c>
      <c r="X60">
        <f t="shared" si="8"/>
        <v>-250.39750756449047</v>
      </c>
    </row>
    <row r="61" spans="1:24" x14ac:dyDescent="0.25">
      <c r="A61" t="s">
        <v>74</v>
      </c>
      <c r="B61" s="13">
        <v>45779</v>
      </c>
      <c r="C61" s="8">
        <v>45790</v>
      </c>
      <c r="D61" s="8">
        <f t="shared" si="0"/>
        <v>45790</v>
      </c>
      <c r="E61" s="6">
        <f t="shared" si="1"/>
        <v>11</v>
      </c>
      <c r="F61" s="6" t="str">
        <f t="shared" si="2"/>
        <v>Q2-2025</v>
      </c>
      <c r="G61" t="s">
        <v>646</v>
      </c>
      <c r="H61" t="s">
        <v>650</v>
      </c>
      <c r="I61" t="s">
        <v>678</v>
      </c>
      <c r="J61" t="s">
        <v>705</v>
      </c>
      <c r="K61" t="s">
        <v>708</v>
      </c>
      <c r="L61" t="s">
        <v>720</v>
      </c>
      <c r="M61" t="s">
        <v>733</v>
      </c>
      <c r="N61">
        <f t="shared" si="3"/>
        <v>4.1814578762884316E-2</v>
      </c>
      <c r="O61" t="s">
        <v>793</v>
      </c>
      <c r="P61" s="4">
        <v>1057.5999999999999</v>
      </c>
      <c r="Q61" s="4">
        <v>1437.06</v>
      </c>
      <c r="R61" s="4" t="str">
        <f t="shared" si="4"/>
        <v>Profit</v>
      </c>
      <c r="S61">
        <v>0.20499999999999999</v>
      </c>
      <c r="T61" s="4">
        <v>4</v>
      </c>
      <c r="U61">
        <f t="shared" si="5"/>
        <v>4569.8508000000002</v>
      </c>
      <c r="V61">
        <f t="shared" si="6"/>
        <v>4230.3999999999996</v>
      </c>
      <c r="W61">
        <f t="shared" si="7"/>
        <v>339.45080000000053</v>
      </c>
      <c r="X61">
        <f t="shared" si="8"/>
        <v>7.4280499485891424E-2</v>
      </c>
    </row>
    <row r="62" spans="1:24" x14ac:dyDescent="0.25">
      <c r="A62" t="s">
        <v>75</v>
      </c>
      <c r="B62" s="13">
        <v>45361</v>
      </c>
      <c r="C62" s="8">
        <v>45391</v>
      </c>
      <c r="D62" s="8">
        <f t="shared" si="0"/>
        <v>45391</v>
      </c>
      <c r="E62" s="6">
        <f t="shared" si="1"/>
        <v>30</v>
      </c>
      <c r="F62" s="6" t="str">
        <f t="shared" si="2"/>
        <v>Q1-2024</v>
      </c>
      <c r="G62" t="s">
        <v>649</v>
      </c>
      <c r="H62" t="s">
        <v>657</v>
      </c>
      <c r="I62" t="s">
        <v>679</v>
      </c>
      <c r="J62" t="s">
        <v>701</v>
      </c>
      <c r="K62" t="s">
        <v>711</v>
      </c>
      <c r="L62" t="s">
        <v>714</v>
      </c>
      <c r="M62" t="s">
        <v>727</v>
      </c>
      <c r="N62">
        <f t="shared" si="3"/>
        <v>0.3082439140772183</v>
      </c>
      <c r="O62" t="s">
        <v>794</v>
      </c>
      <c r="P62" s="4">
        <v>1176.56</v>
      </c>
      <c r="Q62" s="4">
        <v>1911.89</v>
      </c>
      <c r="R62" s="4" t="str">
        <f t="shared" si="4"/>
        <v>Profit</v>
      </c>
      <c r="S62">
        <v>0.11899999999999999</v>
      </c>
      <c r="T62" s="4">
        <v>20</v>
      </c>
      <c r="U62">
        <f t="shared" si="5"/>
        <v>33687.501800000005</v>
      </c>
      <c r="V62">
        <f t="shared" si="6"/>
        <v>23531.199999999997</v>
      </c>
      <c r="W62">
        <f t="shared" si="7"/>
        <v>10156.301800000008</v>
      </c>
      <c r="X62">
        <f t="shared" si="8"/>
        <v>0.30148575160892477</v>
      </c>
    </row>
    <row r="63" spans="1:24" x14ac:dyDescent="0.25">
      <c r="A63" t="s">
        <v>76</v>
      </c>
      <c r="B63" s="13">
        <v>45910</v>
      </c>
      <c r="C63" s="8">
        <v>45912</v>
      </c>
      <c r="D63" s="8">
        <f t="shared" si="0"/>
        <v>45912</v>
      </c>
      <c r="E63" s="6">
        <f t="shared" si="1"/>
        <v>2</v>
      </c>
      <c r="F63" s="6" t="str">
        <f t="shared" si="2"/>
        <v>Q3-2025</v>
      </c>
      <c r="G63" t="s">
        <v>647</v>
      </c>
      <c r="H63" t="s">
        <v>652</v>
      </c>
      <c r="I63" t="s">
        <v>689</v>
      </c>
      <c r="J63" t="s">
        <v>704</v>
      </c>
      <c r="K63" t="s">
        <v>708</v>
      </c>
      <c r="L63" t="s">
        <v>719</v>
      </c>
      <c r="M63" t="s">
        <v>727</v>
      </c>
      <c r="N63">
        <f t="shared" si="3"/>
        <v>0.25347206025771885</v>
      </c>
      <c r="O63" t="s">
        <v>795</v>
      </c>
      <c r="P63" s="4">
        <v>1470.15</v>
      </c>
      <c r="Q63" s="4">
        <v>2593.7800000000002</v>
      </c>
      <c r="R63" s="4" t="str">
        <f t="shared" si="4"/>
        <v>Profit</v>
      </c>
      <c r="S63">
        <v>0.11</v>
      </c>
      <c r="T63" s="4">
        <v>12</v>
      </c>
      <c r="U63">
        <f t="shared" si="5"/>
        <v>27701.570400000001</v>
      </c>
      <c r="V63">
        <f t="shared" si="6"/>
        <v>17641.800000000003</v>
      </c>
      <c r="W63">
        <f t="shared" si="7"/>
        <v>10059.770399999998</v>
      </c>
      <c r="X63">
        <f t="shared" si="8"/>
        <v>0.36314801849645306</v>
      </c>
    </row>
    <row r="64" spans="1:24" x14ac:dyDescent="0.25">
      <c r="A64" t="s">
        <v>77</v>
      </c>
      <c r="B64" s="13">
        <v>45774</v>
      </c>
      <c r="C64" s="8">
        <v>45802</v>
      </c>
      <c r="D64" s="8">
        <f t="shared" si="0"/>
        <v>45802</v>
      </c>
      <c r="E64" s="6">
        <f t="shared" si="1"/>
        <v>28</v>
      </c>
      <c r="F64" s="6" t="str">
        <f t="shared" si="2"/>
        <v>Q2-2025</v>
      </c>
      <c r="G64" t="s">
        <v>649</v>
      </c>
      <c r="H64" t="s">
        <v>657</v>
      </c>
      <c r="I64" t="s">
        <v>690</v>
      </c>
      <c r="J64" t="s">
        <v>705</v>
      </c>
      <c r="K64" t="s">
        <v>709</v>
      </c>
      <c r="L64" t="s">
        <v>714</v>
      </c>
      <c r="M64" t="s">
        <v>730</v>
      </c>
      <c r="N64">
        <f t="shared" si="3"/>
        <v>0.10017438514546169</v>
      </c>
      <c r="O64" t="s">
        <v>796</v>
      </c>
      <c r="P64" s="4">
        <v>603.45000000000005</v>
      </c>
      <c r="Q64" s="4">
        <v>1244.08</v>
      </c>
      <c r="R64" s="4" t="str">
        <f t="shared" si="4"/>
        <v>Profit</v>
      </c>
      <c r="S64">
        <v>0.2</v>
      </c>
      <c r="T64" s="4">
        <v>11</v>
      </c>
      <c r="U64">
        <f t="shared" si="5"/>
        <v>10947.904</v>
      </c>
      <c r="V64">
        <f t="shared" si="6"/>
        <v>6637.9500000000007</v>
      </c>
      <c r="W64">
        <f t="shared" si="7"/>
        <v>4309.9539999999997</v>
      </c>
      <c r="X64">
        <f t="shared" si="8"/>
        <v>0.39367846119220623</v>
      </c>
    </row>
    <row r="65" spans="1:24" x14ac:dyDescent="0.25">
      <c r="A65" t="s">
        <v>78</v>
      </c>
      <c r="B65" s="13">
        <v>45598</v>
      </c>
      <c r="C65" s="8">
        <v>45614</v>
      </c>
      <c r="D65" s="8">
        <f t="shared" si="0"/>
        <v>45614</v>
      </c>
      <c r="E65" s="6">
        <f t="shared" si="1"/>
        <v>16</v>
      </c>
      <c r="F65" s="6" t="str">
        <f t="shared" si="2"/>
        <v>Q4-2024</v>
      </c>
      <c r="G65" t="s">
        <v>647</v>
      </c>
      <c r="H65" t="s">
        <v>654</v>
      </c>
      <c r="I65" t="s">
        <v>691</v>
      </c>
      <c r="J65" t="s">
        <v>705</v>
      </c>
      <c r="K65" t="s">
        <v>710</v>
      </c>
      <c r="L65" t="s">
        <v>719</v>
      </c>
      <c r="M65" t="s">
        <v>732</v>
      </c>
      <c r="N65">
        <f t="shared" si="3"/>
        <v>0.66489928886352234</v>
      </c>
      <c r="O65" t="s">
        <v>797</v>
      </c>
      <c r="P65" s="4">
        <v>1233.58</v>
      </c>
      <c r="Q65" s="4">
        <v>1912.51</v>
      </c>
      <c r="R65" s="4" t="str">
        <f t="shared" si="4"/>
        <v>Profit</v>
      </c>
      <c r="S65">
        <v>0.255</v>
      </c>
      <c r="T65" s="4">
        <v>51</v>
      </c>
      <c r="U65">
        <f t="shared" si="5"/>
        <v>72665.817450000002</v>
      </c>
      <c r="V65">
        <f t="shared" si="6"/>
        <v>62912.579999999994</v>
      </c>
      <c r="W65">
        <f t="shared" si="7"/>
        <v>9753.2374500000078</v>
      </c>
      <c r="X65">
        <f t="shared" si="8"/>
        <v>0.134220432553601</v>
      </c>
    </row>
    <row r="66" spans="1:24" x14ac:dyDescent="0.25">
      <c r="A66" t="s">
        <v>79</v>
      </c>
      <c r="B66" s="13">
        <v>44972</v>
      </c>
      <c r="C66" s="8">
        <v>44983</v>
      </c>
      <c r="D66" s="8">
        <f t="shared" si="0"/>
        <v>44983</v>
      </c>
      <c r="E66" s="6">
        <f t="shared" si="1"/>
        <v>11</v>
      </c>
      <c r="F66" s="6" t="str">
        <f t="shared" si="2"/>
        <v>Q1-2023</v>
      </c>
      <c r="G66" t="s">
        <v>646</v>
      </c>
      <c r="H66" t="s">
        <v>661</v>
      </c>
      <c r="I66" t="s">
        <v>682</v>
      </c>
      <c r="J66" t="s">
        <v>703</v>
      </c>
      <c r="K66" t="s">
        <v>707</v>
      </c>
      <c r="L66" t="s">
        <v>723</v>
      </c>
      <c r="M66" t="s">
        <v>731</v>
      </c>
      <c r="N66">
        <f t="shared" si="3"/>
        <v>0.24068668075610858</v>
      </c>
      <c r="O66" t="s">
        <v>798</v>
      </c>
      <c r="P66" s="4">
        <v>498.5</v>
      </c>
      <c r="Q66" s="4">
        <v>755.87</v>
      </c>
      <c r="R66" s="4" t="str">
        <f t="shared" si="4"/>
        <v>Profit</v>
      </c>
      <c r="S66">
        <v>0.13</v>
      </c>
      <c r="T66" s="4">
        <v>40</v>
      </c>
      <c r="U66">
        <f t="shared" si="5"/>
        <v>26304.275999999998</v>
      </c>
      <c r="V66">
        <f t="shared" si="6"/>
        <v>19940</v>
      </c>
      <c r="W66">
        <f t="shared" si="7"/>
        <v>6364.275999999998</v>
      </c>
      <c r="X66">
        <f t="shared" si="8"/>
        <v>0.24194834330357537</v>
      </c>
    </row>
    <row r="67" spans="1:24" x14ac:dyDescent="0.25">
      <c r="A67" t="s">
        <v>80</v>
      </c>
      <c r="B67" s="13">
        <v>45263</v>
      </c>
      <c r="C67" s="8">
        <v>45286</v>
      </c>
      <c r="D67" s="8">
        <f t="shared" ref="D67:D130" si="9">IF(B67&gt;C67, B67+7, C67)</f>
        <v>45286</v>
      </c>
      <c r="E67" s="6">
        <f t="shared" ref="E67:E130" si="10">(D67-B67)</f>
        <v>23</v>
      </c>
      <c r="F67" s="6" t="str">
        <f t="shared" ref="F67:F130" si="11">"Q"&amp;ROUNDUP(MONTH(B67)/3,0)&amp;"-"&amp;YEAR(B67)</f>
        <v>Q4-2023</v>
      </c>
      <c r="G67" t="s">
        <v>648</v>
      </c>
      <c r="H67" t="s">
        <v>655</v>
      </c>
      <c r="I67" t="s">
        <v>692</v>
      </c>
      <c r="J67" t="s">
        <v>702</v>
      </c>
      <c r="K67" t="s">
        <v>707</v>
      </c>
      <c r="L67" t="s">
        <v>719</v>
      </c>
      <c r="M67" t="s">
        <v>730</v>
      </c>
      <c r="N67">
        <f t="shared" ref="N67:N130" si="12">(U67/$U$634)*100</f>
        <v>0.11120357698573249</v>
      </c>
      <c r="O67" t="s">
        <v>799</v>
      </c>
      <c r="P67" s="4">
        <v>1303.1099999999999</v>
      </c>
      <c r="Q67" s="4">
        <v>1145.67</v>
      </c>
      <c r="R67" s="4" t="str">
        <f t="shared" ref="R67:R130" si="13">IF(Q67&gt;P67, "Profit", IF(Q67&lt;P67, "Loss"))</f>
        <v>Loss</v>
      </c>
      <c r="S67">
        <v>0.184</v>
      </c>
      <c r="T67" s="4">
        <v>13</v>
      </c>
      <c r="U67">
        <f t="shared" ref="U67:U130" si="14">Q67*T67*(1-S67)</f>
        <v>12153.267360000002</v>
      </c>
      <c r="V67">
        <f t="shared" ref="V67:V130" si="15">P67*T67</f>
        <v>16940.43</v>
      </c>
      <c r="W67">
        <f t="shared" ref="W67:W130" si="16">U67-V67</f>
        <v>-4787.1626399999986</v>
      </c>
      <c r="X67">
        <f t="shared" ref="X67:X130" si="17">IF(U67=0, 0, W67/U67)</f>
        <v>-0.39389922875851208</v>
      </c>
    </row>
    <row r="68" spans="1:24" x14ac:dyDescent="0.25">
      <c r="A68" t="s">
        <v>81</v>
      </c>
      <c r="B68" s="13">
        <v>45004</v>
      </c>
      <c r="C68" s="8">
        <v>45025</v>
      </c>
      <c r="D68" s="8">
        <f t="shared" si="9"/>
        <v>45025</v>
      </c>
      <c r="E68" s="6">
        <f t="shared" si="10"/>
        <v>21</v>
      </c>
      <c r="F68" s="6" t="str">
        <f t="shared" si="11"/>
        <v>Q1-2023</v>
      </c>
      <c r="G68" t="s">
        <v>649</v>
      </c>
      <c r="H68" t="s">
        <v>658</v>
      </c>
      <c r="I68" t="s">
        <v>693</v>
      </c>
      <c r="J68" t="s">
        <v>704</v>
      </c>
      <c r="K68" t="s">
        <v>707</v>
      </c>
      <c r="L68" t="s">
        <v>716</v>
      </c>
      <c r="M68" t="s">
        <v>733</v>
      </c>
      <c r="N68">
        <f t="shared" si="12"/>
        <v>0.14652674230566809</v>
      </c>
      <c r="O68" t="s">
        <v>800</v>
      </c>
      <c r="P68" s="4">
        <v>1082.17</v>
      </c>
      <c r="Q68" s="4">
        <v>1234.0999999999999</v>
      </c>
      <c r="R68" s="4" t="str">
        <f t="shared" si="13"/>
        <v>Profit</v>
      </c>
      <c r="S68">
        <v>0.189</v>
      </c>
      <c r="T68" s="4">
        <v>16</v>
      </c>
      <c r="U68">
        <f t="shared" si="14"/>
        <v>16013.681599999998</v>
      </c>
      <c r="V68">
        <f t="shared" si="15"/>
        <v>17314.72</v>
      </c>
      <c r="W68">
        <f t="shared" si="16"/>
        <v>-1301.0384000000031</v>
      </c>
      <c r="X68">
        <f t="shared" si="17"/>
        <v>-8.124542703534228E-2</v>
      </c>
    </row>
    <row r="69" spans="1:24" x14ac:dyDescent="0.25">
      <c r="A69" t="s">
        <v>82</v>
      </c>
      <c r="B69" s="13">
        <v>45434</v>
      </c>
      <c r="C69" s="8">
        <v>45449</v>
      </c>
      <c r="D69" s="8">
        <f t="shared" si="9"/>
        <v>45449</v>
      </c>
      <c r="E69" s="6">
        <f t="shared" si="10"/>
        <v>15</v>
      </c>
      <c r="F69" s="6" t="str">
        <f t="shared" si="11"/>
        <v>Q2-2024</v>
      </c>
      <c r="G69" t="s">
        <v>647</v>
      </c>
      <c r="H69" t="s">
        <v>652</v>
      </c>
      <c r="I69" t="s">
        <v>694</v>
      </c>
      <c r="J69" t="s">
        <v>701</v>
      </c>
      <c r="K69" t="s">
        <v>710</v>
      </c>
      <c r="L69" t="s">
        <v>712</v>
      </c>
      <c r="M69" t="s">
        <v>732</v>
      </c>
      <c r="N69">
        <f t="shared" si="12"/>
        <v>0.13073563961497436</v>
      </c>
      <c r="O69" t="s">
        <v>801</v>
      </c>
      <c r="P69" s="4">
        <v>673.88</v>
      </c>
      <c r="Q69" s="4">
        <v>1228.01</v>
      </c>
      <c r="R69" s="4" t="str">
        <f t="shared" si="13"/>
        <v>Profit</v>
      </c>
      <c r="S69">
        <v>0.105</v>
      </c>
      <c r="T69" s="4">
        <v>13</v>
      </c>
      <c r="U69">
        <f t="shared" si="14"/>
        <v>14287.896349999999</v>
      </c>
      <c r="V69">
        <f t="shared" si="15"/>
        <v>8760.44</v>
      </c>
      <c r="W69">
        <f t="shared" si="16"/>
        <v>5527.4563499999986</v>
      </c>
      <c r="X69">
        <f t="shared" si="17"/>
        <v>0.38686285332689996</v>
      </c>
    </row>
    <row r="70" spans="1:24" x14ac:dyDescent="0.25">
      <c r="A70" t="s">
        <v>83</v>
      </c>
      <c r="B70" s="13">
        <v>45157</v>
      </c>
      <c r="C70" s="8">
        <v>45176</v>
      </c>
      <c r="D70" s="8">
        <f t="shared" si="9"/>
        <v>45176</v>
      </c>
      <c r="E70" s="6">
        <f t="shared" si="10"/>
        <v>19</v>
      </c>
      <c r="F70" s="6" t="str">
        <f t="shared" si="11"/>
        <v>Q3-2023</v>
      </c>
      <c r="G70" t="s">
        <v>646</v>
      </c>
      <c r="H70" t="s">
        <v>661</v>
      </c>
      <c r="I70" t="s">
        <v>682</v>
      </c>
      <c r="J70" t="s">
        <v>706</v>
      </c>
      <c r="K70" t="s">
        <v>707</v>
      </c>
      <c r="L70" t="s">
        <v>726</v>
      </c>
      <c r="M70" t="s">
        <v>732</v>
      </c>
      <c r="N70">
        <f t="shared" si="12"/>
        <v>7.9347221700711831E-2</v>
      </c>
      <c r="O70" t="s">
        <v>802</v>
      </c>
      <c r="P70" s="4">
        <v>494.61</v>
      </c>
      <c r="Q70" s="4">
        <v>605.23</v>
      </c>
      <c r="R70" s="4" t="str">
        <f t="shared" si="13"/>
        <v>Profit</v>
      </c>
      <c r="S70">
        <v>0.20399999999999999</v>
      </c>
      <c r="T70" s="4">
        <v>18</v>
      </c>
      <c r="U70">
        <f t="shared" si="14"/>
        <v>8671.7354400000004</v>
      </c>
      <c r="V70">
        <f t="shared" si="15"/>
        <v>8902.98</v>
      </c>
      <c r="W70">
        <f t="shared" si="16"/>
        <v>-231.24455999999918</v>
      </c>
      <c r="X70">
        <f t="shared" si="17"/>
        <v>-2.6666468505639647E-2</v>
      </c>
    </row>
    <row r="71" spans="1:24" x14ac:dyDescent="0.25">
      <c r="A71" t="s">
        <v>84</v>
      </c>
      <c r="B71" s="13">
        <v>45037</v>
      </c>
      <c r="C71" s="8">
        <v>45056</v>
      </c>
      <c r="D71" s="8">
        <f t="shared" si="9"/>
        <v>45056</v>
      </c>
      <c r="E71" s="6">
        <f t="shared" si="10"/>
        <v>19</v>
      </c>
      <c r="F71" s="6" t="str">
        <f t="shared" si="11"/>
        <v>Q2-2023</v>
      </c>
      <c r="G71" t="s">
        <v>647</v>
      </c>
      <c r="H71" t="s">
        <v>659</v>
      </c>
      <c r="I71" t="s">
        <v>685</v>
      </c>
      <c r="J71" t="s">
        <v>701</v>
      </c>
      <c r="K71" t="s">
        <v>707</v>
      </c>
      <c r="L71" t="s">
        <v>720</v>
      </c>
      <c r="M71" t="s">
        <v>727</v>
      </c>
      <c r="N71">
        <f t="shared" si="12"/>
        <v>8.171688695830627E-2</v>
      </c>
      <c r="O71" t="s">
        <v>803</v>
      </c>
      <c r="P71" s="4">
        <v>882.33</v>
      </c>
      <c r="Q71" s="4">
        <v>1880.15</v>
      </c>
      <c r="R71" s="4" t="str">
        <f t="shared" si="13"/>
        <v>Profit</v>
      </c>
      <c r="S71">
        <v>0.05</v>
      </c>
      <c r="T71" s="4">
        <v>5</v>
      </c>
      <c r="U71">
        <f t="shared" si="14"/>
        <v>8930.7124999999996</v>
      </c>
      <c r="V71">
        <f t="shared" si="15"/>
        <v>4411.6500000000005</v>
      </c>
      <c r="W71">
        <f t="shared" si="16"/>
        <v>4519.0624999999991</v>
      </c>
      <c r="X71">
        <f t="shared" si="17"/>
        <v>0.50601365792482955</v>
      </c>
    </row>
    <row r="72" spans="1:24" x14ac:dyDescent="0.25">
      <c r="A72" t="s">
        <v>85</v>
      </c>
      <c r="B72" s="13">
        <v>45369</v>
      </c>
      <c r="C72" s="8">
        <v>45372</v>
      </c>
      <c r="D72" s="8">
        <f t="shared" si="9"/>
        <v>45372</v>
      </c>
      <c r="E72" s="6">
        <f t="shared" si="10"/>
        <v>3</v>
      </c>
      <c r="F72" s="6" t="str">
        <f t="shared" si="11"/>
        <v>Q1-2024</v>
      </c>
      <c r="G72" t="s">
        <v>649</v>
      </c>
      <c r="H72" t="s">
        <v>656</v>
      </c>
      <c r="I72" t="s">
        <v>684</v>
      </c>
      <c r="J72" t="s">
        <v>705</v>
      </c>
      <c r="K72" t="s">
        <v>708</v>
      </c>
      <c r="L72" t="s">
        <v>724</v>
      </c>
      <c r="M72" t="s">
        <v>733</v>
      </c>
      <c r="N72">
        <f t="shared" si="12"/>
        <v>9.7427738264475858E-2</v>
      </c>
      <c r="O72" t="s">
        <v>804</v>
      </c>
      <c r="P72" s="4">
        <v>910.63</v>
      </c>
      <c r="Q72" s="4">
        <v>1269.4000000000001</v>
      </c>
      <c r="R72" s="4" t="str">
        <f t="shared" si="13"/>
        <v>Profit</v>
      </c>
      <c r="S72">
        <v>6.8000000000000005E-2</v>
      </c>
      <c r="T72" s="4">
        <v>9</v>
      </c>
      <c r="U72">
        <f t="shared" si="14"/>
        <v>10647.727199999999</v>
      </c>
      <c r="V72">
        <f t="shared" si="15"/>
        <v>8195.67</v>
      </c>
      <c r="W72">
        <f t="shared" si="16"/>
        <v>2452.0571999999993</v>
      </c>
      <c r="X72">
        <f t="shared" si="17"/>
        <v>0.23028925834989455</v>
      </c>
    </row>
    <row r="73" spans="1:24" x14ac:dyDescent="0.25">
      <c r="A73" t="s">
        <v>86</v>
      </c>
      <c r="B73" s="13">
        <v>45756</v>
      </c>
      <c r="C73" s="8">
        <v>45783</v>
      </c>
      <c r="D73" s="8">
        <f t="shared" si="9"/>
        <v>45783</v>
      </c>
      <c r="E73" s="6">
        <f t="shared" si="10"/>
        <v>27</v>
      </c>
      <c r="F73" s="6" t="str">
        <f t="shared" si="11"/>
        <v>Q2-2025</v>
      </c>
      <c r="G73" t="s">
        <v>648</v>
      </c>
      <c r="H73" t="s">
        <v>655</v>
      </c>
      <c r="I73" t="s">
        <v>672</v>
      </c>
      <c r="J73" t="s">
        <v>706</v>
      </c>
      <c r="K73" t="s">
        <v>709</v>
      </c>
      <c r="L73" t="s">
        <v>721</v>
      </c>
      <c r="M73" t="s">
        <v>731</v>
      </c>
      <c r="N73">
        <f t="shared" si="12"/>
        <v>5.8497442875855801E-2</v>
      </c>
      <c r="O73" t="s">
        <v>805</v>
      </c>
      <c r="P73" s="4">
        <v>264.19</v>
      </c>
      <c r="Q73" s="4">
        <v>620.92999999999995</v>
      </c>
      <c r="R73" s="4" t="str">
        <f t="shared" si="13"/>
        <v>Profit</v>
      </c>
      <c r="S73">
        <v>0.14199999999999999</v>
      </c>
      <c r="T73" s="4">
        <v>12</v>
      </c>
      <c r="U73">
        <f t="shared" si="14"/>
        <v>6393.0952799999995</v>
      </c>
      <c r="V73">
        <f t="shared" si="15"/>
        <v>3170.2799999999997</v>
      </c>
      <c r="W73">
        <f t="shared" si="16"/>
        <v>3222.8152799999998</v>
      </c>
      <c r="X73">
        <f t="shared" si="17"/>
        <v>0.50410875152794532</v>
      </c>
    </row>
    <row r="74" spans="1:24" x14ac:dyDescent="0.25">
      <c r="A74" t="s">
        <v>87</v>
      </c>
      <c r="B74" s="13">
        <v>45394</v>
      </c>
      <c r="C74" s="8">
        <v>45419</v>
      </c>
      <c r="D74" s="8">
        <f t="shared" si="9"/>
        <v>45419</v>
      </c>
      <c r="E74" s="6">
        <f t="shared" si="10"/>
        <v>25</v>
      </c>
      <c r="F74" s="6" t="str">
        <f t="shared" si="11"/>
        <v>Q2-2024</v>
      </c>
      <c r="G74" t="s">
        <v>646</v>
      </c>
      <c r="H74" t="s">
        <v>661</v>
      </c>
      <c r="I74" t="s">
        <v>682</v>
      </c>
      <c r="J74" t="s">
        <v>702</v>
      </c>
      <c r="K74" t="s">
        <v>710</v>
      </c>
      <c r="L74" t="s">
        <v>720</v>
      </c>
      <c r="M74" t="s">
        <v>731</v>
      </c>
      <c r="N74">
        <f t="shared" si="12"/>
        <v>0.18457240200166389</v>
      </c>
      <c r="O74" t="s">
        <v>806</v>
      </c>
      <c r="P74" s="4">
        <v>1376.51</v>
      </c>
      <c r="Q74" s="4">
        <v>1455.91</v>
      </c>
      <c r="R74" s="4" t="str">
        <f t="shared" si="13"/>
        <v>Profit</v>
      </c>
      <c r="S74">
        <v>0.185</v>
      </c>
      <c r="T74" s="4">
        <v>17</v>
      </c>
      <c r="U74">
        <f t="shared" si="14"/>
        <v>20171.63305</v>
      </c>
      <c r="V74">
        <f t="shared" si="15"/>
        <v>23400.67</v>
      </c>
      <c r="W74">
        <f t="shared" si="16"/>
        <v>-3229.0369499999979</v>
      </c>
      <c r="X74">
        <f t="shared" si="17"/>
        <v>-0.1600781127634085</v>
      </c>
    </row>
    <row r="75" spans="1:24" x14ac:dyDescent="0.25">
      <c r="A75" t="s">
        <v>88</v>
      </c>
      <c r="B75" s="13">
        <v>45641</v>
      </c>
      <c r="C75" s="8">
        <v>45646</v>
      </c>
      <c r="D75" s="8">
        <f t="shared" si="9"/>
        <v>45646</v>
      </c>
      <c r="E75" s="6">
        <f t="shared" si="10"/>
        <v>5</v>
      </c>
      <c r="F75" s="6" t="str">
        <f t="shared" si="11"/>
        <v>Q4-2024</v>
      </c>
      <c r="G75" t="s">
        <v>647</v>
      </c>
      <c r="H75" t="s">
        <v>659</v>
      </c>
      <c r="I75" t="s">
        <v>676</v>
      </c>
      <c r="J75" t="s">
        <v>705</v>
      </c>
      <c r="K75" t="s">
        <v>711</v>
      </c>
      <c r="L75" t="s">
        <v>713</v>
      </c>
      <c r="M75" t="s">
        <v>729</v>
      </c>
      <c r="N75">
        <f t="shared" si="12"/>
        <v>8.5768071607491628E-2</v>
      </c>
      <c r="O75" t="s">
        <v>807</v>
      </c>
      <c r="P75" s="4">
        <v>717.55</v>
      </c>
      <c r="Q75" s="4">
        <v>546.42999999999995</v>
      </c>
      <c r="R75" s="4" t="str">
        <f t="shared" si="13"/>
        <v>Loss</v>
      </c>
      <c r="S75">
        <v>4.7E-2</v>
      </c>
      <c r="T75" s="4">
        <v>18</v>
      </c>
      <c r="U75">
        <f t="shared" si="14"/>
        <v>9373.460219999999</v>
      </c>
      <c r="V75">
        <f t="shared" si="15"/>
        <v>12915.9</v>
      </c>
      <c r="W75">
        <f t="shared" si="16"/>
        <v>-3542.4397800000006</v>
      </c>
      <c r="X75">
        <f t="shared" si="17"/>
        <v>-0.37792231437026369</v>
      </c>
    </row>
    <row r="76" spans="1:24" x14ac:dyDescent="0.25">
      <c r="A76" t="s">
        <v>89</v>
      </c>
      <c r="B76" s="13">
        <v>45066</v>
      </c>
      <c r="C76" s="8">
        <v>45064</v>
      </c>
      <c r="D76" s="8">
        <f t="shared" si="9"/>
        <v>45073</v>
      </c>
      <c r="E76" s="6">
        <f t="shared" si="10"/>
        <v>7</v>
      </c>
      <c r="F76" s="6" t="str">
        <f t="shared" si="11"/>
        <v>Q2-2023</v>
      </c>
      <c r="G76" t="s">
        <v>646</v>
      </c>
      <c r="H76" t="s">
        <v>661</v>
      </c>
      <c r="I76" t="s">
        <v>687</v>
      </c>
      <c r="J76" t="s">
        <v>701</v>
      </c>
      <c r="K76" t="s">
        <v>710</v>
      </c>
      <c r="L76" t="s">
        <v>720</v>
      </c>
      <c r="M76" t="s">
        <v>727</v>
      </c>
      <c r="N76">
        <f t="shared" si="12"/>
        <v>4.0515872534597895E-2</v>
      </c>
      <c r="O76" t="s">
        <v>808</v>
      </c>
      <c r="P76" s="4">
        <v>917.88</v>
      </c>
      <c r="Q76" s="4">
        <v>1347.92</v>
      </c>
      <c r="R76" s="4" t="str">
        <f t="shared" si="13"/>
        <v>Profit</v>
      </c>
      <c r="S76">
        <v>0.34300000000000003</v>
      </c>
      <c r="T76" s="4">
        <v>5</v>
      </c>
      <c r="U76">
        <f t="shared" si="14"/>
        <v>4427.9172000000008</v>
      </c>
      <c r="V76">
        <f t="shared" si="15"/>
        <v>4589.3999999999996</v>
      </c>
      <c r="W76">
        <f t="shared" si="16"/>
        <v>-161.48279999999886</v>
      </c>
      <c r="X76">
        <f t="shared" si="17"/>
        <v>-3.6469245630880096E-2</v>
      </c>
    </row>
    <row r="77" spans="1:24" x14ac:dyDescent="0.25">
      <c r="A77" t="s">
        <v>90</v>
      </c>
      <c r="B77" s="13">
        <v>45187</v>
      </c>
      <c r="C77" s="8">
        <v>45207</v>
      </c>
      <c r="D77" s="8">
        <f t="shared" si="9"/>
        <v>45207</v>
      </c>
      <c r="E77" s="6">
        <f t="shared" si="10"/>
        <v>20</v>
      </c>
      <c r="F77" s="6" t="str">
        <f t="shared" si="11"/>
        <v>Q3-2023</v>
      </c>
      <c r="G77" t="s">
        <v>647</v>
      </c>
      <c r="H77" t="s">
        <v>654</v>
      </c>
      <c r="I77" t="s">
        <v>680</v>
      </c>
      <c r="J77" t="s">
        <v>705</v>
      </c>
      <c r="K77" t="s">
        <v>711</v>
      </c>
      <c r="L77" t="s">
        <v>717</v>
      </c>
      <c r="M77" t="s">
        <v>727</v>
      </c>
      <c r="N77">
        <f t="shared" si="12"/>
        <v>6.2902185997750354E-2</v>
      </c>
      <c r="O77" t="s">
        <v>809</v>
      </c>
      <c r="P77" s="4">
        <v>825.64</v>
      </c>
      <c r="Q77" s="4">
        <v>1108.43</v>
      </c>
      <c r="R77" s="4" t="str">
        <f t="shared" si="13"/>
        <v>Profit</v>
      </c>
      <c r="S77">
        <v>0.114</v>
      </c>
      <c r="T77" s="4">
        <v>7</v>
      </c>
      <c r="U77">
        <f t="shared" si="14"/>
        <v>6874.4828600000001</v>
      </c>
      <c r="V77">
        <f t="shared" si="15"/>
        <v>5779.48</v>
      </c>
      <c r="W77">
        <f t="shared" si="16"/>
        <v>1095.0028600000005</v>
      </c>
      <c r="X77">
        <f t="shared" si="17"/>
        <v>0.15928512475773349</v>
      </c>
    </row>
    <row r="78" spans="1:24" x14ac:dyDescent="0.25">
      <c r="A78" t="s">
        <v>91</v>
      </c>
      <c r="B78" s="13">
        <v>45532</v>
      </c>
      <c r="C78" s="8">
        <v>45560</v>
      </c>
      <c r="D78" s="8">
        <f t="shared" si="9"/>
        <v>45560</v>
      </c>
      <c r="E78" s="6">
        <f t="shared" si="10"/>
        <v>28</v>
      </c>
      <c r="F78" s="6" t="str">
        <f t="shared" si="11"/>
        <v>Q3-2024</v>
      </c>
      <c r="G78" t="s">
        <v>648</v>
      </c>
      <c r="H78" t="s">
        <v>655</v>
      </c>
      <c r="I78" t="s">
        <v>692</v>
      </c>
      <c r="J78" t="s">
        <v>703</v>
      </c>
      <c r="K78" t="s">
        <v>708</v>
      </c>
      <c r="L78" t="s">
        <v>1422</v>
      </c>
      <c r="M78" t="s">
        <v>733</v>
      </c>
      <c r="N78">
        <f t="shared" si="12"/>
        <v>0.32387938047803078</v>
      </c>
      <c r="O78" t="s">
        <v>810</v>
      </c>
      <c r="P78" s="4">
        <v>1394.65</v>
      </c>
      <c r="Q78" s="4">
        <v>3144.1</v>
      </c>
      <c r="R78" s="4" t="str">
        <f t="shared" si="13"/>
        <v>Profit</v>
      </c>
      <c r="S78">
        <v>0.13400000000000001</v>
      </c>
      <c r="T78" s="4">
        <v>13</v>
      </c>
      <c r="U78">
        <f t="shared" si="14"/>
        <v>35396.277799999996</v>
      </c>
      <c r="V78">
        <f t="shared" si="15"/>
        <v>18130.45</v>
      </c>
      <c r="W78">
        <f t="shared" si="16"/>
        <v>17265.827799999995</v>
      </c>
      <c r="X78">
        <f t="shared" si="17"/>
        <v>0.4877865378263021</v>
      </c>
    </row>
    <row r="79" spans="1:24" x14ac:dyDescent="0.25">
      <c r="A79" t="s">
        <v>92</v>
      </c>
      <c r="B79" s="13">
        <v>45473</v>
      </c>
      <c r="C79" s="8">
        <v>45471</v>
      </c>
      <c r="D79" s="8">
        <f t="shared" si="9"/>
        <v>45480</v>
      </c>
      <c r="E79" s="6">
        <f t="shared" si="10"/>
        <v>7</v>
      </c>
      <c r="F79" s="6" t="str">
        <f t="shared" si="11"/>
        <v>Q2-2024</v>
      </c>
      <c r="G79" t="s">
        <v>648</v>
      </c>
      <c r="H79" t="s">
        <v>655</v>
      </c>
      <c r="I79" t="s">
        <v>692</v>
      </c>
      <c r="J79" t="s">
        <v>705</v>
      </c>
      <c r="K79" t="s">
        <v>711</v>
      </c>
      <c r="L79" t="s">
        <v>716</v>
      </c>
      <c r="M79" t="s">
        <v>733</v>
      </c>
      <c r="N79">
        <f t="shared" si="12"/>
        <v>0.30252267565717189</v>
      </c>
      <c r="O79" t="s">
        <v>811</v>
      </c>
      <c r="P79" s="4">
        <v>1112.98</v>
      </c>
      <c r="Q79" s="4">
        <v>2095.73</v>
      </c>
      <c r="R79" s="4" t="str">
        <f t="shared" si="13"/>
        <v>Profit</v>
      </c>
      <c r="S79">
        <v>7.1999999999999995E-2</v>
      </c>
      <c r="T79" s="4">
        <v>17</v>
      </c>
      <c r="U79">
        <f t="shared" si="14"/>
        <v>33062.236480000007</v>
      </c>
      <c r="V79">
        <f t="shared" si="15"/>
        <v>18920.66</v>
      </c>
      <c r="W79">
        <f t="shared" si="16"/>
        <v>14141.576480000007</v>
      </c>
      <c r="X79">
        <f t="shared" si="17"/>
        <v>0.42772594916724777</v>
      </c>
    </row>
    <row r="80" spans="1:24" x14ac:dyDescent="0.25">
      <c r="A80" t="s">
        <v>93</v>
      </c>
      <c r="B80" s="13">
        <v>45091</v>
      </c>
      <c r="C80" s="8">
        <v>45093</v>
      </c>
      <c r="D80" s="8">
        <f t="shared" si="9"/>
        <v>45093</v>
      </c>
      <c r="E80" s="6">
        <f t="shared" si="10"/>
        <v>2</v>
      </c>
      <c r="F80" s="6" t="str">
        <f t="shared" si="11"/>
        <v>Q2-2023</v>
      </c>
      <c r="G80" t="s">
        <v>649</v>
      </c>
      <c r="H80" t="s">
        <v>658</v>
      </c>
      <c r="I80" t="s">
        <v>693</v>
      </c>
      <c r="J80" t="s">
        <v>703</v>
      </c>
      <c r="K80" t="s">
        <v>711</v>
      </c>
      <c r="L80" t="s">
        <v>723</v>
      </c>
      <c r="M80" t="s">
        <v>727</v>
      </c>
      <c r="N80">
        <f t="shared" si="12"/>
        <v>9.5671523518848847E-2</v>
      </c>
      <c r="O80" t="s">
        <v>812</v>
      </c>
      <c r="P80" s="4">
        <v>357.36</v>
      </c>
      <c r="Q80" s="4">
        <v>703.62</v>
      </c>
      <c r="R80" s="4" t="str">
        <f t="shared" si="13"/>
        <v>Profit</v>
      </c>
      <c r="S80">
        <v>0.25700000000000001</v>
      </c>
      <c r="T80" s="4">
        <v>20</v>
      </c>
      <c r="U80">
        <f t="shared" si="14"/>
        <v>10455.7932</v>
      </c>
      <c r="V80">
        <f t="shared" si="15"/>
        <v>7147.2000000000007</v>
      </c>
      <c r="W80">
        <f t="shared" si="16"/>
        <v>3308.5931999999993</v>
      </c>
      <c r="X80">
        <f t="shared" si="17"/>
        <v>0.31643636563125593</v>
      </c>
    </row>
    <row r="81" spans="1:24" x14ac:dyDescent="0.25">
      <c r="A81" t="s">
        <v>94</v>
      </c>
      <c r="B81" s="13">
        <v>45617</v>
      </c>
      <c r="C81" s="8">
        <v>45647</v>
      </c>
      <c r="D81" s="8">
        <f t="shared" si="9"/>
        <v>45647</v>
      </c>
      <c r="E81" s="6">
        <f t="shared" si="10"/>
        <v>30</v>
      </c>
      <c r="F81" s="6" t="str">
        <f t="shared" si="11"/>
        <v>Q4-2024</v>
      </c>
      <c r="G81" t="s">
        <v>649</v>
      </c>
      <c r="H81" t="s">
        <v>657</v>
      </c>
      <c r="I81" t="s">
        <v>673</v>
      </c>
      <c r="J81" t="s">
        <v>705</v>
      </c>
      <c r="K81" t="s">
        <v>711</v>
      </c>
      <c r="L81" t="s">
        <v>714</v>
      </c>
      <c r="M81" t="s">
        <v>732</v>
      </c>
      <c r="N81">
        <f t="shared" si="12"/>
        <v>4.4626286311615367E-2</v>
      </c>
      <c r="O81" t="s">
        <v>813</v>
      </c>
      <c r="P81" s="4">
        <v>1122.68</v>
      </c>
      <c r="Q81" s="4">
        <v>1997.19</v>
      </c>
      <c r="R81" s="4" t="str">
        <f t="shared" si="13"/>
        <v>Profit</v>
      </c>
      <c r="S81">
        <v>0.186</v>
      </c>
      <c r="T81" s="4">
        <v>3</v>
      </c>
      <c r="U81">
        <f t="shared" si="14"/>
        <v>4877.1379800000004</v>
      </c>
      <c r="V81">
        <f t="shared" si="15"/>
        <v>3368.04</v>
      </c>
      <c r="W81">
        <f t="shared" si="16"/>
        <v>1509.0979800000005</v>
      </c>
      <c r="X81">
        <f t="shared" si="17"/>
        <v>0.30942285951073306</v>
      </c>
    </row>
    <row r="82" spans="1:24" x14ac:dyDescent="0.25">
      <c r="A82" t="s">
        <v>95</v>
      </c>
      <c r="B82" s="13">
        <v>44965</v>
      </c>
      <c r="C82" s="8">
        <v>44968</v>
      </c>
      <c r="D82" s="8">
        <f t="shared" si="9"/>
        <v>44968</v>
      </c>
      <c r="E82" s="6">
        <f t="shared" si="10"/>
        <v>3</v>
      </c>
      <c r="F82" s="6" t="str">
        <f t="shared" si="11"/>
        <v>Q1-2023</v>
      </c>
      <c r="G82" t="s">
        <v>646</v>
      </c>
      <c r="H82" t="s">
        <v>661</v>
      </c>
      <c r="I82" t="s">
        <v>695</v>
      </c>
      <c r="J82" t="s">
        <v>701</v>
      </c>
      <c r="K82" t="s">
        <v>711</v>
      </c>
      <c r="L82" t="s">
        <v>724</v>
      </c>
      <c r="M82" t="s">
        <v>729</v>
      </c>
      <c r="N82">
        <f t="shared" si="12"/>
        <v>0.55168502570195477</v>
      </c>
      <c r="O82" t="s">
        <v>814</v>
      </c>
      <c r="P82" s="4">
        <v>1410.05</v>
      </c>
      <c r="Q82" s="4">
        <v>2763.95</v>
      </c>
      <c r="R82" s="4" t="str">
        <f t="shared" si="13"/>
        <v>Profit</v>
      </c>
      <c r="S82">
        <v>0.161</v>
      </c>
      <c r="T82" s="4">
        <v>26</v>
      </c>
      <c r="U82">
        <f t="shared" si="14"/>
        <v>60292.805299999993</v>
      </c>
      <c r="V82">
        <f t="shared" si="15"/>
        <v>36661.299999999996</v>
      </c>
      <c r="W82">
        <f t="shared" si="16"/>
        <v>23631.505299999997</v>
      </c>
      <c r="X82">
        <f t="shared" si="17"/>
        <v>0.39194569206750779</v>
      </c>
    </row>
    <row r="83" spans="1:24" x14ac:dyDescent="0.25">
      <c r="A83" t="s">
        <v>96</v>
      </c>
      <c r="B83" s="13">
        <v>45157</v>
      </c>
      <c r="C83" s="8">
        <v>45181</v>
      </c>
      <c r="D83" s="8">
        <f t="shared" si="9"/>
        <v>45181</v>
      </c>
      <c r="E83" s="6">
        <f t="shared" si="10"/>
        <v>24</v>
      </c>
      <c r="F83" s="6" t="str">
        <f t="shared" si="11"/>
        <v>Q3-2023</v>
      </c>
      <c r="G83" t="s">
        <v>648</v>
      </c>
      <c r="H83" t="s">
        <v>653</v>
      </c>
      <c r="I83" t="s">
        <v>688</v>
      </c>
      <c r="J83" t="s">
        <v>706</v>
      </c>
      <c r="K83" t="s">
        <v>707</v>
      </c>
      <c r="L83" t="s">
        <v>714</v>
      </c>
      <c r="M83" t="s">
        <v>728</v>
      </c>
      <c r="N83">
        <f t="shared" si="12"/>
        <v>0.1670704189046551</v>
      </c>
      <c r="O83" t="s">
        <v>815</v>
      </c>
      <c r="P83" s="4">
        <v>1183.95</v>
      </c>
      <c r="Q83" s="4">
        <v>1503.53</v>
      </c>
      <c r="R83" s="4" t="str">
        <f t="shared" si="13"/>
        <v>Profit</v>
      </c>
      <c r="S83">
        <v>0.24099999999999999</v>
      </c>
      <c r="T83" s="4">
        <v>16</v>
      </c>
      <c r="U83">
        <f t="shared" si="14"/>
        <v>18258.868320000001</v>
      </c>
      <c r="V83">
        <f t="shared" si="15"/>
        <v>18943.2</v>
      </c>
      <c r="W83">
        <f t="shared" si="16"/>
        <v>-684.33167999999932</v>
      </c>
      <c r="X83">
        <f t="shared" si="17"/>
        <v>-3.7479413729623705E-2</v>
      </c>
    </row>
    <row r="84" spans="1:24" x14ac:dyDescent="0.25">
      <c r="A84" t="s">
        <v>97</v>
      </c>
      <c r="B84" s="13">
        <v>45791</v>
      </c>
      <c r="C84" s="8">
        <v>45801</v>
      </c>
      <c r="D84" s="8">
        <f t="shared" si="9"/>
        <v>45801</v>
      </c>
      <c r="E84" s="6">
        <f t="shared" si="10"/>
        <v>10</v>
      </c>
      <c r="F84" s="6" t="str">
        <f t="shared" si="11"/>
        <v>Q2-2025</v>
      </c>
      <c r="G84" t="s">
        <v>649</v>
      </c>
      <c r="H84" t="s">
        <v>657</v>
      </c>
      <c r="I84" t="s">
        <v>690</v>
      </c>
      <c r="J84" t="s">
        <v>705</v>
      </c>
      <c r="K84" t="s">
        <v>709</v>
      </c>
      <c r="L84" t="s">
        <v>723</v>
      </c>
      <c r="M84" t="s">
        <v>727</v>
      </c>
      <c r="N84">
        <f t="shared" si="12"/>
        <v>4.8785294790559881E-2</v>
      </c>
      <c r="O84" t="s">
        <v>816</v>
      </c>
      <c r="P84" s="4">
        <v>170.39</v>
      </c>
      <c r="Q84" s="4">
        <v>388.04</v>
      </c>
      <c r="R84" s="4" t="str">
        <f t="shared" si="13"/>
        <v>Profit</v>
      </c>
      <c r="S84">
        <v>8.4000000000000005E-2</v>
      </c>
      <c r="T84" s="4">
        <v>15</v>
      </c>
      <c r="U84">
        <f t="shared" si="14"/>
        <v>5331.6696000000002</v>
      </c>
      <c r="V84">
        <f t="shared" si="15"/>
        <v>2555.85</v>
      </c>
      <c r="W84">
        <f t="shared" si="16"/>
        <v>2775.8196000000003</v>
      </c>
      <c r="X84">
        <f t="shared" si="17"/>
        <v>0.52062858508711796</v>
      </c>
    </row>
    <row r="85" spans="1:24" x14ac:dyDescent="0.25">
      <c r="A85" t="s">
        <v>98</v>
      </c>
      <c r="B85" s="13">
        <v>45770</v>
      </c>
      <c r="C85" s="8">
        <v>45769</v>
      </c>
      <c r="D85" s="8">
        <f t="shared" si="9"/>
        <v>45777</v>
      </c>
      <c r="E85" s="6">
        <f t="shared" si="10"/>
        <v>7</v>
      </c>
      <c r="F85" s="6" t="str">
        <f t="shared" si="11"/>
        <v>Q2-2025</v>
      </c>
      <c r="G85" t="s">
        <v>648</v>
      </c>
      <c r="H85" t="s">
        <v>660</v>
      </c>
      <c r="I85" t="s">
        <v>686</v>
      </c>
      <c r="J85" t="s">
        <v>703</v>
      </c>
      <c r="K85" t="s">
        <v>710</v>
      </c>
      <c r="L85" t="s">
        <v>726</v>
      </c>
      <c r="M85" t="s">
        <v>732</v>
      </c>
      <c r="N85">
        <f t="shared" si="12"/>
        <v>4.8020784958804673E-3</v>
      </c>
      <c r="O85" t="s">
        <v>817</v>
      </c>
      <c r="P85" s="4">
        <v>23.24</v>
      </c>
      <c r="Q85" s="4">
        <v>44.57</v>
      </c>
      <c r="R85" s="4" t="str">
        <f t="shared" si="13"/>
        <v>Profit</v>
      </c>
      <c r="S85">
        <v>0.215</v>
      </c>
      <c r="T85" s="4">
        <v>15</v>
      </c>
      <c r="U85">
        <f t="shared" si="14"/>
        <v>524.81174999999996</v>
      </c>
      <c r="V85">
        <f t="shared" si="15"/>
        <v>348.59999999999997</v>
      </c>
      <c r="W85">
        <f t="shared" si="16"/>
        <v>176.21174999999999</v>
      </c>
      <c r="X85">
        <f t="shared" si="17"/>
        <v>0.33576182316802167</v>
      </c>
    </row>
    <row r="86" spans="1:24" x14ac:dyDescent="0.25">
      <c r="A86" t="s">
        <v>99</v>
      </c>
      <c r="B86" s="13">
        <v>45741</v>
      </c>
      <c r="C86" s="8">
        <v>45764</v>
      </c>
      <c r="D86" s="8">
        <f t="shared" si="9"/>
        <v>45764</v>
      </c>
      <c r="E86" s="6">
        <f t="shared" si="10"/>
        <v>23</v>
      </c>
      <c r="F86" s="6" t="str">
        <f t="shared" si="11"/>
        <v>Q1-2025</v>
      </c>
      <c r="G86" t="s">
        <v>649</v>
      </c>
      <c r="H86" t="s">
        <v>658</v>
      </c>
      <c r="I86" t="s">
        <v>683</v>
      </c>
      <c r="J86" t="s">
        <v>704</v>
      </c>
      <c r="K86" t="s">
        <v>707</v>
      </c>
      <c r="L86" t="s">
        <v>722</v>
      </c>
      <c r="M86" t="s">
        <v>729</v>
      </c>
      <c r="N86">
        <f t="shared" si="12"/>
        <v>0.19272495034128251</v>
      </c>
      <c r="O86" t="s">
        <v>818</v>
      </c>
      <c r="P86" s="4">
        <v>1421.19</v>
      </c>
      <c r="Q86" s="4">
        <v>1808.26</v>
      </c>
      <c r="R86" s="4" t="str">
        <f t="shared" si="13"/>
        <v>Profit</v>
      </c>
      <c r="S86">
        <v>0.104</v>
      </c>
      <c r="T86" s="4">
        <v>13</v>
      </c>
      <c r="U86">
        <f t="shared" si="14"/>
        <v>21062.61248</v>
      </c>
      <c r="V86">
        <f t="shared" si="15"/>
        <v>18475.47</v>
      </c>
      <c r="W86">
        <f t="shared" si="16"/>
        <v>2587.1424799999986</v>
      </c>
      <c r="X86">
        <f t="shared" si="17"/>
        <v>0.12283103449093123</v>
      </c>
    </row>
    <row r="87" spans="1:24" x14ac:dyDescent="0.25">
      <c r="A87" t="s">
        <v>100</v>
      </c>
      <c r="B87" s="13">
        <v>45282</v>
      </c>
      <c r="C87" s="8">
        <v>45283</v>
      </c>
      <c r="D87" s="8">
        <f t="shared" si="9"/>
        <v>45283</v>
      </c>
      <c r="E87" s="6">
        <f t="shared" si="10"/>
        <v>1</v>
      </c>
      <c r="F87" s="6" t="str">
        <f t="shared" si="11"/>
        <v>Q4-2023</v>
      </c>
      <c r="G87" t="s">
        <v>646</v>
      </c>
      <c r="H87" t="s">
        <v>661</v>
      </c>
      <c r="I87" t="s">
        <v>695</v>
      </c>
      <c r="J87" t="s">
        <v>703</v>
      </c>
      <c r="K87" t="s">
        <v>709</v>
      </c>
      <c r="L87" t="s">
        <v>726</v>
      </c>
      <c r="M87" t="s">
        <v>727</v>
      </c>
      <c r="N87">
        <f t="shared" si="12"/>
        <v>0.12029148403249856</v>
      </c>
      <c r="O87" t="s">
        <v>819</v>
      </c>
      <c r="P87" s="4">
        <v>1186.18</v>
      </c>
      <c r="Q87" s="4">
        <v>1285.0899999999999</v>
      </c>
      <c r="R87" s="4" t="str">
        <f t="shared" si="13"/>
        <v>Profit</v>
      </c>
      <c r="S87">
        <v>7.0000000000000007E-2</v>
      </c>
      <c r="T87" s="4">
        <v>11</v>
      </c>
      <c r="U87">
        <f t="shared" si="14"/>
        <v>13146.470699999998</v>
      </c>
      <c r="V87">
        <f t="shared" si="15"/>
        <v>13047.980000000001</v>
      </c>
      <c r="W87">
        <f t="shared" si="16"/>
        <v>98.49069999999665</v>
      </c>
      <c r="X87">
        <f t="shared" si="17"/>
        <v>7.4917977796121861E-3</v>
      </c>
    </row>
    <row r="88" spans="1:24" x14ac:dyDescent="0.25">
      <c r="A88" t="s">
        <v>101</v>
      </c>
      <c r="B88" s="13">
        <v>45388</v>
      </c>
      <c r="C88" s="8">
        <v>45407</v>
      </c>
      <c r="D88" s="8">
        <f t="shared" si="9"/>
        <v>45407</v>
      </c>
      <c r="E88" s="6">
        <f t="shared" si="10"/>
        <v>19</v>
      </c>
      <c r="F88" s="6" t="str">
        <f t="shared" si="11"/>
        <v>Q2-2024</v>
      </c>
      <c r="G88" t="s">
        <v>647</v>
      </c>
      <c r="H88" t="s">
        <v>659</v>
      </c>
      <c r="I88" t="s">
        <v>685</v>
      </c>
      <c r="J88" t="s">
        <v>701</v>
      </c>
      <c r="K88" t="s">
        <v>707</v>
      </c>
      <c r="L88" t="s">
        <v>723</v>
      </c>
      <c r="M88" t="s">
        <v>727</v>
      </c>
      <c r="N88">
        <f t="shared" si="12"/>
        <v>0.12990451844851061</v>
      </c>
      <c r="O88" t="s">
        <v>820</v>
      </c>
      <c r="P88" s="4">
        <v>1366.48</v>
      </c>
      <c r="Q88" s="4">
        <v>1678.14</v>
      </c>
      <c r="R88" s="4" t="str">
        <f t="shared" si="13"/>
        <v>Profit</v>
      </c>
      <c r="S88">
        <v>0.154</v>
      </c>
      <c r="T88" s="4">
        <v>10</v>
      </c>
      <c r="U88">
        <f t="shared" si="14"/>
        <v>14197.064400000001</v>
      </c>
      <c r="V88">
        <f t="shared" si="15"/>
        <v>13664.8</v>
      </c>
      <c r="W88">
        <f t="shared" si="16"/>
        <v>532.26440000000184</v>
      </c>
      <c r="X88">
        <f t="shared" si="17"/>
        <v>3.7491159087790132E-2</v>
      </c>
    </row>
    <row r="89" spans="1:24" x14ac:dyDescent="0.25">
      <c r="A89" t="s">
        <v>102</v>
      </c>
      <c r="B89" s="13">
        <v>45876</v>
      </c>
      <c r="C89" s="8">
        <v>45888</v>
      </c>
      <c r="D89" s="8">
        <f t="shared" si="9"/>
        <v>45888</v>
      </c>
      <c r="E89" s="6">
        <f t="shared" si="10"/>
        <v>12</v>
      </c>
      <c r="F89" s="6" t="str">
        <f t="shared" si="11"/>
        <v>Q3-2025</v>
      </c>
      <c r="G89" t="s">
        <v>646</v>
      </c>
      <c r="H89" t="s">
        <v>650</v>
      </c>
      <c r="I89" t="s">
        <v>678</v>
      </c>
      <c r="J89" t="s">
        <v>701</v>
      </c>
      <c r="K89" t="s">
        <v>1422</v>
      </c>
      <c r="L89" t="s">
        <v>724</v>
      </c>
      <c r="M89" t="s">
        <v>727</v>
      </c>
      <c r="N89">
        <f t="shared" si="12"/>
        <v>1.5142464656642504E-2</v>
      </c>
      <c r="O89" t="s">
        <v>821</v>
      </c>
      <c r="P89" s="4">
        <v>601.51</v>
      </c>
      <c r="Q89" s="4">
        <v>679.35</v>
      </c>
      <c r="R89" s="4" t="str">
        <f t="shared" si="13"/>
        <v>Profit</v>
      </c>
      <c r="S89">
        <v>0.188</v>
      </c>
      <c r="T89" s="4">
        <v>3</v>
      </c>
      <c r="U89">
        <f t="shared" si="14"/>
        <v>1654.8966000000003</v>
      </c>
      <c r="V89">
        <f t="shared" si="15"/>
        <v>1804.53</v>
      </c>
      <c r="W89">
        <f t="shared" si="16"/>
        <v>-149.63339999999971</v>
      </c>
      <c r="X89">
        <f t="shared" si="17"/>
        <v>-9.0418579626062243E-2</v>
      </c>
    </row>
    <row r="90" spans="1:24" x14ac:dyDescent="0.25">
      <c r="A90" t="s">
        <v>103</v>
      </c>
      <c r="B90" s="13">
        <v>45312</v>
      </c>
      <c r="C90" s="8">
        <v>45316</v>
      </c>
      <c r="D90" s="8">
        <f t="shared" si="9"/>
        <v>45316</v>
      </c>
      <c r="E90" s="6">
        <f t="shared" si="10"/>
        <v>4</v>
      </c>
      <c r="F90" s="6" t="str">
        <f t="shared" si="11"/>
        <v>Q1-2024</v>
      </c>
      <c r="G90" t="s">
        <v>647</v>
      </c>
      <c r="H90" t="s">
        <v>654</v>
      </c>
      <c r="I90" t="s">
        <v>680</v>
      </c>
      <c r="J90" t="s">
        <v>704</v>
      </c>
      <c r="K90" t="s">
        <v>711</v>
      </c>
      <c r="L90" t="s">
        <v>712</v>
      </c>
      <c r="M90" t="s">
        <v>732</v>
      </c>
      <c r="N90">
        <f t="shared" si="12"/>
        <v>0.10836319504556713</v>
      </c>
      <c r="O90" t="s">
        <v>822</v>
      </c>
      <c r="P90" s="4">
        <v>523.70000000000005</v>
      </c>
      <c r="Q90" s="4">
        <v>1109.92</v>
      </c>
      <c r="R90" s="4" t="str">
        <f t="shared" si="13"/>
        <v>Profit</v>
      </c>
      <c r="S90">
        <v>0.03</v>
      </c>
      <c r="T90" s="4">
        <v>11</v>
      </c>
      <c r="U90">
        <f t="shared" si="14"/>
        <v>11842.8464</v>
      </c>
      <c r="V90">
        <f t="shared" si="15"/>
        <v>5760.7000000000007</v>
      </c>
      <c r="W90">
        <f t="shared" si="16"/>
        <v>6082.1463999999996</v>
      </c>
      <c r="X90">
        <f t="shared" si="17"/>
        <v>0.51357133197302973</v>
      </c>
    </row>
    <row r="91" spans="1:24" x14ac:dyDescent="0.25">
      <c r="A91" t="s">
        <v>104</v>
      </c>
      <c r="B91" s="13">
        <v>45106</v>
      </c>
      <c r="C91" s="8">
        <v>45109</v>
      </c>
      <c r="D91" s="8">
        <f t="shared" si="9"/>
        <v>45109</v>
      </c>
      <c r="E91" s="6">
        <f t="shared" si="10"/>
        <v>3</v>
      </c>
      <c r="F91" s="6" t="str">
        <f t="shared" si="11"/>
        <v>Q2-2023</v>
      </c>
      <c r="G91" t="s">
        <v>647</v>
      </c>
      <c r="H91" t="s">
        <v>652</v>
      </c>
      <c r="I91" t="s">
        <v>694</v>
      </c>
      <c r="J91" t="s">
        <v>702</v>
      </c>
      <c r="K91" t="s">
        <v>709</v>
      </c>
      <c r="L91" t="s">
        <v>721</v>
      </c>
      <c r="M91" t="s">
        <v>732</v>
      </c>
      <c r="N91">
        <f t="shared" si="12"/>
        <v>5.7136412773880528E-3</v>
      </c>
      <c r="O91" t="s">
        <v>823</v>
      </c>
      <c r="P91" s="4">
        <v>55.65</v>
      </c>
      <c r="Q91" s="4">
        <v>83.57</v>
      </c>
      <c r="R91" s="4" t="str">
        <f t="shared" si="13"/>
        <v>Profit</v>
      </c>
      <c r="S91">
        <v>6.6000000000000003E-2</v>
      </c>
      <c r="T91" s="4">
        <v>8</v>
      </c>
      <c r="U91">
        <f t="shared" si="14"/>
        <v>624.43503999999996</v>
      </c>
      <c r="V91">
        <f t="shared" si="15"/>
        <v>445.2</v>
      </c>
      <c r="W91">
        <f t="shared" si="16"/>
        <v>179.23503999999997</v>
      </c>
      <c r="X91">
        <f t="shared" si="17"/>
        <v>0.2870355257449998</v>
      </c>
    </row>
    <row r="92" spans="1:24" x14ac:dyDescent="0.25">
      <c r="A92" t="s">
        <v>105</v>
      </c>
      <c r="B92" s="13">
        <v>45775</v>
      </c>
      <c r="C92" s="8">
        <v>45792</v>
      </c>
      <c r="D92" s="8">
        <f t="shared" si="9"/>
        <v>45792</v>
      </c>
      <c r="E92" s="6">
        <f t="shared" si="10"/>
        <v>17</v>
      </c>
      <c r="F92" s="6" t="str">
        <f t="shared" si="11"/>
        <v>Q2-2025</v>
      </c>
      <c r="G92" t="s">
        <v>647</v>
      </c>
      <c r="H92" t="s">
        <v>652</v>
      </c>
      <c r="I92" t="s">
        <v>694</v>
      </c>
      <c r="J92" t="s">
        <v>702</v>
      </c>
      <c r="K92" t="s">
        <v>711</v>
      </c>
      <c r="L92" t="s">
        <v>725</v>
      </c>
      <c r="M92" t="s">
        <v>729</v>
      </c>
      <c r="N92">
        <f t="shared" si="12"/>
        <v>7.6173027014476508E-2</v>
      </c>
      <c r="O92" t="s">
        <v>824</v>
      </c>
      <c r="P92" s="4">
        <v>691.19</v>
      </c>
      <c r="Q92" s="4">
        <v>1284.3</v>
      </c>
      <c r="R92" s="4" t="str">
        <f t="shared" si="13"/>
        <v>Profit</v>
      </c>
      <c r="S92">
        <v>7.3999999999999996E-2</v>
      </c>
      <c r="T92" s="4">
        <v>7</v>
      </c>
      <c r="U92">
        <f t="shared" si="14"/>
        <v>8324.8326000000015</v>
      </c>
      <c r="V92">
        <f t="shared" si="15"/>
        <v>4838.33</v>
      </c>
      <c r="W92">
        <f t="shared" si="16"/>
        <v>3486.5026000000016</v>
      </c>
      <c r="X92">
        <f t="shared" si="17"/>
        <v>0.41880753253825198</v>
      </c>
    </row>
    <row r="93" spans="1:24" x14ac:dyDescent="0.25">
      <c r="A93" t="s">
        <v>106</v>
      </c>
      <c r="B93" s="13">
        <v>45817</v>
      </c>
      <c r="C93" s="8">
        <v>45833</v>
      </c>
      <c r="D93" s="8">
        <f t="shared" si="9"/>
        <v>45833</v>
      </c>
      <c r="E93" s="6">
        <f t="shared" si="10"/>
        <v>16</v>
      </c>
      <c r="F93" s="6" t="str">
        <f t="shared" si="11"/>
        <v>Q2-2025</v>
      </c>
      <c r="G93" t="s">
        <v>647</v>
      </c>
      <c r="H93" t="s">
        <v>654</v>
      </c>
      <c r="I93" t="s">
        <v>696</v>
      </c>
      <c r="J93" t="s">
        <v>706</v>
      </c>
      <c r="K93" t="s">
        <v>710</v>
      </c>
      <c r="L93" t="s">
        <v>724</v>
      </c>
      <c r="M93" t="s">
        <v>730</v>
      </c>
      <c r="N93">
        <f t="shared" si="12"/>
        <v>0.17852578859763069</v>
      </c>
      <c r="O93" t="s">
        <v>825</v>
      </c>
      <c r="P93" s="4">
        <v>527.33000000000004</v>
      </c>
      <c r="Q93" s="4">
        <v>911.72</v>
      </c>
      <c r="R93" s="4" t="str">
        <f t="shared" si="13"/>
        <v>Profit</v>
      </c>
      <c r="S93">
        <v>0.14399999999999999</v>
      </c>
      <c r="T93" s="4">
        <v>25</v>
      </c>
      <c r="U93">
        <f t="shared" si="14"/>
        <v>19510.808000000001</v>
      </c>
      <c r="V93">
        <f t="shared" si="15"/>
        <v>13183.250000000002</v>
      </c>
      <c r="W93">
        <f t="shared" si="16"/>
        <v>6327.5579999999991</v>
      </c>
      <c r="X93">
        <f t="shared" si="17"/>
        <v>0.32431040272652978</v>
      </c>
    </row>
    <row r="94" spans="1:24" x14ac:dyDescent="0.25">
      <c r="A94" t="s">
        <v>107</v>
      </c>
      <c r="B94" s="13">
        <v>45101</v>
      </c>
      <c r="C94" s="8">
        <v>45100</v>
      </c>
      <c r="D94" s="8">
        <f t="shared" si="9"/>
        <v>45108</v>
      </c>
      <c r="E94" s="6">
        <f t="shared" si="10"/>
        <v>7</v>
      </c>
      <c r="F94" s="6" t="str">
        <f t="shared" si="11"/>
        <v>Q2-2023</v>
      </c>
      <c r="G94" t="s">
        <v>648</v>
      </c>
      <c r="H94" t="s">
        <v>655</v>
      </c>
      <c r="I94" t="s">
        <v>692</v>
      </c>
      <c r="J94" t="s">
        <v>703</v>
      </c>
      <c r="K94" t="s">
        <v>707</v>
      </c>
      <c r="L94" t="s">
        <v>718</v>
      </c>
      <c r="M94" t="s">
        <v>728</v>
      </c>
      <c r="N94">
        <f t="shared" si="12"/>
        <v>9.2978403242151786E-2</v>
      </c>
      <c r="O94" t="s">
        <v>826</v>
      </c>
      <c r="P94" s="4">
        <v>804.01</v>
      </c>
      <c r="Q94" s="4">
        <v>1405.07</v>
      </c>
      <c r="R94" s="4" t="str">
        <f t="shared" si="13"/>
        <v>Profit</v>
      </c>
      <c r="S94">
        <v>9.6000000000000002E-2</v>
      </c>
      <c r="T94" s="4">
        <v>8</v>
      </c>
      <c r="U94">
        <f t="shared" si="14"/>
        <v>10161.46624</v>
      </c>
      <c r="V94">
        <f t="shared" si="15"/>
        <v>6432.08</v>
      </c>
      <c r="W94">
        <f t="shared" si="16"/>
        <v>3729.3862399999998</v>
      </c>
      <c r="X94">
        <f t="shared" si="17"/>
        <v>0.36701260939287439</v>
      </c>
    </row>
    <row r="95" spans="1:24" x14ac:dyDescent="0.25">
      <c r="A95" t="s">
        <v>108</v>
      </c>
      <c r="B95" s="13">
        <v>45569</v>
      </c>
      <c r="C95" s="8">
        <v>45598</v>
      </c>
      <c r="D95" s="8">
        <f t="shared" si="9"/>
        <v>45598</v>
      </c>
      <c r="E95" s="6">
        <f t="shared" si="10"/>
        <v>29</v>
      </c>
      <c r="F95" s="6" t="str">
        <f t="shared" si="11"/>
        <v>Q4-2024</v>
      </c>
      <c r="G95" t="s">
        <v>646</v>
      </c>
      <c r="H95" t="s">
        <v>651</v>
      </c>
      <c r="I95" t="s">
        <v>669</v>
      </c>
      <c r="J95" t="s">
        <v>701</v>
      </c>
      <c r="K95" t="s">
        <v>710</v>
      </c>
      <c r="L95" t="s">
        <v>721</v>
      </c>
      <c r="M95" t="s">
        <v>733</v>
      </c>
      <c r="N95">
        <f t="shared" si="12"/>
        <v>0.18372794475161175</v>
      </c>
      <c r="O95" t="s">
        <v>827</v>
      </c>
      <c r="P95" s="4">
        <v>412.09</v>
      </c>
      <c r="Q95" s="4">
        <v>968.94</v>
      </c>
      <c r="R95" s="4" t="str">
        <f t="shared" si="13"/>
        <v>Profit</v>
      </c>
      <c r="S95">
        <v>9.9000000000000005E-2</v>
      </c>
      <c r="T95" s="4">
        <v>23</v>
      </c>
      <c r="U95">
        <f t="shared" si="14"/>
        <v>20079.343620000003</v>
      </c>
      <c r="V95">
        <f t="shared" si="15"/>
        <v>9478.07</v>
      </c>
      <c r="W95">
        <f t="shared" si="16"/>
        <v>10601.273620000004</v>
      </c>
      <c r="X95">
        <f t="shared" si="17"/>
        <v>0.52796913189137418</v>
      </c>
    </row>
    <row r="96" spans="1:24" x14ac:dyDescent="0.25">
      <c r="A96" t="s">
        <v>109</v>
      </c>
      <c r="B96" s="13">
        <v>45910</v>
      </c>
      <c r="C96" s="8">
        <v>45930</v>
      </c>
      <c r="D96" s="8">
        <f t="shared" si="9"/>
        <v>45930</v>
      </c>
      <c r="E96" s="6">
        <f t="shared" si="10"/>
        <v>20</v>
      </c>
      <c r="F96" s="6" t="str">
        <f t="shared" si="11"/>
        <v>Q3-2025</v>
      </c>
      <c r="G96" t="s">
        <v>646</v>
      </c>
      <c r="H96" t="s">
        <v>650</v>
      </c>
      <c r="I96" t="s">
        <v>675</v>
      </c>
      <c r="J96" t="s">
        <v>701</v>
      </c>
      <c r="K96" t="s">
        <v>711</v>
      </c>
      <c r="L96" t="s">
        <v>716</v>
      </c>
      <c r="M96" t="s">
        <v>730</v>
      </c>
      <c r="N96">
        <f t="shared" si="12"/>
        <v>5.0212095058813078E-2</v>
      </c>
      <c r="O96" t="s">
        <v>828</v>
      </c>
      <c r="P96" s="4">
        <v>1009.48</v>
      </c>
      <c r="Q96" s="4">
        <v>1088.81</v>
      </c>
      <c r="R96" s="4" t="str">
        <f t="shared" si="13"/>
        <v>Profit</v>
      </c>
      <c r="S96">
        <v>0.16</v>
      </c>
      <c r="T96" s="4">
        <v>6</v>
      </c>
      <c r="U96">
        <f t="shared" si="14"/>
        <v>5487.6023999999998</v>
      </c>
      <c r="V96">
        <f t="shared" si="15"/>
        <v>6056.88</v>
      </c>
      <c r="W96">
        <f t="shared" si="16"/>
        <v>-569.27760000000035</v>
      </c>
      <c r="X96">
        <f t="shared" si="17"/>
        <v>-0.10373885688219693</v>
      </c>
    </row>
    <row r="97" spans="1:24" x14ac:dyDescent="0.25">
      <c r="A97" t="s">
        <v>110</v>
      </c>
      <c r="B97" s="13">
        <v>45022</v>
      </c>
      <c r="C97" s="8">
        <v>45043</v>
      </c>
      <c r="D97" s="8">
        <f t="shared" si="9"/>
        <v>45043</v>
      </c>
      <c r="E97" s="6">
        <f t="shared" si="10"/>
        <v>21</v>
      </c>
      <c r="F97" s="6" t="str">
        <f t="shared" si="11"/>
        <v>Q2-2023</v>
      </c>
      <c r="G97" t="s">
        <v>649</v>
      </c>
      <c r="H97" t="s">
        <v>658</v>
      </c>
      <c r="I97" t="s">
        <v>693</v>
      </c>
      <c r="J97" t="s">
        <v>706</v>
      </c>
      <c r="K97" t="s">
        <v>710</v>
      </c>
      <c r="L97" t="s">
        <v>714</v>
      </c>
      <c r="M97" t="s">
        <v>728</v>
      </c>
      <c r="N97">
        <f t="shared" si="12"/>
        <v>0.39536660358160713</v>
      </c>
      <c r="O97" t="s">
        <v>829</v>
      </c>
      <c r="P97" s="4">
        <v>1084.79</v>
      </c>
      <c r="Q97" s="4">
        <v>2484.9899999999998</v>
      </c>
      <c r="R97" s="4" t="str">
        <f t="shared" si="13"/>
        <v>Profit</v>
      </c>
      <c r="S97">
        <v>3.4000000000000002E-2</v>
      </c>
      <c r="T97" s="4">
        <v>18</v>
      </c>
      <c r="U97">
        <f t="shared" si="14"/>
        <v>43209.006119999991</v>
      </c>
      <c r="V97">
        <f t="shared" si="15"/>
        <v>19526.22</v>
      </c>
      <c r="W97">
        <f t="shared" si="16"/>
        <v>23682.78611999999</v>
      </c>
      <c r="X97">
        <f t="shared" si="17"/>
        <v>0.54809837685755114</v>
      </c>
    </row>
    <row r="98" spans="1:24" x14ac:dyDescent="0.25">
      <c r="A98" t="s">
        <v>111</v>
      </c>
      <c r="B98" s="13">
        <v>45870</v>
      </c>
      <c r="C98" s="8">
        <v>45885</v>
      </c>
      <c r="D98" s="8">
        <f t="shared" si="9"/>
        <v>45885</v>
      </c>
      <c r="E98" s="6">
        <f t="shared" si="10"/>
        <v>15</v>
      </c>
      <c r="F98" s="6" t="str">
        <f t="shared" si="11"/>
        <v>Q3-2025</v>
      </c>
      <c r="G98" t="s">
        <v>647</v>
      </c>
      <c r="H98" t="s">
        <v>654</v>
      </c>
      <c r="I98" t="s">
        <v>1422</v>
      </c>
      <c r="J98" t="s">
        <v>706</v>
      </c>
      <c r="K98" t="s">
        <v>711</v>
      </c>
      <c r="L98" t="s">
        <v>719</v>
      </c>
      <c r="M98" t="s">
        <v>732</v>
      </c>
      <c r="N98">
        <f t="shared" si="12"/>
        <v>1.3451334552015226E-3</v>
      </c>
      <c r="O98" t="s">
        <v>830</v>
      </c>
      <c r="P98" s="4">
        <v>24.44</v>
      </c>
      <c r="Q98" s="4">
        <v>28.69</v>
      </c>
      <c r="R98" s="4" t="str">
        <f t="shared" si="13"/>
        <v>Profit</v>
      </c>
      <c r="S98">
        <v>0.14599999999999999</v>
      </c>
      <c r="T98" s="4">
        <v>6</v>
      </c>
      <c r="U98">
        <f t="shared" si="14"/>
        <v>147.00756000000001</v>
      </c>
      <c r="V98">
        <f t="shared" si="15"/>
        <v>146.64000000000001</v>
      </c>
      <c r="W98">
        <f t="shared" si="16"/>
        <v>0.36755999999999744</v>
      </c>
      <c r="X98">
        <f t="shared" si="17"/>
        <v>2.5002795774584476E-3</v>
      </c>
    </row>
    <row r="99" spans="1:24" x14ac:dyDescent="0.25">
      <c r="A99" t="s">
        <v>112</v>
      </c>
      <c r="B99" s="13">
        <v>45440</v>
      </c>
      <c r="C99" s="8">
        <v>45438</v>
      </c>
      <c r="D99" s="8">
        <f t="shared" si="9"/>
        <v>45447</v>
      </c>
      <c r="E99" s="6">
        <f t="shared" si="10"/>
        <v>7</v>
      </c>
      <c r="F99" s="6" t="str">
        <f t="shared" si="11"/>
        <v>Q2-2024</v>
      </c>
      <c r="G99" t="s">
        <v>646</v>
      </c>
      <c r="H99" t="s">
        <v>651</v>
      </c>
      <c r="I99" t="s">
        <v>669</v>
      </c>
      <c r="J99" t="s">
        <v>706</v>
      </c>
      <c r="K99" t="s">
        <v>708</v>
      </c>
      <c r="L99" t="s">
        <v>721</v>
      </c>
      <c r="M99" t="s">
        <v>733</v>
      </c>
      <c r="N99">
        <f t="shared" si="12"/>
        <v>0.31237663048402137</v>
      </c>
      <c r="O99" t="s">
        <v>831</v>
      </c>
      <c r="P99" s="4">
        <v>1227.08</v>
      </c>
      <c r="Q99" s="4">
        <v>1896.62</v>
      </c>
      <c r="R99" s="4" t="str">
        <f t="shared" si="13"/>
        <v>Profit</v>
      </c>
      <c r="S99">
        <v>0</v>
      </c>
      <c r="T99" s="4">
        <v>18</v>
      </c>
      <c r="U99">
        <f t="shared" si="14"/>
        <v>34139.159999999996</v>
      </c>
      <c r="V99">
        <f t="shared" si="15"/>
        <v>22087.439999999999</v>
      </c>
      <c r="W99">
        <f t="shared" si="16"/>
        <v>12051.719999999998</v>
      </c>
      <c r="X99">
        <f t="shared" si="17"/>
        <v>0.353017473189147</v>
      </c>
    </row>
    <row r="100" spans="1:24" x14ac:dyDescent="0.25">
      <c r="A100" t="s">
        <v>113</v>
      </c>
      <c r="B100" s="13">
        <v>45860</v>
      </c>
      <c r="C100" s="8">
        <v>45887</v>
      </c>
      <c r="D100" s="8">
        <f t="shared" si="9"/>
        <v>45887</v>
      </c>
      <c r="E100" s="6">
        <f t="shared" si="10"/>
        <v>27</v>
      </c>
      <c r="F100" s="6" t="str">
        <f t="shared" si="11"/>
        <v>Q3-2025</v>
      </c>
      <c r="G100" t="s">
        <v>647</v>
      </c>
      <c r="H100" t="s">
        <v>659</v>
      </c>
      <c r="I100" t="s">
        <v>676</v>
      </c>
      <c r="J100" t="s">
        <v>703</v>
      </c>
      <c r="K100" t="s">
        <v>709</v>
      </c>
      <c r="L100" t="s">
        <v>724</v>
      </c>
      <c r="M100" t="s">
        <v>729</v>
      </c>
      <c r="N100">
        <f t="shared" si="12"/>
        <v>4.8756192357581093E-2</v>
      </c>
      <c r="O100" t="s">
        <v>832</v>
      </c>
      <c r="P100" s="4">
        <v>547.32000000000005</v>
      </c>
      <c r="Q100" s="4">
        <v>419.17</v>
      </c>
      <c r="R100" s="4" t="str">
        <f t="shared" si="13"/>
        <v>Loss</v>
      </c>
      <c r="S100">
        <v>9.1999999999999998E-2</v>
      </c>
      <c r="T100" s="4">
        <v>14</v>
      </c>
      <c r="U100">
        <f t="shared" si="14"/>
        <v>5328.4890400000004</v>
      </c>
      <c r="V100">
        <f t="shared" si="15"/>
        <v>7662.4800000000005</v>
      </c>
      <c r="W100">
        <f t="shared" si="16"/>
        <v>-2333.9909600000001</v>
      </c>
      <c r="X100">
        <f t="shared" si="17"/>
        <v>-0.43802116181137907</v>
      </c>
    </row>
    <row r="101" spans="1:24" x14ac:dyDescent="0.25">
      <c r="A101" t="s">
        <v>114</v>
      </c>
      <c r="B101" s="13">
        <v>44985</v>
      </c>
      <c r="C101" s="8">
        <v>45005</v>
      </c>
      <c r="D101" s="8">
        <f t="shared" si="9"/>
        <v>45005</v>
      </c>
      <c r="E101" s="6">
        <f t="shared" si="10"/>
        <v>20</v>
      </c>
      <c r="F101" s="6" t="str">
        <f t="shared" si="11"/>
        <v>Q1-2023</v>
      </c>
      <c r="G101" t="s">
        <v>649</v>
      </c>
      <c r="H101" t="s">
        <v>656</v>
      </c>
      <c r="I101" t="s">
        <v>671</v>
      </c>
      <c r="J101" t="s">
        <v>705</v>
      </c>
      <c r="K101" t="s">
        <v>711</v>
      </c>
      <c r="L101" t="s">
        <v>722</v>
      </c>
      <c r="M101" t="s">
        <v>731</v>
      </c>
      <c r="N101">
        <f t="shared" si="12"/>
        <v>0.233354108398626</v>
      </c>
      <c r="O101" t="s">
        <v>833</v>
      </c>
      <c r="P101" s="4">
        <v>1200.78</v>
      </c>
      <c r="Q101" s="4">
        <v>2001.17</v>
      </c>
      <c r="R101" s="4" t="str">
        <f t="shared" si="13"/>
        <v>Profit</v>
      </c>
      <c r="S101">
        <v>0.29199999999999998</v>
      </c>
      <c r="T101" s="4">
        <v>18</v>
      </c>
      <c r="U101">
        <f t="shared" si="14"/>
        <v>25502.910479999999</v>
      </c>
      <c r="V101">
        <f t="shared" si="15"/>
        <v>21614.04</v>
      </c>
      <c r="W101">
        <f t="shared" si="16"/>
        <v>3888.8704799999978</v>
      </c>
      <c r="X101">
        <f t="shared" si="17"/>
        <v>0.15248732034132906</v>
      </c>
    </row>
    <row r="102" spans="1:24" x14ac:dyDescent="0.25">
      <c r="A102" t="s">
        <v>115</v>
      </c>
      <c r="B102" s="13">
        <v>45684</v>
      </c>
      <c r="C102" s="8">
        <v>45703</v>
      </c>
      <c r="D102" s="8">
        <f t="shared" si="9"/>
        <v>45703</v>
      </c>
      <c r="E102" s="6">
        <f t="shared" si="10"/>
        <v>19</v>
      </c>
      <c r="F102" s="6" t="str">
        <f t="shared" si="11"/>
        <v>Q1-2025</v>
      </c>
      <c r="G102" t="s">
        <v>647</v>
      </c>
      <c r="H102" t="s">
        <v>659</v>
      </c>
      <c r="I102" t="s">
        <v>676</v>
      </c>
      <c r="J102" t="s">
        <v>703</v>
      </c>
      <c r="K102" t="s">
        <v>711</v>
      </c>
      <c r="L102" t="s">
        <v>716</v>
      </c>
      <c r="M102" t="s">
        <v>730</v>
      </c>
      <c r="N102">
        <f t="shared" si="12"/>
        <v>0.48294276787451079</v>
      </c>
      <c r="O102" t="s">
        <v>834</v>
      </c>
      <c r="P102" s="4">
        <v>1253.22</v>
      </c>
      <c r="Q102" s="4">
        <v>3104.71</v>
      </c>
      <c r="R102" s="4" t="str">
        <f t="shared" si="13"/>
        <v>Profit</v>
      </c>
      <c r="S102">
        <v>0</v>
      </c>
      <c r="T102" s="4">
        <v>17</v>
      </c>
      <c r="U102">
        <f t="shared" si="14"/>
        <v>52780.07</v>
      </c>
      <c r="V102">
        <f t="shared" si="15"/>
        <v>21304.74</v>
      </c>
      <c r="W102">
        <f t="shared" si="16"/>
        <v>31475.329999999998</v>
      </c>
      <c r="X102">
        <f t="shared" si="17"/>
        <v>0.59634877331538205</v>
      </c>
    </row>
    <row r="103" spans="1:24" x14ac:dyDescent="0.25">
      <c r="A103" t="s">
        <v>116</v>
      </c>
      <c r="B103" s="13">
        <v>45304</v>
      </c>
      <c r="C103" s="8">
        <v>45313</v>
      </c>
      <c r="D103" s="8">
        <f t="shared" si="9"/>
        <v>45313</v>
      </c>
      <c r="E103" s="6">
        <f t="shared" si="10"/>
        <v>9</v>
      </c>
      <c r="F103" s="6" t="str">
        <f t="shared" si="11"/>
        <v>Q1-2024</v>
      </c>
      <c r="G103" t="s">
        <v>647</v>
      </c>
      <c r="H103" t="s">
        <v>654</v>
      </c>
      <c r="I103" t="s">
        <v>691</v>
      </c>
      <c r="J103" t="s">
        <v>706</v>
      </c>
      <c r="K103" t="s">
        <v>709</v>
      </c>
      <c r="L103" t="s">
        <v>713</v>
      </c>
      <c r="M103" t="s">
        <v>727</v>
      </c>
      <c r="N103">
        <f t="shared" si="12"/>
        <v>5.7870499447634879E-2</v>
      </c>
      <c r="O103" t="s">
        <v>835</v>
      </c>
      <c r="P103" s="4">
        <v>313.60000000000002</v>
      </c>
      <c r="Q103" s="4">
        <v>334.28</v>
      </c>
      <c r="R103" s="4" t="str">
        <f t="shared" si="13"/>
        <v>Profit</v>
      </c>
      <c r="S103">
        <v>0.14000000000000001</v>
      </c>
      <c r="T103" s="4">
        <v>22</v>
      </c>
      <c r="U103">
        <f t="shared" si="14"/>
        <v>6324.5775999999996</v>
      </c>
      <c r="V103">
        <f t="shared" si="15"/>
        <v>6899.2000000000007</v>
      </c>
      <c r="W103">
        <f t="shared" si="16"/>
        <v>-574.62240000000111</v>
      </c>
      <c r="X103">
        <f t="shared" si="17"/>
        <v>-9.0855458868905517E-2</v>
      </c>
    </row>
    <row r="104" spans="1:24" x14ac:dyDescent="0.25">
      <c r="A104" t="s">
        <v>117</v>
      </c>
      <c r="B104" s="13">
        <v>45747</v>
      </c>
      <c r="C104" s="8">
        <v>45751</v>
      </c>
      <c r="D104" s="8">
        <f t="shared" si="9"/>
        <v>45751</v>
      </c>
      <c r="E104" s="6">
        <f t="shared" si="10"/>
        <v>4</v>
      </c>
      <c r="F104" s="6" t="str">
        <f t="shared" si="11"/>
        <v>Q1-2025</v>
      </c>
      <c r="G104" t="s">
        <v>646</v>
      </c>
      <c r="H104" t="s">
        <v>650</v>
      </c>
      <c r="I104" t="s">
        <v>678</v>
      </c>
      <c r="J104" t="s">
        <v>701</v>
      </c>
      <c r="K104" t="s">
        <v>711</v>
      </c>
      <c r="L104" t="s">
        <v>712</v>
      </c>
      <c r="M104" t="s">
        <v>731</v>
      </c>
      <c r="N104">
        <f t="shared" si="12"/>
        <v>0.12508008946783639</v>
      </c>
      <c r="O104" t="s">
        <v>836</v>
      </c>
      <c r="P104" s="4">
        <v>862.08</v>
      </c>
      <c r="Q104" s="4">
        <v>1952.83</v>
      </c>
      <c r="R104" s="4" t="str">
        <f t="shared" si="13"/>
        <v>Profit</v>
      </c>
      <c r="S104">
        <v>0</v>
      </c>
      <c r="T104" s="4">
        <v>7</v>
      </c>
      <c r="U104">
        <f t="shared" si="14"/>
        <v>13669.81</v>
      </c>
      <c r="V104">
        <f t="shared" si="15"/>
        <v>6034.56</v>
      </c>
      <c r="W104">
        <f t="shared" si="16"/>
        <v>7635.2499999999991</v>
      </c>
      <c r="X104">
        <f t="shared" si="17"/>
        <v>0.5585483631447693</v>
      </c>
    </row>
    <row r="105" spans="1:24" x14ac:dyDescent="0.25">
      <c r="A105" t="s">
        <v>118</v>
      </c>
      <c r="B105" s="13">
        <v>45631</v>
      </c>
      <c r="C105" s="8">
        <v>45654</v>
      </c>
      <c r="D105" s="8">
        <f t="shared" si="9"/>
        <v>45654</v>
      </c>
      <c r="E105" s="6">
        <f t="shared" si="10"/>
        <v>23</v>
      </c>
      <c r="F105" s="6" t="str">
        <f t="shared" si="11"/>
        <v>Q4-2024</v>
      </c>
      <c r="G105" t="s">
        <v>648</v>
      </c>
      <c r="H105" t="s">
        <v>653</v>
      </c>
      <c r="I105" t="s">
        <v>688</v>
      </c>
      <c r="J105" t="s">
        <v>701</v>
      </c>
      <c r="K105" t="s">
        <v>711</v>
      </c>
      <c r="L105" t="s">
        <v>721</v>
      </c>
      <c r="M105" t="s">
        <v>733</v>
      </c>
      <c r="N105">
        <f t="shared" si="12"/>
        <v>5.4537635122813496E-2</v>
      </c>
      <c r="O105" t="s">
        <v>837</v>
      </c>
      <c r="P105" s="4">
        <v>107.03</v>
      </c>
      <c r="Q105" s="4">
        <v>242.29</v>
      </c>
      <c r="R105" s="4" t="str">
        <f t="shared" si="13"/>
        <v>Profit</v>
      </c>
      <c r="S105">
        <v>0.18</v>
      </c>
      <c r="T105" s="4">
        <v>30</v>
      </c>
      <c r="U105">
        <f t="shared" si="14"/>
        <v>5960.3340000000007</v>
      </c>
      <c r="V105">
        <f t="shared" si="15"/>
        <v>3210.9</v>
      </c>
      <c r="W105">
        <f t="shared" si="16"/>
        <v>2749.4340000000007</v>
      </c>
      <c r="X105">
        <f t="shared" si="17"/>
        <v>0.46128857879440988</v>
      </c>
    </row>
    <row r="106" spans="1:24" x14ac:dyDescent="0.25">
      <c r="A106" t="s">
        <v>119</v>
      </c>
      <c r="B106" s="13">
        <v>45549</v>
      </c>
      <c r="C106" s="8">
        <v>45570</v>
      </c>
      <c r="D106" s="8">
        <f t="shared" si="9"/>
        <v>45570</v>
      </c>
      <c r="E106" s="6">
        <f t="shared" si="10"/>
        <v>21</v>
      </c>
      <c r="F106" s="6" t="str">
        <f t="shared" si="11"/>
        <v>Q3-2024</v>
      </c>
      <c r="G106" t="s">
        <v>647</v>
      </c>
      <c r="H106" t="s">
        <v>659</v>
      </c>
      <c r="I106" t="s">
        <v>685</v>
      </c>
      <c r="J106" t="s">
        <v>705</v>
      </c>
      <c r="K106" t="s">
        <v>708</v>
      </c>
      <c r="L106" t="s">
        <v>722</v>
      </c>
      <c r="M106" t="s">
        <v>731</v>
      </c>
      <c r="N106">
        <f t="shared" si="12"/>
        <v>0.11287244023745388</v>
      </c>
      <c r="O106" t="s">
        <v>838</v>
      </c>
      <c r="P106" s="4">
        <v>1405.56</v>
      </c>
      <c r="Q106" s="4">
        <v>2968.87</v>
      </c>
      <c r="R106" s="4" t="str">
        <f t="shared" si="13"/>
        <v>Profit</v>
      </c>
      <c r="S106">
        <v>0.16900000000000001</v>
      </c>
      <c r="T106" s="4">
        <v>5</v>
      </c>
      <c r="U106">
        <f t="shared" si="14"/>
        <v>12335.654849999999</v>
      </c>
      <c r="V106">
        <f t="shared" si="15"/>
        <v>7027.7999999999993</v>
      </c>
      <c r="W106">
        <f t="shared" si="16"/>
        <v>5307.8548499999997</v>
      </c>
      <c r="X106">
        <f t="shared" si="17"/>
        <v>0.4302856163327235</v>
      </c>
    </row>
    <row r="107" spans="1:24" x14ac:dyDescent="0.25">
      <c r="A107" t="s">
        <v>120</v>
      </c>
      <c r="B107" s="13">
        <v>45433</v>
      </c>
      <c r="C107" s="8">
        <v>45439</v>
      </c>
      <c r="D107" s="8">
        <f t="shared" si="9"/>
        <v>45439</v>
      </c>
      <c r="E107" s="6">
        <f t="shared" si="10"/>
        <v>6</v>
      </c>
      <c r="F107" s="6" t="str">
        <f t="shared" si="11"/>
        <v>Q2-2024</v>
      </c>
      <c r="G107" t="s">
        <v>646</v>
      </c>
      <c r="H107" t="s">
        <v>661</v>
      </c>
      <c r="I107" t="s">
        <v>682</v>
      </c>
      <c r="J107" t="s">
        <v>703</v>
      </c>
      <c r="K107" t="s">
        <v>708</v>
      </c>
      <c r="L107" t="s">
        <v>724</v>
      </c>
      <c r="M107" t="s">
        <v>727</v>
      </c>
      <c r="N107">
        <f t="shared" si="12"/>
        <v>0.11053514262500479</v>
      </c>
      <c r="O107" t="s">
        <v>839</v>
      </c>
      <c r="P107" s="4">
        <v>1157.51</v>
      </c>
      <c r="Q107" s="4">
        <v>1394.3</v>
      </c>
      <c r="R107" s="4" t="str">
        <f t="shared" si="13"/>
        <v>Profit</v>
      </c>
      <c r="S107">
        <v>0.27800000000000002</v>
      </c>
      <c r="T107" s="4">
        <v>12</v>
      </c>
      <c r="U107">
        <f t="shared" si="14"/>
        <v>12080.215199999999</v>
      </c>
      <c r="V107">
        <f t="shared" si="15"/>
        <v>13890.119999999999</v>
      </c>
      <c r="W107">
        <f t="shared" si="16"/>
        <v>-1809.9048000000003</v>
      </c>
      <c r="X107">
        <f t="shared" si="17"/>
        <v>-0.14982388724333326</v>
      </c>
    </row>
    <row r="108" spans="1:24" x14ac:dyDescent="0.25">
      <c r="A108" t="s">
        <v>121</v>
      </c>
      <c r="B108" s="13">
        <v>45057</v>
      </c>
      <c r="C108" s="8">
        <v>45084</v>
      </c>
      <c r="D108" s="8">
        <f t="shared" si="9"/>
        <v>45084</v>
      </c>
      <c r="E108" s="6">
        <f t="shared" si="10"/>
        <v>27</v>
      </c>
      <c r="F108" s="6" t="str">
        <f t="shared" si="11"/>
        <v>Q2-2023</v>
      </c>
      <c r="G108" t="s">
        <v>646</v>
      </c>
      <c r="H108" t="s">
        <v>650</v>
      </c>
      <c r="I108" t="s">
        <v>675</v>
      </c>
      <c r="J108" t="s">
        <v>701</v>
      </c>
      <c r="K108" t="s">
        <v>708</v>
      </c>
      <c r="L108" t="s">
        <v>713</v>
      </c>
      <c r="M108" t="s">
        <v>730</v>
      </c>
      <c r="N108">
        <f t="shared" si="12"/>
        <v>4.7457378707154163E-3</v>
      </c>
      <c r="O108" t="s">
        <v>840</v>
      </c>
      <c r="P108" s="4">
        <v>12.85</v>
      </c>
      <c r="Q108" s="4">
        <v>15.41</v>
      </c>
      <c r="R108" s="4" t="str">
        <f t="shared" si="13"/>
        <v>Profit</v>
      </c>
      <c r="S108">
        <v>0.13700000000000001</v>
      </c>
      <c r="T108" s="4">
        <v>39</v>
      </c>
      <c r="U108">
        <f t="shared" si="14"/>
        <v>518.65436999999997</v>
      </c>
      <c r="V108">
        <f t="shared" si="15"/>
        <v>501.15</v>
      </c>
      <c r="W108">
        <f t="shared" si="16"/>
        <v>17.504369999999994</v>
      </c>
      <c r="X108">
        <f t="shared" si="17"/>
        <v>3.3749585489851353E-2</v>
      </c>
    </row>
    <row r="109" spans="1:24" x14ac:dyDescent="0.25">
      <c r="A109" t="s">
        <v>122</v>
      </c>
      <c r="B109" s="13">
        <v>45518</v>
      </c>
      <c r="C109" s="8">
        <v>45539</v>
      </c>
      <c r="D109" s="8">
        <f t="shared" si="9"/>
        <v>45539</v>
      </c>
      <c r="E109" s="6">
        <f t="shared" si="10"/>
        <v>21</v>
      </c>
      <c r="F109" s="6" t="str">
        <f t="shared" si="11"/>
        <v>Q3-2024</v>
      </c>
      <c r="G109" t="s">
        <v>649</v>
      </c>
      <c r="H109" t="s">
        <v>658</v>
      </c>
      <c r="I109" t="s">
        <v>693</v>
      </c>
      <c r="J109" t="s">
        <v>703</v>
      </c>
      <c r="K109" t="s">
        <v>708</v>
      </c>
      <c r="L109" t="s">
        <v>713</v>
      </c>
      <c r="M109" t="s">
        <v>730</v>
      </c>
      <c r="N109">
        <f t="shared" si="12"/>
        <v>0.21674314977507084</v>
      </c>
      <c r="O109" t="s">
        <v>841</v>
      </c>
      <c r="P109" s="4">
        <v>1138.8</v>
      </c>
      <c r="Q109" s="4">
        <v>2250.81</v>
      </c>
      <c r="R109" s="4" t="str">
        <f t="shared" si="13"/>
        <v>Profit</v>
      </c>
      <c r="S109">
        <v>0.123</v>
      </c>
      <c r="T109" s="4">
        <v>12</v>
      </c>
      <c r="U109">
        <f t="shared" si="14"/>
        <v>23687.524440000001</v>
      </c>
      <c r="V109">
        <f t="shared" si="15"/>
        <v>13665.599999999999</v>
      </c>
      <c r="W109">
        <f t="shared" si="16"/>
        <v>10021.924440000003</v>
      </c>
      <c r="X109">
        <f t="shared" si="17"/>
        <v>0.42308872188756258</v>
      </c>
    </row>
    <row r="110" spans="1:24" x14ac:dyDescent="0.25">
      <c r="A110" t="s">
        <v>123</v>
      </c>
      <c r="B110" s="13">
        <v>45581</v>
      </c>
      <c r="C110" s="8">
        <v>45604</v>
      </c>
      <c r="D110" s="8">
        <f t="shared" si="9"/>
        <v>45604</v>
      </c>
      <c r="E110" s="6">
        <f t="shared" si="10"/>
        <v>23</v>
      </c>
      <c r="F110" s="6" t="str">
        <f t="shared" si="11"/>
        <v>Q4-2024</v>
      </c>
      <c r="G110" t="s">
        <v>647</v>
      </c>
      <c r="H110" t="s">
        <v>652</v>
      </c>
      <c r="I110" t="s">
        <v>666</v>
      </c>
      <c r="J110" t="s">
        <v>705</v>
      </c>
      <c r="K110" t="s">
        <v>707</v>
      </c>
      <c r="L110" t="s">
        <v>713</v>
      </c>
      <c r="M110" t="s">
        <v>729</v>
      </c>
      <c r="N110">
        <f t="shared" si="12"/>
        <v>1.5192821301275987E-2</v>
      </c>
      <c r="O110" t="s">
        <v>842</v>
      </c>
      <c r="P110" s="4">
        <v>82.14</v>
      </c>
      <c r="Q110" s="4">
        <v>166.04</v>
      </c>
      <c r="R110" s="4" t="str">
        <f t="shared" si="13"/>
        <v>Profit</v>
      </c>
      <c r="S110">
        <v>0</v>
      </c>
      <c r="T110" s="4">
        <v>10</v>
      </c>
      <c r="U110">
        <f t="shared" si="14"/>
        <v>1660.3999999999999</v>
      </c>
      <c r="V110">
        <f t="shared" si="15"/>
        <v>821.4</v>
      </c>
      <c r="W110">
        <f t="shared" si="16"/>
        <v>838.99999999999989</v>
      </c>
      <c r="X110">
        <f t="shared" si="17"/>
        <v>0.50529992772825827</v>
      </c>
    </row>
    <row r="111" spans="1:24" x14ac:dyDescent="0.25">
      <c r="A111" t="s">
        <v>124</v>
      </c>
      <c r="B111" s="13">
        <v>45445</v>
      </c>
      <c r="C111" s="8">
        <v>45451</v>
      </c>
      <c r="D111" s="8">
        <f t="shared" si="9"/>
        <v>45451</v>
      </c>
      <c r="E111" s="6">
        <f t="shared" si="10"/>
        <v>6</v>
      </c>
      <c r="F111" s="6" t="str">
        <f t="shared" si="11"/>
        <v>Q2-2024</v>
      </c>
      <c r="G111" t="s">
        <v>646</v>
      </c>
      <c r="H111" t="s">
        <v>650</v>
      </c>
      <c r="I111" t="s">
        <v>662</v>
      </c>
      <c r="J111" t="s">
        <v>704</v>
      </c>
      <c r="K111" t="s">
        <v>709</v>
      </c>
      <c r="L111" t="s">
        <v>720</v>
      </c>
      <c r="M111" t="s">
        <v>733</v>
      </c>
      <c r="N111">
        <f t="shared" si="12"/>
        <v>5.0307243258995837E-3</v>
      </c>
      <c r="O111" t="s">
        <v>843</v>
      </c>
      <c r="P111" s="4">
        <v>292.94</v>
      </c>
      <c r="Q111" s="4">
        <v>356.55</v>
      </c>
      <c r="R111" s="4" t="str">
        <f t="shared" si="13"/>
        <v>Profit</v>
      </c>
      <c r="S111">
        <v>0.22900000000000001</v>
      </c>
      <c r="T111" s="4">
        <v>2</v>
      </c>
      <c r="U111">
        <f t="shared" si="14"/>
        <v>549.80010000000004</v>
      </c>
      <c r="V111">
        <f t="shared" si="15"/>
        <v>585.88</v>
      </c>
      <c r="W111">
        <f t="shared" si="16"/>
        <v>-36.079899999999952</v>
      </c>
      <c r="X111">
        <f t="shared" si="17"/>
        <v>-6.5623669402751925E-2</v>
      </c>
    </row>
    <row r="112" spans="1:24" x14ac:dyDescent="0.25">
      <c r="A112" t="s">
        <v>125</v>
      </c>
      <c r="B112" s="13">
        <v>45452</v>
      </c>
      <c r="C112" s="8">
        <v>45480</v>
      </c>
      <c r="D112" s="8">
        <f t="shared" si="9"/>
        <v>45480</v>
      </c>
      <c r="E112" s="6">
        <f t="shared" si="10"/>
        <v>28</v>
      </c>
      <c r="F112" s="6" t="str">
        <f t="shared" si="11"/>
        <v>Q2-2024</v>
      </c>
      <c r="G112" t="s">
        <v>647</v>
      </c>
      <c r="H112" t="s">
        <v>659</v>
      </c>
      <c r="I112" t="s">
        <v>676</v>
      </c>
      <c r="J112" t="s">
        <v>701</v>
      </c>
      <c r="K112" t="s">
        <v>708</v>
      </c>
      <c r="L112" t="s">
        <v>713</v>
      </c>
      <c r="M112" t="s">
        <v>727</v>
      </c>
      <c r="N112">
        <f t="shared" si="12"/>
        <v>0.25324129114765698</v>
      </c>
      <c r="O112" t="s">
        <v>844</v>
      </c>
      <c r="P112" s="4">
        <v>550.22</v>
      </c>
      <c r="Q112" s="4">
        <v>1025.05</v>
      </c>
      <c r="R112" s="4" t="str">
        <f t="shared" si="13"/>
        <v>Profit</v>
      </c>
      <c r="S112">
        <v>0</v>
      </c>
      <c r="T112" s="4">
        <v>27</v>
      </c>
      <c r="U112">
        <f t="shared" si="14"/>
        <v>27676.35</v>
      </c>
      <c r="V112">
        <f t="shared" si="15"/>
        <v>14855.94</v>
      </c>
      <c r="W112">
        <f t="shared" si="16"/>
        <v>12820.409999999998</v>
      </c>
      <c r="X112">
        <f t="shared" si="17"/>
        <v>0.46322618408858102</v>
      </c>
    </row>
    <row r="113" spans="1:24" x14ac:dyDescent="0.25">
      <c r="A113" t="s">
        <v>126</v>
      </c>
      <c r="B113" s="13">
        <v>45453</v>
      </c>
      <c r="C113" s="8">
        <v>45454</v>
      </c>
      <c r="D113" s="8">
        <f t="shared" si="9"/>
        <v>45454</v>
      </c>
      <c r="E113" s="6">
        <f t="shared" si="10"/>
        <v>1</v>
      </c>
      <c r="F113" s="6" t="str">
        <f t="shared" si="11"/>
        <v>Q2-2024</v>
      </c>
      <c r="G113" t="s">
        <v>649</v>
      </c>
      <c r="H113" t="s">
        <v>658</v>
      </c>
      <c r="I113" t="s">
        <v>674</v>
      </c>
      <c r="J113" t="s">
        <v>705</v>
      </c>
      <c r="K113" t="s">
        <v>709</v>
      </c>
      <c r="L113" t="s">
        <v>724</v>
      </c>
      <c r="M113" t="s">
        <v>731</v>
      </c>
      <c r="N113">
        <f t="shared" si="12"/>
        <v>0.27589075829369641</v>
      </c>
      <c r="O113" t="s">
        <v>845</v>
      </c>
      <c r="P113" s="4">
        <v>1187.1300000000001</v>
      </c>
      <c r="Q113" s="4">
        <v>1795.17</v>
      </c>
      <c r="R113" s="4" t="str">
        <f t="shared" si="13"/>
        <v>Profit</v>
      </c>
      <c r="S113">
        <v>1.2E-2</v>
      </c>
      <c r="T113" s="4">
        <v>17</v>
      </c>
      <c r="U113">
        <f t="shared" si="14"/>
        <v>30151.675319999998</v>
      </c>
      <c r="V113">
        <f t="shared" si="15"/>
        <v>20181.210000000003</v>
      </c>
      <c r="W113">
        <f t="shared" si="16"/>
        <v>9970.4653199999957</v>
      </c>
      <c r="X113">
        <f t="shared" si="17"/>
        <v>0.33067699271046663</v>
      </c>
    </row>
    <row r="114" spans="1:24" x14ac:dyDescent="0.25">
      <c r="A114" t="s">
        <v>127</v>
      </c>
      <c r="B114" s="13">
        <v>45472</v>
      </c>
      <c r="C114" s="8">
        <v>45499</v>
      </c>
      <c r="D114" s="8">
        <f t="shared" si="9"/>
        <v>45499</v>
      </c>
      <c r="E114" s="6">
        <f t="shared" si="10"/>
        <v>27</v>
      </c>
      <c r="F114" s="6" t="str">
        <f t="shared" si="11"/>
        <v>Q2-2024</v>
      </c>
      <c r="G114" t="s">
        <v>646</v>
      </c>
      <c r="H114" t="s">
        <v>661</v>
      </c>
      <c r="I114" t="s">
        <v>687</v>
      </c>
      <c r="J114" t="s">
        <v>706</v>
      </c>
      <c r="K114" t="s">
        <v>710</v>
      </c>
      <c r="L114" t="s">
        <v>717</v>
      </c>
      <c r="M114" t="s">
        <v>729</v>
      </c>
      <c r="N114">
        <f t="shared" si="12"/>
        <v>3.1740826890462587E-4</v>
      </c>
      <c r="O114" t="s">
        <v>846</v>
      </c>
      <c r="P114" s="4">
        <v>5.36</v>
      </c>
      <c r="Q114" s="4">
        <v>4.37</v>
      </c>
      <c r="R114" s="4" t="str">
        <f t="shared" si="13"/>
        <v>Loss</v>
      </c>
      <c r="S114">
        <v>0.11799999999999999</v>
      </c>
      <c r="T114" s="4">
        <v>9</v>
      </c>
      <c r="U114">
        <f t="shared" si="14"/>
        <v>34.689059999999998</v>
      </c>
      <c r="V114">
        <f t="shared" si="15"/>
        <v>48.24</v>
      </c>
      <c r="W114">
        <f t="shared" si="16"/>
        <v>-13.550940000000004</v>
      </c>
      <c r="X114">
        <f t="shared" si="17"/>
        <v>-0.39064016148030545</v>
      </c>
    </row>
    <row r="115" spans="1:24" x14ac:dyDescent="0.25">
      <c r="A115" t="s">
        <v>128</v>
      </c>
      <c r="B115" s="13">
        <v>45674</v>
      </c>
      <c r="C115" s="8">
        <v>45681</v>
      </c>
      <c r="D115" s="8">
        <f t="shared" si="9"/>
        <v>45681</v>
      </c>
      <c r="E115" s="6">
        <f t="shared" si="10"/>
        <v>7</v>
      </c>
      <c r="F115" s="6" t="str">
        <f t="shared" si="11"/>
        <v>Q1-2025</v>
      </c>
      <c r="G115" t="s">
        <v>648</v>
      </c>
      <c r="H115" t="s">
        <v>660</v>
      </c>
      <c r="I115" t="s">
        <v>697</v>
      </c>
      <c r="J115" t="s">
        <v>706</v>
      </c>
      <c r="K115" t="s">
        <v>708</v>
      </c>
      <c r="L115" t="s">
        <v>715</v>
      </c>
      <c r="M115" t="s">
        <v>733</v>
      </c>
      <c r="N115">
        <f t="shared" si="12"/>
        <v>1.9375179730125529E-2</v>
      </c>
      <c r="O115" t="s">
        <v>847</v>
      </c>
      <c r="P115" s="4">
        <v>142.09</v>
      </c>
      <c r="Q115" s="4">
        <v>218.5</v>
      </c>
      <c r="R115" s="4" t="str">
        <f t="shared" si="13"/>
        <v>Profit</v>
      </c>
      <c r="S115">
        <v>0.11899999999999999</v>
      </c>
      <c r="T115" s="4">
        <v>11</v>
      </c>
      <c r="U115">
        <f t="shared" si="14"/>
        <v>2117.4834999999998</v>
      </c>
      <c r="V115">
        <f t="shared" si="15"/>
        <v>1562.99</v>
      </c>
      <c r="W115">
        <f t="shared" si="16"/>
        <v>554.49349999999981</v>
      </c>
      <c r="X115">
        <f t="shared" si="17"/>
        <v>0.26186437816398561</v>
      </c>
    </row>
    <row r="116" spans="1:24" x14ac:dyDescent="0.25">
      <c r="A116" t="s">
        <v>129</v>
      </c>
      <c r="B116" s="13">
        <v>45250</v>
      </c>
      <c r="C116" s="8">
        <v>45265</v>
      </c>
      <c r="D116" s="8">
        <f t="shared" si="9"/>
        <v>45265</v>
      </c>
      <c r="E116" s="6">
        <f t="shared" si="10"/>
        <v>15</v>
      </c>
      <c r="F116" s="6" t="str">
        <f t="shared" si="11"/>
        <v>Q4-2023</v>
      </c>
      <c r="G116" t="s">
        <v>647</v>
      </c>
      <c r="H116" t="s">
        <v>652</v>
      </c>
      <c r="I116" t="s">
        <v>689</v>
      </c>
      <c r="J116" t="s">
        <v>706</v>
      </c>
      <c r="K116" t="s">
        <v>707</v>
      </c>
      <c r="L116" t="s">
        <v>716</v>
      </c>
      <c r="M116" t="s">
        <v>729</v>
      </c>
      <c r="N116">
        <f t="shared" si="12"/>
        <v>1.3718008643278119E-2</v>
      </c>
      <c r="O116" t="s">
        <v>848</v>
      </c>
      <c r="P116" s="4">
        <v>354.24</v>
      </c>
      <c r="Q116" s="4">
        <v>249.87</v>
      </c>
      <c r="R116" s="4" t="str">
        <f t="shared" si="13"/>
        <v>Loss</v>
      </c>
      <c r="S116">
        <v>0</v>
      </c>
      <c r="T116" s="4">
        <v>6</v>
      </c>
      <c r="U116">
        <f t="shared" si="14"/>
        <v>1499.22</v>
      </c>
      <c r="V116">
        <f t="shared" si="15"/>
        <v>2125.44</v>
      </c>
      <c r="W116">
        <f t="shared" si="16"/>
        <v>-626.22</v>
      </c>
      <c r="X116">
        <f t="shared" si="17"/>
        <v>-0.41769720254532355</v>
      </c>
    </row>
    <row r="117" spans="1:24" x14ac:dyDescent="0.25">
      <c r="A117" t="s">
        <v>130</v>
      </c>
      <c r="B117" s="13">
        <v>44987</v>
      </c>
      <c r="C117" s="8">
        <v>44990</v>
      </c>
      <c r="D117" s="8">
        <f t="shared" si="9"/>
        <v>44990</v>
      </c>
      <c r="E117" s="6">
        <f t="shared" si="10"/>
        <v>3</v>
      </c>
      <c r="F117" s="6" t="str">
        <f t="shared" si="11"/>
        <v>Q1-2023</v>
      </c>
      <c r="G117" t="s">
        <v>648</v>
      </c>
      <c r="H117" t="s">
        <v>655</v>
      </c>
      <c r="I117" t="s">
        <v>672</v>
      </c>
      <c r="J117" t="s">
        <v>706</v>
      </c>
      <c r="K117" t="s">
        <v>711</v>
      </c>
      <c r="L117" t="s">
        <v>715</v>
      </c>
      <c r="M117" t="s">
        <v>732</v>
      </c>
      <c r="N117">
        <f t="shared" si="12"/>
        <v>0.22438789380086138</v>
      </c>
      <c r="O117" t="s">
        <v>849</v>
      </c>
      <c r="P117" s="4">
        <v>1473.58</v>
      </c>
      <c r="Q117" s="4">
        <v>3436.52</v>
      </c>
      <c r="R117" s="4" t="str">
        <f t="shared" si="13"/>
        <v>Profit</v>
      </c>
      <c r="S117">
        <v>0.108</v>
      </c>
      <c r="T117" s="4">
        <v>8</v>
      </c>
      <c r="U117">
        <f t="shared" si="14"/>
        <v>24523.006720000001</v>
      </c>
      <c r="V117">
        <f t="shared" si="15"/>
        <v>11788.64</v>
      </c>
      <c r="W117">
        <f t="shared" si="16"/>
        <v>12734.366720000002</v>
      </c>
      <c r="X117">
        <f t="shared" si="17"/>
        <v>0.51928243813652564</v>
      </c>
    </row>
    <row r="118" spans="1:24" x14ac:dyDescent="0.25">
      <c r="A118" t="s">
        <v>131</v>
      </c>
      <c r="B118" s="13">
        <v>45811</v>
      </c>
      <c r="C118" s="8">
        <v>45818</v>
      </c>
      <c r="D118" s="8">
        <f t="shared" si="9"/>
        <v>45818</v>
      </c>
      <c r="E118" s="6">
        <f t="shared" si="10"/>
        <v>7</v>
      </c>
      <c r="F118" s="6" t="str">
        <f t="shared" si="11"/>
        <v>Q2-2025</v>
      </c>
      <c r="G118" t="s">
        <v>648</v>
      </c>
      <c r="H118" t="s">
        <v>653</v>
      </c>
      <c r="I118" t="s">
        <v>667</v>
      </c>
      <c r="J118" t="s">
        <v>704</v>
      </c>
      <c r="K118" t="s">
        <v>710</v>
      </c>
      <c r="L118" t="s">
        <v>719</v>
      </c>
      <c r="M118" t="s">
        <v>728</v>
      </c>
      <c r="N118">
        <f t="shared" si="12"/>
        <v>7.0089007555805428E-3</v>
      </c>
      <c r="O118" t="s">
        <v>850</v>
      </c>
      <c r="P118" s="4">
        <v>75.180000000000007</v>
      </c>
      <c r="Q118" s="4">
        <v>53.45</v>
      </c>
      <c r="R118" s="4" t="str">
        <f t="shared" si="13"/>
        <v>Loss</v>
      </c>
      <c r="S118">
        <v>0.157</v>
      </c>
      <c r="T118" s="4">
        <v>17</v>
      </c>
      <c r="U118">
        <f t="shared" si="14"/>
        <v>765.99195000000009</v>
      </c>
      <c r="V118">
        <f t="shared" si="15"/>
        <v>1278.0600000000002</v>
      </c>
      <c r="W118">
        <f t="shared" si="16"/>
        <v>-512.06805000000008</v>
      </c>
      <c r="X118">
        <f t="shared" si="17"/>
        <v>-0.66850317421743144</v>
      </c>
    </row>
    <row r="119" spans="1:24" x14ac:dyDescent="0.25">
      <c r="A119" t="s">
        <v>132</v>
      </c>
      <c r="B119" s="13">
        <v>45653</v>
      </c>
      <c r="C119" s="8">
        <v>45659</v>
      </c>
      <c r="D119" s="8">
        <f t="shared" si="9"/>
        <v>45659</v>
      </c>
      <c r="E119" s="6">
        <f t="shared" si="10"/>
        <v>6</v>
      </c>
      <c r="F119" s="6" t="str">
        <f t="shared" si="11"/>
        <v>Q4-2024</v>
      </c>
      <c r="G119" t="s">
        <v>649</v>
      </c>
      <c r="H119" t="s">
        <v>656</v>
      </c>
      <c r="I119" t="s">
        <v>698</v>
      </c>
      <c r="J119" t="s">
        <v>702</v>
      </c>
      <c r="K119" t="s">
        <v>711</v>
      </c>
      <c r="L119" t="s">
        <v>721</v>
      </c>
      <c r="M119" t="s">
        <v>731</v>
      </c>
      <c r="N119">
        <f t="shared" si="12"/>
        <v>0.59584819192465177</v>
      </c>
      <c r="O119" t="s">
        <v>851</v>
      </c>
      <c r="P119" s="4">
        <v>1391.99</v>
      </c>
      <c r="Q119" s="4">
        <v>3469.7</v>
      </c>
      <c r="R119" s="4" t="str">
        <f t="shared" si="13"/>
        <v>Profit</v>
      </c>
      <c r="S119">
        <v>0.184</v>
      </c>
      <c r="T119" s="4">
        <v>23</v>
      </c>
      <c r="U119">
        <f t="shared" si="14"/>
        <v>65119.329599999997</v>
      </c>
      <c r="V119">
        <f t="shared" si="15"/>
        <v>32015.77</v>
      </c>
      <c r="W119">
        <f t="shared" si="16"/>
        <v>33103.559599999993</v>
      </c>
      <c r="X119">
        <f t="shared" si="17"/>
        <v>0.50835227886006973</v>
      </c>
    </row>
    <row r="120" spans="1:24" x14ac:dyDescent="0.25">
      <c r="A120" t="s">
        <v>133</v>
      </c>
      <c r="B120" s="13">
        <v>45086</v>
      </c>
      <c r="C120" s="8">
        <v>45096</v>
      </c>
      <c r="D120" s="8">
        <f t="shared" si="9"/>
        <v>45096</v>
      </c>
      <c r="E120" s="6">
        <f t="shared" si="10"/>
        <v>10</v>
      </c>
      <c r="F120" s="6" t="str">
        <f t="shared" si="11"/>
        <v>Q2-2023</v>
      </c>
      <c r="G120" t="s">
        <v>647</v>
      </c>
      <c r="H120" t="s">
        <v>659</v>
      </c>
      <c r="I120" t="s">
        <v>699</v>
      </c>
      <c r="J120" t="s">
        <v>706</v>
      </c>
      <c r="K120" t="s">
        <v>707</v>
      </c>
      <c r="L120" t="s">
        <v>721</v>
      </c>
      <c r="M120" t="s">
        <v>732</v>
      </c>
      <c r="N120">
        <f t="shared" si="12"/>
        <v>5.278943403226697E-2</v>
      </c>
      <c r="O120" t="s">
        <v>852</v>
      </c>
      <c r="P120" s="4">
        <v>339.61</v>
      </c>
      <c r="Q120" s="4">
        <v>621.02</v>
      </c>
      <c r="R120" s="4" t="str">
        <f t="shared" si="13"/>
        <v>Profit</v>
      </c>
      <c r="S120">
        <v>7.0999999999999994E-2</v>
      </c>
      <c r="T120" s="4">
        <v>10</v>
      </c>
      <c r="U120">
        <f t="shared" si="14"/>
        <v>5769.2758000000003</v>
      </c>
      <c r="V120">
        <f t="shared" si="15"/>
        <v>3396.1000000000004</v>
      </c>
      <c r="W120">
        <f t="shared" si="16"/>
        <v>2373.1758</v>
      </c>
      <c r="X120">
        <f t="shared" si="17"/>
        <v>0.41134726129750981</v>
      </c>
    </row>
    <row r="121" spans="1:24" x14ac:dyDescent="0.25">
      <c r="A121" t="s">
        <v>134</v>
      </c>
      <c r="B121" s="13">
        <v>45847</v>
      </c>
      <c r="C121" s="8">
        <v>45856</v>
      </c>
      <c r="D121" s="8">
        <f t="shared" si="9"/>
        <v>45856</v>
      </c>
      <c r="E121" s="6">
        <f t="shared" si="10"/>
        <v>9</v>
      </c>
      <c r="F121" s="6" t="str">
        <f t="shared" si="11"/>
        <v>Q3-2025</v>
      </c>
      <c r="G121" t="s">
        <v>648</v>
      </c>
      <c r="H121" t="s">
        <v>653</v>
      </c>
      <c r="I121" t="s">
        <v>688</v>
      </c>
      <c r="J121" t="s">
        <v>702</v>
      </c>
      <c r="K121" t="s">
        <v>710</v>
      </c>
      <c r="L121" t="s">
        <v>714</v>
      </c>
      <c r="M121" t="s">
        <v>731</v>
      </c>
      <c r="N121">
        <f t="shared" si="12"/>
        <v>5.4253532841516544E-3</v>
      </c>
      <c r="O121" t="s">
        <v>853</v>
      </c>
      <c r="P121" s="4">
        <v>57.96</v>
      </c>
      <c r="Q121" s="4">
        <v>88.51</v>
      </c>
      <c r="R121" s="4" t="str">
        <f t="shared" si="13"/>
        <v>Profit</v>
      </c>
      <c r="S121">
        <v>4.2999999999999997E-2</v>
      </c>
      <c r="T121" s="4">
        <v>7</v>
      </c>
      <c r="U121">
        <f t="shared" si="14"/>
        <v>592.92849000000001</v>
      </c>
      <c r="V121">
        <f t="shared" si="15"/>
        <v>405.72</v>
      </c>
      <c r="W121">
        <f t="shared" si="16"/>
        <v>187.20848999999998</v>
      </c>
      <c r="X121">
        <f t="shared" si="17"/>
        <v>0.3157353595877978</v>
      </c>
    </row>
    <row r="122" spans="1:24" x14ac:dyDescent="0.25">
      <c r="A122" t="s">
        <v>135</v>
      </c>
      <c r="B122" s="13">
        <v>45827</v>
      </c>
      <c r="C122" s="8">
        <v>45850</v>
      </c>
      <c r="D122" s="8">
        <f t="shared" si="9"/>
        <v>45850</v>
      </c>
      <c r="E122" s="6">
        <f t="shared" si="10"/>
        <v>23</v>
      </c>
      <c r="F122" s="6" t="str">
        <f t="shared" si="11"/>
        <v>Q2-2025</v>
      </c>
      <c r="G122" t="s">
        <v>649</v>
      </c>
      <c r="H122" t="s">
        <v>658</v>
      </c>
      <c r="I122" t="s">
        <v>1422</v>
      </c>
      <c r="J122" t="s">
        <v>703</v>
      </c>
      <c r="K122" t="s">
        <v>711</v>
      </c>
      <c r="L122" t="s">
        <v>1422</v>
      </c>
      <c r="M122" t="s">
        <v>729</v>
      </c>
      <c r="N122">
        <f t="shared" si="12"/>
        <v>0.36158259906934981</v>
      </c>
      <c r="O122" t="s">
        <v>854</v>
      </c>
      <c r="P122" s="4">
        <v>801.24</v>
      </c>
      <c r="Q122" s="4">
        <v>1959.09</v>
      </c>
      <c r="R122" s="4" t="str">
        <f t="shared" si="13"/>
        <v>Profit</v>
      </c>
      <c r="S122">
        <v>0.123</v>
      </c>
      <c r="T122" s="4">
        <v>23</v>
      </c>
      <c r="U122">
        <f t="shared" si="14"/>
        <v>39516.804389999998</v>
      </c>
      <c r="V122">
        <f t="shared" si="15"/>
        <v>18428.52</v>
      </c>
      <c r="W122">
        <f t="shared" si="16"/>
        <v>21088.284389999997</v>
      </c>
      <c r="X122">
        <f t="shared" si="17"/>
        <v>0.53365358650651762</v>
      </c>
    </row>
    <row r="123" spans="1:24" x14ac:dyDescent="0.25">
      <c r="A123" t="s">
        <v>136</v>
      </c>
      <c r="B123" s="13">
        <v>45249</v>
      </c>
      <c r="C123" s="8">
        <v>45273</v>
      </c>
      <c r="D123" s="8">
        <f t="shared" si="9"/>
        <v>45273</v>
      </c>
      <c r="E123" s="6">
        <f t="shared" si="10"/>
        <v>24</v>
      </c>
      <c r="F123" s="6" t="str">
        <f t="shared" si="11"/>
        <v>Q4-2023</v>
      </c>
      <c r="G123" t="s">
        <v>649</v>
      </c>
      <c r="H123" t="s">
        <v>657</v>
      </c>
      <c r="I123" t="s">
        <v>679</v>
      </c>
      <c r="J123" t="s">
        <v>703</v>
      </c>
      <c r="K123" t="s">
        <v>711</v>
      </c>
      <c r="L123" t="s">
        <v>722</v>
      </c>
      <c r="M123" t="s">
        <v>732</v>
      </c>
      <c r="N123">
        <f t="shared" si="12"/>
        <v>0.21029984525539172</v>
      </c>
      <c r="O123" t="s">
        <v>855</v>
      </c>
      <c r="P123" s="4">
        <v>1297.42</v>
      </c>
      <c r="Q123" s="4">
        <v>2742.97</v>
      </c>
      <c r="R123" s="4" t="str">
        <f t="shared" si="13"/>
        <v>Profit</v>
      </c>
      <c r="S123">
        <v>6.9000000000000006E-2</v>
      </c>
      <c r="T123" s="4">
        <v>9</v>
      </c>
      <c r="U123">
        <f t="shared" si="14"/>
        <v>22983.34563</v>
      </c>
      <c r="V123">
        <f t="shared" si="15"/>
        <v>11676.78</v>
      </c>
      <c r="W123">
        <f t="shared" si="16"/>
        <v>11306.565629999999</v>
      </c>
      <c r="X123">
        <f t="shared" si="17"/>
        <v>0.49194602961727291</v>
      </c>
    </row>
    <row r="124" spans="1:24" x14ac:dyDescent="0.25">
      <c r="A124" t="s">
        <v>137</v>
      </c>
      <c r="B124" s="13">
        <v>45289</v>
      </c>
      <c r="C124" s="8">
        <v>45311</v>
      </c>
      <c r="D124" s="8">
        <f t="shared" si="9"/>
        <v>45311</v>
      </c>
      <c r="E124" s="6">
        <f t="shared" si="10"/>
        <v>22</v>
      </c>
      <c r="F124" s="6" t="str">
        <f t="shared" si="11"/>
        <v>Q4-2023</v>
      </c>
      <c r="G124" t="s">
        <v>646</v>
      </c>
      <c r="H124" t="s">
        <v>650</v>
      </c>
      <c r="I124" t="s">
        <v>662</v>
      </c>
      <c r="J124" t="s">
        <v>701</v>
      </c>
      <c r="K124" t="s">
        <v>711</v>
      </c>
      <c r="L124" t="s">
        <v>716</v>
      </c>
      <c r="M124" t="s">
        <v>730</v>
      </c>
      <c r="N124">
        <f t="shared" si="12"/>
        <v>0.14696861220897448</v>
      </c>
      <c r="O124" t="s">
        <v>856</v>
      </c>
      <c r="P124" s="4">
        <v>1395.49</v>
      </c>
      <c r="Q124" s="4">
        <v>1679.42</v>
      </c>
      <c r="R124" s="4" t="str">
        <f t="shared" si="13"/>
        <v>Profit</v>
      </c>
      <c r="S124">
        <v>0.20300000000000001</v>
      </c>
      <c r="T124" s="4">
        <v>12</v>
      </c>
      <c r="U124">
        <f t="shared" si="14"/>
        <v>16061.972879999999</v>
      </c>
      <c r="V124">
        <f t="shared" si="15"/>
        <v>16745.88</v>
      </c>
      <c r="W124">
        <f t="shared" si="16"/>
        <v>-683.90712000000167</v>
      </c>
      <c r="X124">
        <f t="shared" si="17"/>
        <v>-4.2579272490964493E-2</v>
      </c>
    </row>
    <row r="125" spans="1:24" x14ac:dyDescent="0.25">
      <c r="A125" t="s">
        <v>138</v>
      </c>
      <c r="B125" s="13">
        <v>45598</v>
      </c>
      <c r="C125" s="8">
        <v>45625</v>
      </c>
      <c r="D125" s="8">
        <f t="shared" si="9"/>
        <v>45625</v>
      </c>
      <c r="E125" s="6">
        <f t="shared" si="10"/>
        <v>27</v>
      </c>
      <c r="F125" s="6" t="str">
        <f t="shared" si="11"/>
        <v>Q4-2024</v>
      </c>
      <c r="G125" t="s">
        <v>648</v>
      </c>
      <c r="H125" t="s">
        <v>655</v>
      </c>
      <c r="I125" t="s">
        <v>672</v>
      </c>
      <c r="J125" t="s">
        <v>705</v>
      </c>
      <c r="K125" t="s">
        <v>711</v>
      </c>
      <c r="L125" t="s">
        <v>714</v>
      </c>
      <c r="M125" t="s">
        <v>729</v>
      </c>
      <c r="N125">
        <f t="shared" si="12"/>
        <v>9.8979726501842252E-2</v>
      </c>
      <c r="O125" t="s">
        <v>857</v>
      </c>
      <c r="P125" s="4">
        <v>1363.51</v>
      </c>
      <c r="Q125" s="4">
        <v>1433.9</v>
      </c>
      <c r="R125" s="4" t="str">
        <f t="shared" si="13"/>
        <v>Profit</v>
      </c>
      <c r="S125">
        <v>5.7000000000000002E-2</v>
      </c>
      <c r="T125" s="4">
        <v>8</v>
      </c>
      <c r="U125">
        <f t="shared" si="14"/>
        <v>10817.3416</v>
      </c>
      <c r="V125">
        <f t="shared" si="15"/>
        <v>10908.08</v>
      </c>
      <c r="W125">
        <f t="shared" si="16"/>
        <v>-90.738400000000183</v>
      </c>
      <c r="X125">
        <f t="shared" si="17"/>
        <v>-8.3882346842037592E-3</v>
      </c>
    </row>
    <row r="126" spans="1:24" x14ac:dyDescent="0.25">
      <c r="A126" t="s">
        <v>139</v>
      </c>
      <c r="B126" s="13">
        <v>45159</v>
      </c>
      <c r="C126" s="8">
        <v>45173</v>
      </c>
      <c r="D126" s="8">
        <f t="shared" si="9"/>
        <v>45173</v>
      </c>
      <c r="E126" s="6">
        <f t="shared" si="10"/>
        <v>14</v>
      </c>
      <c r="F126" s="6" t="str">
        <f t="shared" si="11"/>
        <v>Q3-2023</v>
      </c>
      <c r="G126" t="s">
        <v>648</v>
      </c>
      <c r="H126" t="s">
        <v>653</v>
      </c>
      <c r="I126" t="s">
        <v>681</v>
      </c>
      <c r="J126" t="s">
        <v>702</v>
      </c>
      <c r="K126" t="s">
        <v>710</v>
      </c>
      <c r="L126" t="s">
        <v>721</v>
      </c>
      <c r="M126" t="s">
        <v>727</v>
      </c>
      <c r="N126">
        <f t="shared" si="12"/>
        <v>1.8967472812525549E-2</v>
      </c>
      <c r="O126" t="s">
        <v>858</v>
      </c>
      <c r="P126" s="4">
        <v>178.19</v>
      </c>
      <c r="Q126" s="4">
        <v>284.43</v>
      </c>
      <c r="R126" s="4" t="str">
        <f t="shared" si="13"/>
        <v>Profit</v>
      </c>
      <c r="S126">
        <v>8.8999999999999996E-2</v>
      </c>
      <c r="T126" s="4">
        <v>8</v>
      </c>
      <c r="U126">
        <f t="shared" si="14"/>
        <v>2072.9258400000003</v>
      </c>
      <c r="V126">
        <f t="shared" si="15"/>
        <v>1425.52</v>
      </c>
      <c r="W126">
        <f t="shared" si="16"/>
        <v>647.40584000000035</v>
      </c>
      <c r="X126">
        <f t="shared" si="17"/>
        <v>0.31231500302972742</v>
      </c>
    </row>
    <row r="127" spans="1:24" x14ac:dyDescent="0.25">
      <c r="A127" t="s">
        <v>140</v>
      </c>
      <c r="B127" s="13">
        <v>45150</v>
      </c>
      <c r="C127" s="8">
        <v>45175</v>
      </c>
      <c r="D127" s="8">
        <f t="shared" si="9"/>
        <v>45175</v>
      </c>
      <c r="E127" s="6">
        <f t="shared" si="10"/>
        <v>25</v>
      </c>
      <c r="F127" s="6" t="str">
        <f t="shared" si="11"/>
        <v>Q3-2023</v>
      </c>
      <c r="G127" t="s">
        <v>647</v>
      </c>
      <c r="H127" t="s">
        <v>659</v>
      </c>
      <c r="I127" t="s">
        <v>685</v>
      </c>
      <c r="J127" t="s">
        <v>705</v>
      </c>
      <c r="K127" t="s">
        <v>707</v>
      </c>
      <c r="L127" t="s">
        <v>717</v>
      </c>
      <c r="M127" t="s">
        <v>727</v>
      </c>
      <c r="N127">
        <f t="shared" si="12"/>
        <v>8.1526072845444247E-2</v>
      </c>
      <c r="O127" t="s">
        <v>859</v>
      </c>
      <c r="P127" s="4">
        <v>950.77</v>
      </c>
      <c r="Q127" s="4">
        <v>694.78</v>
      </c>
      <c r="R127" s="4" t="str">
        <f t="shared" si="13"/>
        <v>Loss</v>
      </c>
      <c r="S127">
        <v>8.4000000000000005E-2</v>
      </c>
      <c r="T127" s="4">
        <v>14</v>
      </c>
      <c r="U127">
        <f t="shared" si="14"/>
        <v>8909.8587200000002</v>
      </c>
      <c r="V127">
        <f t="shared" si="15"/>
        <v>13310.779999999999</v>
      </c>
      <c r="W127">
        <f t="shared" si="16"/>
        <v>-4400.9212799999987</v>
      </c>
      <c r="X127">
        <f t="shared" si="17"/>
        <v>-0.49393839097821279</v>
      </c>
    </row>
    <row r="128" spans="1:24" x14ac:dyDescent="0.25">
      <c r="A128" t="s">
        <v>141</v>
      </c>
      <c r="B128" s="13">
        <v>45450</v>
      </c>
      <c r="C128" s="8">
        <v>45469</v>
      </c>
      <c r="D128" s="8">
        <f t="shared" si="9"/>
        <v>45469</v>
      </c>
      <c r="E128" s="6">
        <f t="shared" si="10"/>
        <v>19</v>
      </c>
      <c r="F128" s="6" t="str">
        <f t="shared" si="11"/>
        <v>Q2-2024</v>
      </c>
      <c r="G128" t="s">
        <v>649</v>
      </c>
      <c r="H128" t="s">
        <v>656</v>
      </c>
      <c r="I128" t="s">
        <v>671</v>
      </c>
      <c r="J128" t="s">
        <v>703</v>
      </c>
      <c r="K128" t="s">
        <v>709</v>
      </c>
      <c r="L128" t="s">
        <v>724</v>
      </c>
      <c r="M128" t="s">
        <v>727</v>
      </c>
      <c r="N128">
        <f t="shared" si="12"/>
        <v>0.59577550849397631</v>
      </c>
      <c r="O128" t="s">
        <v>860</v>
      </c>
      <c r="P128" s="4">
        <v>1064.32</v>
      </c>
      <c r="Q128" s="4">
        <v>1848.39</v>
      </c>
      <c r="R128" s="4" t="str">
        <f t="shared" si="13"/>
        <v>Profit</v>
      </c>
      <c r="S128">
        <v>7.2999999999999995E-2</v>
      </c>
      <c r="T128" s="4">
        <v>38</v>
      </c>
      <c r="U128">
        <f t="shared" si="14"/>
        <v>65111.38614000001</v>
      </c>
      <c r="V128">
        <f t="shared" si="15"/>
        <v>40444.159999999996</v>
      </c>
      <c r="W128">
        <f t="shared" si="16"/>
        <v>24667.226140000013</v>
      </c>
      <c r="X128">
        <f t="shared" si="17"/>
        <v>0.3788465827921631</v>
      </c>
    </row>
    <row r="129" spans="1:24" x14ac:dyDescent="0.25">
      <c r="A129" t="s">
        <v>142</v>
      </c>
      <c r="B129" s="13">
        <v>45874</v>
      </c>
      <c r="C129" s="8">
        <v>45883</v>
      </c>
      <c r="D129" s="8">
        <f t="shared" si="9"/>
        <v>45883</v>
      </c>
      <c r="E129" s="6">
        <f t="shared" si="10"/>
        <v>9</v>
      </c>
      <c r="F129" s="6" t="str">
        <f t="shared" si="11"/>
        <v>Q3-2025</v>
      </c>
      <c r="G129" t="s">
        <v>649</v>
      </c>
      <c r="H129" t="s">
        <v>658</v>
      </c>
      <c r="I129" t="s">
        <v>683</v>
      </c>
      <c r="J129" t="s">
        <v>703</v>
      </c>
      <c r="K129" t="s">
        <v>711</v>
      </c>
      <c r="L129" t="s">
        <v>718</v>
      </c>
      <c r="M129" t="s">
        <v>727</v>
      </c>
      <c r="N129">
        <f t="shared" si="12"/>
        <v>7.8079862424234097E-3</v>
      </c>
      <c r="O129" t="s">
        <v>861</v>
      </c>
      <c r="P129" s="4">
        <v>41.76</v>
      </c>
      <c r="Q129" s="4">
        <v>45.19</v>
      </c>
      <c r="R129" s="4" t="str">
        <f t="shared" si="13"/>
        <v>Profit</v>
      </c>
      <c r="S129">
        <v>0.17899999999999999</v>
      </c>
      <c r="T129" s="4">
        <v>23</v>
      </c>
      <c r="U129">
        <f t="shared" si="14"/>
        <v>853.32276999999988</v>
      </c>
      <c r="V129">
        <f t="shared" si="15"/>
        <v>960.4799999999999</v>
      </c>
      <c r="W129">
        <f t="shared" si="16"/>
        <v>-107.15723000000003</v>
      </c>
      <c r="X129">
        <f t="shared" si="17"/>
        <v>-0.12557643340514638</v>
      </c>
    </row>
    <row r="130" spans="1:24" x14ac:dyDescent="0.25">
      <c r="A130" t="s">
        <v>143</v>
      </c>
      <c r="B130" s="13">
        <v>45442</v>
      </c>
      <c r="C130" s="8">
        <v>45456</v>
      </c>
      <c r="D130" s="8">
        <f t="shared" si="9"/>
        <v>45456</v>
      </c>
      <c r="E130" s="6">
        <f t="shared" si="10"/>
        <v>14</v>
      </c>
      <c r="F130" s="6" t="str">
        <f t="shared" si="11"/>
        <v>Q2-2024</v>
      </c>
      <c r="G130" t="s">
        <v>648</v>
      </c>
      <c r="H130" t="s">
        <v>660</v>
      </c>
      <c r="I130" t="s">
        <v>686</v>
      </c>
      <c r="J130" t="s">
        <v>705</v>
      </c>
      <c r="K130" t="s">
        <v>707</v>
      </c>
      <c r="L130" t="s">
        <v>721</v>
      </c>
      <c r="M130" t="s">
        <v>730</v>
      </c>
      <c r="N130">
        <f t="shared" si="12"/>
        <v>2.4176100281212167E-2</v>
      </c>
      <c r="O130" t="s">
        <v>862</v>
      </c>
      <c r="P130" s="4">
        <v>157.78</v>
      </c>
      <c r="Q130" s="4">
        <v>361.1</v>
      </c>
      <c r="R130" s="4" t="str">
        <f t="shared" si="13"/>
        <v>Profit</v>
      </c>
      <c r="S130">
        <v>0.187</v>
      </c>
      <c r="T130" s="4">
        <v>9</v>
      </c>
      <c r="U130">
        <f t="shared" si="14"/>
        <v>2642.1686999999997</v>
      </c>
      <c r="V130">
        <f t="shared" si="15"/>
        <v>1420.02</v>
      </c>
      <c r="W130">
        <f t="shared" si="16"/>
        <v>1222.1486999999997</v>
      </c>
      <c r="X130">
        <f t="shared" si="17"/>
        <v>0.46255513510549112</v>
      </c>
    </row>
    <row r="131" spans="1:24" x14ac:dyDescent="0.25">
      <c r="A131" t="s">
        <v>144</v>
      </c>
      <c r="B131" s="13">
        <v>44948</v>
      </c>
      <c r="C131" s="8">
        <v>44956</v>
      </c>
      <c r="D131" s="8">
        <f t="shared" ref="D131:D194" si="18">IF(B131&gt;C131, B131+7, C131)</f>
        <v>44956</v>
      </c>
      <c r="E131" s="6">
        <f t="shared" ref="E131:E194" si="19">(D131-B131)</f>
        <v>8</v>
      </c>
      <c r="F131" s="6" t="str">
        <f t="shared" ref="F131:F194" si="20">"Q"&amp;ROUNDUP(MONTH(B131)/3,0)&amp;"-"&amp;YEAR(B131)</f>
        <v>Q1-2023</v>
      </c>
      <c r="G131" t="s">
        <v>648</v>
      </c>
      <c r="H131" t="s">
        <v>660</v>
      </c>
      <c r="I131" t="s">
        <v>686</v>
      </c>
      <c r="J131" t="s">
        <v>705</v>
      </c>
      <c r="K131" t="s">
        <v>708</v>
      </c>
      <c r="L131" t="s">
        <v>720</v>
      </c>
      <c r="M131" t="s">
        <v>729</v>
      </c>
      <c r="N131">
        <f t="shared" ref="N131:N194" si="21">(U131/$U$634)*100</f>
        <v>0.14705531669951089</v>
      </c>
      <c r="O131" t="s">
        <v>863</v>
      </c>
      <c r="P131" s="4">
        <v>413.52</v>
      </c>
      <c r="Q131" s="4">
        <v>1004.34</v>
      </c>
      <c r="R131" s="4" t="str">
        <f t="shared" ref="R131:R194" si="22">IF(Q131&gt;P131, "Profit", IF(Q131&lt;P131, "Loss"))</f>
        <v>Profit</v>
      </c>
      <c r="S131">
        <v>0.111</v>
      </c>
      <c r="T131" s="4">
        <v>18</v>
      </c>
      <c r="U131">
        <f t="shared" ref="U131:U194" si="23">Q131*T131*(1-S131)</f>
        <v>16071.44868</v>
      </c>
      <c r="V131">
        <f t="shared" ref="V131:V194" si="24">P131*T131</f>
        <v>7443.36</v>
      </c>
      <c r="W131">
        <f t="shared" ref="W131:W194" si="25">U131-V131</f>
        <v>8628.0886800000007</v>
      </c>
      <c r="X131">
        <f t="shared" ref="X131:X194" si="26">IF(U131=0, 0, W131/U131)</f>
        <v>0.53685817948304593</v>
      </c>
    </row>
    <row r="132" spans="1:24" x14ac:dyDescent="0.25">
      <c r="A132" t="s">
        <v>145</v>
      </c>
      <c r="B132" s="13">
        <v>45700</v>
      </c>
      <c r="C132" s="8">
        <v>45716</v>
      </c>
      <c r="D132" s="8">
        <f t="shared" si="18"/>
        <v>45716</v>
      </c>
      <c r="E132" s="6">
        <f t="shared" si="19"/>
        <v>16</v>
      </c>
      <c r="F132" s="6" t="str">
        <f t="shared" si="20"/>
        <v>Q1-2025</v>
      </c>
      <c r="G132" t="s">
        <v>648</v>
      </c>
      <c r="H132" t="s">
        <v>655</v>
      </c>
      <c r="I132" t="s">
        <v>670</v>
      </c>
      <c r="J132" t="s">
        <v>703</v>
      </c>
      <c r="K132" t="s">
        <v>711</v>
      </c>
      <c r="L132" t="s">
        <v>717</v>
      </c>
      <c r="M132" t="s">
        <v>732</v>
      </c>
      <c r="N132">
        <f t="shared" si="21"/>
        <v>7.049110473184711E-2</v>
      </c>
      <c r="O132" t="s">
        <v>864</v>
      </c>
      <c r="P132" s="4">
        <v>414.95</v>
      </c>
      <c r="Q132" s="4">
        <v>1027.73</v>
      </c>
      <c r="R132" s="4" t="str">
        <f t="shared" si="22"/>
        <v>Profit</v>
      </c>
      <c r="S132">
        <v>6.3E-2</v>
      </c>
      <c r="T132" s="4">
        <v>8</v>
      </c>
      <c r="U132">
        <f t="shared" si="23"/>
        <v>7703.8640800000003</v>
      </c>
      <c r="V132">
        <f t="shared" si="24"/>
        <v>3319.6</v>
      </c>
      <c r="W132">
        <f t="shared" si="25"/>
        <v>4384.2640800000008</v>
      </c>
      <c r="X132">
        <f t="shared" si="26"/>
        <v>0.56909935513815568</v>
      </c>
    </row>
    <row r="133" spans="1:24" x14ac:dyDescent="0.25">
      <c r="A133" t="s">
        <v>146</v>
      </c>
      <c r="B133" s="13">
        <v>45719</v>
      </c>
      <c r="C133" s="8">
        <v>45740</v>
      </c>
      <c r="D133" s="8">
        <f t="shared" si="18"/>
        <v>45740</v>
      </c>
      <c r="E133" s="6">
        <f t="shared" si="19"/>
        <v>21</v>
      </c>
      <c r="F133" s="6" t="str">
        <f t="shared" si="20"/>
        <v>Q1-2025</v>
      </c>
      <c r="G133" t="s">
        <v>646</v>
      </c>
      <c r="H133" t="s">
        <v>651</v>
      </c>
      <c r="I133" t="s">
        <v>669</v>
      </c>
      <c r="J133" t="s">
        <v>706</v>
      </c>
      <c r="K133" t="s">
        <v>711</v>
      </c>
      <c r="L133" t="s">
        <v>722</v>
      </c>
      <c r="M133" t="s">
        <v>733</v>
      </c>
      <c r="N133">
        <f t="shared" si="21"/>
        <v>4.0423604967998648E-2</v>
      </c>
      <c r="O133" t="s">
        <v>865</v>
      </c>
      <c r="P133" s="4">
        <v>555.95000000000005</v>
      </c>
      <c r="Q133" s="4">
        <v>468.09</v>
      </c>
      <c r="R133" s="4" t="str">
        <f t="shared" si="22"/>
        <v>Loss</v>
      </c>
      <c r="S133">
        <v>0.14199999999999999</v>
      </c>
      <c r="T133" s="4">
        <v>11</v>
      </c>
      <c r="U133">
        <f t="shared" si="23"/>
        <v>4417.8334199999999</v>
      </c>
      <c r="V133">
        <f t="shared" si="24"/>
        <v>6115.4500000000007</v>
      </c>
      <c r="W133">
        <f t="shared" si="25"/>
        <v>-1697.6165800000008</v>
      </c>
      <c r="X133">
        <f t="shared" si="26"/>
        <v>-0.38426450674095375</v>
      </c>
    </row>
    <row r="134" spans="1:24" x14ac:dyDescent="0.25">
      <c r="A134" t="s">
        <v>147</v>
      </c>
      <c r="B134" s="13">
        <v>44953</v>
      </c>
      <c r="C134" s="8">
        <v>44957</v>
      </c>
      <c r="D134" s="8">
        <f t="shared" si="18"/>
        <v>44957</v>
      </c>
      <c r="E134" s="6">
        <f t="shared" si="19"/>
        <v>4</v>
      </c>
      <c r="F134" s="6" t="str">
        <f t="shared" si="20"/>
        <v>Q1-2023</v>
      </c>
      <c r="G134" t="s">
        <v>649</v>
      </c>
      <c r="H134" t="s">
        <v>658</v>
      </c>
      <c r="I134" t="s">
        <v>693</v>
      </c>
      <c r="J134" t="s">
        <v>706</v>
      </c>
      <c r="K134" t="s">
        <v>708</v>
      </c>
      <c r="L134" t="s">
        <v>725</v>
      </c>
      <c r="M134" t="s">
        <v>731</v>
      </c>
      <c r="N134">
        <f t="shared" si="21"/>
        <v>7.628334973576624E-2</v>
      </c>
      <c r="O134" t="s">
        <v>866</v>
      </c>
      <c r="P134" s="4">
        <v>941.2</v>
      </c>
      <c r="Q134" s="4">
        <v>668.02</v>
      </c>
      <c r="R134" s="4" t="str">
        <f t="shared" si="22"/>
        <v>Loss</v>
      </c>
      <c r="S134">
        <v>0.22</v>
      </c>
      <c r="T134" s="4">
        <v>16</v>
      </c>
      <c r="U134">
        <f t="shared" si="23"/>
        <v>8336.8896000000004</v>
      </c>
      <c r="V134">
        <f t="shared" si="24"/>
        <v>15059.2</v>
      </c>
      <c r="W134">
        <f t="shared" si="25"/>
        <v>-6722.3104000000003</v>
      </c>
      <c r="X134">
        <f t="shared" si="26"/>
        <v>-0.80633314371825193</v>
      </c>
    </row>
    <row r="135" spans="1:24" x14ac:dyDescent="0.25">
      <c r="A135" t="s">
        <v>148</v>
      </c>
      <c r="B135" s="13">
        <v>45666</v>
      </c>
      <c r="C135" s="8">
        <v>45672</v>
      </c>
      <c r="D135" s="8">
        <f t="shared" si="18"/>
        <v>45672</v>
      </c>
      <c r="E135" s="6">
        <f t="shared" si="19"/>
        <v>6</v>
      </c>
      <c r="F135" s="6" t="str">
        <f t="shared" si="20"/>
        <v>Q1-2025</v>
      </c>
      <c r="G135" t="s">
        <v>647</v>
      </c>
      <c r="H135" t="s">
        <v>659</v>
      </c>
      <c r="I135" t="s">
        <v>699</v>
      </c>
      <c r="J135" t="s">
        <v>702</v>
      </c>
      <c r="K135" t="s">
        <v>708</v>
      </c>
      <c r="L135" t="s">
        <v>712</v>
      </c>
      <c r="M135" t="s">
        <v>730</v>
      </c>
      <c r="N135">
        <f t="shared" si="21"/>
        <v>3.1974136799499953E-2</v>
      </c>
      <c r="O135" t="s">
        <v>867</v>
      </c>
      <c r="P135" s="4">
        <v>304.77999999999997</v>
      </c>
      <c r="Q135" s="4">
        <v>537.27</v>
      </c>
      <c r="R135" s="4" t="str">
        <f t="shared" si="22"/>
        <v>Profit</v>
      </c>
      <c r="S135">
        <v>0.187</v>
      </c>
      <c r="T135" s="4">
        <v>8</v>
      </c>
      <c r="U135">
        <f t="shared" si="23"/>
        <v>3494.4040799999998</v>
      </c>
      <c r="V135">
        <f t="shared" si="24"/>
        <v>2438.2399999999998</v>
      </c>
      <c r="W135">
        <f t="shared" si="25"/>
        <v>1056.16408</v>
      </c>
      <c r="X135">
        <f t="shared" si="26"/>
        <v>0.3022444044307549</v>
      </c>
    </row>
    <row r="136" spans="1:24" x14ac:dyDescent="0.25">
      <c r="A136" t="s">
        <v>149</v>
      </c>
      <c r="B136" s="13">
        <v>45647</v>
      </c>
      <c r="C136" s="8">
        <v>45652</v>
      </c>
      <c r="D136" s="8">
        <f t="shared" si="18"/>
        <v>45652</v>
      </c>
      <c r="E136" s="6">
        <f t="shared" si="19"/>
        <v>5</v>
      </c>
      <c r="F136" s="6" t="str">
        <f t="shared" si="20"/>
        <v>Q4-2024</v>
      </c>
      <c r="G136" t="s">
        <v>648</v>
      </c>
      <c r="H136" t="s">
        <v>660</v>
      </c>
      <c r="I136" t="s">
        <v>686</v>
      </c>
      <c r="J136" t="s">
        <v>704</v>
      </c>
      <c r="K136" t="s">
        <v>709</v>
      </c>
      <c r="L136" t="s">
        <v>724</v>
      </c>
      <c r="M136" t="s">
        <v>728</v>
      </c>
      <c r="N136">
        <f t="shared" si="21"/>
        <v>0.11008931768370805</v>
      </c>
      <c r="O136" t="s">
        <v>868</v>
      </c>
      <c r="P136" s="4">
        <v>699.57</v>
      </c>
      <c r="Q136" s="4">
        <v>572.71</v>
      </c>
      <c r="R136" s="4" t="str">
        <f t="shared" si="22"/>
        <v>Loss</v>
      </c>
      <c r="S136">
        <v>0.192</v>
      </c>
      <c r="T136" s="4">
        <v>26</v>
      </c>
      <c r="U136">
        <f t="shared" si="23"/>
        <v>12031.491680000001</v>
      </c>
      <c r="V136">
        <f t="shared" si="24"/>
        <v>18188.82</v>
      </c>
      <c r="W136">
        <f t="shared" si="25"/>
        <v>-6157.3283199999987</v>
      </c>
      <c r="X136">
        <f t="shared" si="26"/>
        <v>-0.51176765805651114</v>
      </c>
    </row>
    <row r="137" spans="1:24" x14ac:dyDescent="0.25">
      <c r="A137" t="s">
        <v>150</v>
      </c>
      <c r="B137" s="13">
        <v>45028</v>
      </c>
      <c r="C137" s="8">
        <v>45033</v>
      </c>
      <c r="D137" s="8">
        <f t="shared" si="18"/>
        <v>45033</v>
      </c>
      <c r="E137" s="6">
        <f t="shared" si="19"/>
        <v>5</v>
      </c>
      <c r="F137" s="6" t="str">
        <f t="shared" si="20"/>
        <v>Q2-2023</v>
      </c>
      <c r="G137" t="s">
        <v>649</v>
      </c>
      <c r="H137" t="s">
        <v>657</v>
      </c>
      <c r="I137" t="s">
        <v>679</v>
      </c>
      <c r="J137" t="s">
        <v>706</v>
      </c>
      <c r="K137" t="s">
        <v>711</v>
      </c>
      <c r="L137" t="s">
        <v>718</v>
      </c>
      <c r="M137" t="s">
        <v>732</v>
      </c>
      <c r="N137">
        <f t="shared" si="21"/>
        <v>0.25044310780851164</v>
      </c>
      <c r="O137" t="s">
        <v>869</v>
      </c>
      <c r="P137" s="4">
        <v>1087.81</v>
      </c>
      <c r="Q137" s="4">
        <v>2323.87</v>
      </c>
      <c r="R137" s="4" t="str">
        <f t="shared" si="22"/>
        <v>Profit</v>
      </c>
      <c r="S137">
        <v>9.4E-2</v>
      </c>
      <c r="T137" s="4">
        <v>13</v>
      </c>
      <c r="U137">
        <f t="shared" si="23"/>
        <v>27370.540859999997</v>
      </c>
      <c r="V137">
        <f t="shared" si="24"/>
        <v>14141.529999999999</v>
      </c>
      <c r="W137">
        <f t="shared" si="25"/>
        <v>13229.010859999999</v>
      </c>
      <c r="X137">
        <f t="shared" si="26"/>
        <v>0.48333026839572651</v>
      </c>
    </row>
    <row r="138" spans="1:24" x14ac:dyDescent="0.25">
      <c r="A138" t="s">
        <v>151</v>
      </c>
      <c r="B138" s="13">
        <v>45640</v>
      </c>
      <c r="C138" s="8">
        <v>45669</v>
      </c>
      <c r="D138" s="8">
        <f t="shared" si="18"/>
        <v>45669</v>
      </c>
      <c r="E138" s="6">
        <f t="shared" si="19"/>
        <v>29</v>
      </c>
      <c r="F138" s="6" t="str">
        <f t="shared" si="20"/>
        <v>Q4-2024</v>
      </c>
      <c r="G138" t="s">
        <v>647</v>
      </c>
      <c r="H138" t="s">
        <v>659</v>
      </c>
      <c r="I138" t="s">
        <v>676</v>
      </c>
      <c r="J138" t="s">
        <v>702</v>
      </c>
      <c r="K138" t="s">
        <v>708</v>
      </c>
      <c r="L138" t="s">
        <v>713</v>
      </c>
      <c r="M138" t="s">
        <v>727</v>
      </c>
      <c r="N138">
        <f t="shared" si="21"/>
        <v>8.8739141274160757E-2</v>
      </c>
      <c r="O138" t="s">
        <v>870</v>
      </c>
      <c r="P138" s="4">
        <v>1412.15</v>
      </c>
      <c r="Q138" s="4">
        <v>1631.04</v>
      </c>
      <c r="R138" s="4" t="str">
        <f t="shared" si="22"/>
        <v>Profit</v>
      </c>
      <c r="S138">
        <v>8.9999999999999993E-3</v>
      </c>
      <c r="T138" s="4">
        <v>6</v>
      </c>
      <c r="U138">
        <f t="shared" si="23"/>
        <v>9698.1638399999993</v>
      </c>
      <c r="V138">
        <f t="shared" si="24"/>
        <v>8472.9000000000015</v>
      </c>
      <c r="W138">
        <f t="shared" si="25"/>
        <v>1225.2638399999978</v>
      </c>
      <c r="X138">
        <f t="shared" si="26"/>
        <v>0.12633977526203535</v>
      </c>
    </row>
    <row r="139" spans="1:24" x14ac:dyDescent="0.25">
      <c r="A139" t="s">
        <v>152</v>
      </c>
      <c r="B139" s="13">
        <v>45016</v>
      </c>
      <c r="C139" s="8">
        <v>45028</v>
      </c>
      <c r="D139" s="8">
        <f t="shared" si="18"/>
        <v>45028</v>
      </c>
      <c r="E139" s="6">
        <f t="shared" si="19"/>
        <v>12</v>
      </c>
      <c r="F139" s="6" t="str">
        <f t="shared" si="20"/>
        <v>Q1-2023</v>
      </c>
      <c r="G139" t="s">
        <v>646</v>
      </c>
      <c r="H139" t="s">
        <v>650</v>
      </c>
      <c r="I139" t="s">
        <v>675</v>
      </c>
      <c r="J139" t="s">
        <v>705</v>
      </c>
      <c r="K139" t="s">
        <v>708</v>
      </c>
      <c r="L139" t="s">
        <v>712</v>
      </c>
      <c r="M139" t="s">
        <v>730</v>
      </c>
      <c r="N139">
        <f t="shared" si="21"/>
        <v>3.9677042411288582E-2</v>
      </c>
      <c r="O139" t="s">
        <v>871</v>
      </c>
      <c r="P139" s="4">
        <v>304.22000000000003</v>
      </c>
      <c r="Q139" s="4">
        <v>393.31</v>
      </c>
      <c r="R139" s="4" t="str">
        <f t="shared" si="22"/>
        <v>Profit</v>
      </c>
      <c r="S139">
        <v>0.26500000000000001</v>
      </c>
      <c r="T139" s="4">
        <v>15</v>
      </c>
      <c r="U139">
        <f t="shared" si="23"/>
        <v>4336.2427499999994</v>
      </c>
      <c r="V139">
        <f t="shared" si="24"/>
        <v>4563.3</v>
      </c>
      <c r="W139">
        <f t="shared" si="25"/>
        <v>-227.05725000000075</v>
      </c>
      <c r="X139">
        <f t="shared" si="26"/>
        <v>-5.2362670424759034E-2</v>
      </c>
    </row>
    <row r="140" spans="1:24" x14ac:dyDescent="0.25">
      <c r="A140" t="s">
        <v>153</v>
      </c>
      <c r="B140" s="13">
        <v>45616</v>
      </c>
      <c r="C140" s="8">
        <v>45641</v>
      </c>
      <c r="D140" s="8">
        <f t="shared" si="18"/>
        <v>45641</v>
      </c>
      <c r="E140" s="6">
        <f t="shared" si="19"/>
        <v>25</v>
      </c>
      <c r="F140" s="6" t="str">
        <f t="shared" si="20"/>
        <v>Q4-2024</v>
      </c>
      <c r="G140" t="s">
        <v>649</v>
      </c>
      <c r="H140" t="s">
        <v>657</v>
      </c>
      <c r="I140" t="s">
        <v>690</v>
      </c>
      <c r="J140" t="s">
        <v>701</v>
      </c>
      <c r="K140" t="s">
        <v>708</v>
      </c>
      <c r="L140" t="s">
        <v>715</v>
      </c>
      <c r="M140" t="s">
        <v>728</v>
      </c>
      <c r="N140">
        <f t="shared" si="21"/>
        <v>0.32544825723270165</v>
      </c>
      <c r="O140" t="s">
        <v>872</v>
      </c>
      <c r="P140" s="4">
        <v>1203.58</v>
      </c>
      <c r="Q140" s="4">
        <v>1856.16</v>
      </c>
      <c r="R140" s="4" t="str">
        <f t="shared" si="22"/>
        <v>Profit</v>
      </c>
      <c r="S140">
        <v>0.129</v>
      </c>
      <c r="T140" s="4">
        <v>22</v>
      </c>
      <c r="U140">
        <f t="shared" si="23"/>
        <v>35567.737920000007</v>
      </c>
      <c r="V140">
        <f t="shared" si="24"/>
        <v>26478.76</v>
      </c>
      <c r="W140">
        <f t="shared" si="25"/>
        <v>9088.9779200000085</v>
      </c>
      <c r="X140">
        <f t="shared" si="26"/>
        <v>0.25553994860295032</v>
      </c>
    </row>
    <row r="141" spans="1:24" x14ac:dyDescent="0.25">
      <c r="A141" t="s">
        <v>154</v>
      </c>
      <c r="B141" s="13">
        <v>45336</v>
      </c>
      <c r="C141" s="8">
        <v>45336</v>
      </c>
      <c r="D141" s="8">
        <f t="shared" si="18"/>
        <v>45336</v>
      </c>
      <c r="E141" s="6">
        <f t="shared" si="19"/>
        <v>0</v>
      </c>
      <c r="F141" s="6" t="str">
        <f t="shared" si="20"/>
        <v>Q1-2024</v>
      </c>
      <c r="G141" t="s">
        <v>647</v>
      </c>
      <c r="H141" t="s">
        <v>659</v>
      </c>
      <c r="I141" t="s">
        <v>699</v>
      </c>
      <c r="J141" t="s">
        <v>701</v>
      </c>
      <c r="K141" t="s">
        <v>710</v>
      </c>
      <c r="L141" t="s">
        <v>716</v>
      </c>
      <c r="M141" t="s">
        <v>733</v>
      </c>
      <c r="N141">
        <f t="shared" si="21"/>
        <v>1.323973947052289E-2</v>
      </c>
      <c r="O141" t="s">
        <v>873</v>
      </c>
      <c r="P141" s="4">
        <v>65.930000000000007</v>
      </c>
      <c r="Q141" s="4">
        <v>84.9</v>
      </c>
      <c r="R141" s="4" t="str">
        <f t="shared" si="22"/>
        <v>Profit</v>
      </c>
      <c r="S141">
        <v>0.25900000000000001</v>
      </c>
      <c r="T141" s="4">
        <v>23</v>
      </c>
      <c r="U141">
        <f t="shared" si="23"/>
        <v>1446.9507000000001</v>
      </c>
      <c r="V141">
        <f t="shared" si="24"/>
        <v>1516.39</v>
      </c>
      <c r="W141">
        <f t="shared" si="25"/>
        <v>-69.439300000000003</v>
      </c>
      <c r="X141">
        <f t="shared" si="26"/>
        <v>-4.7990093926489688E-2</v>
      </c>
    </row>
    <row r="142" spans="1:24" x14ac:dyDescent="0.25">
      <c r="A142" t="s">
        <v>155</v>
      </c>
      <c r="B142" s="13">
        <v>45048</v>
      </c>
      <c r="C142" s="8">
        <v>45064</v>
      </c>
      <c r="D142" s="8">
        <f t="shared" si="18"/>
        <v>45064</v>
      </c>
      <c r="E142" s="6">
        <f t="shared" si="19"/>
        <v>16</v>
      </c>
      <c r="F142" s="6" t="str">
        <f t="shared" si="20"/>
        <v>Q2-2023</v>
      </c>
      <c r="G142" t="s">
        <v>647</v>
      </c>
      <c r="H142" t="s">
        <v>654</v>
      </c>
      <c r="I142" t="s">
        <v>680</v>
      </c>
      <c r="J142" t="s">
        <v>705</v>
      </c>
      <c r="K142" t="s">
        <v>709</v>
      </c>
      <c r="L142" t="s">
        <v>723</v>
      </c>
      <c r="M142" t="s">
        <v>732</v>
      </c>
      <c r="N142">
        <f t="shared" si="21"/>
        <v>0.7997635998103535</v>
      </c>
      <c r="O142" t="s">
        <v>874</v>
      </c>
      <c r="P142" s="4">
        <v>1463.92</v>
      </c>
      <c r="Q142" s="4">
        <v>2252.2399999999998</v>
      </c>
      <c r="R142" s="4" t="str">
        <f t="shared" si="22"/>
        <v>Profit</v>
      </c>
      <c r="S142">
        <v>0.11799999999999999</v>
      </c>
      <c r="T142" s="4">
        <v>44</v>
      </c>
      <c r="U142">
        <f t="shared" si="23"/>
        <v>87404.929919999995</v>
      </c>
      <c r="V142">
        <f t="shared" si="24"/>
        <v>64412.480000000003</v>
      </c>
      <c r="W142">
        <f t="shared" si="25"/>
        <v>22992.449919999992</v>
      </c>
      <c r="X142">
        <f t="shared" si="26"/>
        <v>0.26305667130040061</v>
      </c>
    </row>
    <row r="143" spans="1:24" x14ac:dyDescent="0.25">
      <c r="A143" t="s">
        <v>156</v>
      </c>
      <c r="B143" s="13">
        <v>45649</v>
      </c>
      <c r="C143" s="8">
        <v>45668</v>
      </c>
      <c r="D143" s="8">
        <f t="shared" si="18"/>
        <v>45668</v>
      </c>
      <c r="E143" s="6">
        <f t="shared" si="19"/>
        <v>19</v>
      </c>
      <c r="F143" s="6" t="str">
        <f t="shared" si="20"/>
        <v>Q4-2024</v>
      </c>
      <c r="G143" t="s">
        <v>649</v>
      </c>
      <c r="H143" t="s">
        <v>656</v>
      </c>
      <c r="I143" t="s">
        <v>671</v>
      </c>
      <c r="J143" t="s">
        <v>702</v>
      </c>
      <c r="K143" t="s">
        <v>707</v>
      </c>
      <c r="L143" t="s">
        <v>723</v>
      </c>
      <c r="M143" t="s">
        <v>730</v>
      </c>
      <c r="N143">
        <f t="shared" si="21"/>
        <v>7.5137250657700799E-2</v>
      </c>
      <c r="O143" t="s">
        <v>875</v>
      </c>
      <c r="P143" s="4">
        <v>501.81</v>
      </c>
      <c r="Q143" s="4">
        <v>921.62</v>
      </c>
      <c r="R143" s="4" t="str">
        <f t="shared" si="22"/>
        <v>Profit</v>
      </c>
      <c r="S143">
        <v>0.01</v>
      </c>
      <c r="T143" s="4">
        <v>9</v>
      </c>
      <c r="U143">
        <f t="shared" si="23"/>
        <v>8211.6342000000004</v>
      </c>
      <c r="V143">
        <f t="shared" si="24"/>
        <v>4516.29</v>
      </c>
      <c r="W143">
        <f t="shared" si="25"/>
        <v>3695.3442000000005</v>
      </c>
      <c r="X143">
        <f t="shared" si="26"/>
        <v>0.45001325071202031</v>
      </c>
    </row>
    <row r="144" spans="1:24" x14ac:dyDescent="0.25">
      <c r="A144" t="s">
        <v>157</v>
      </c>
      <c r="B144" s="13">
        <v>45133</v>
      </c>
      <c r="C144" s="8">
        <v>45163</v>
      </c>
      <c r="D144" s="8">
        <f t="shared" si="18"/>
        <v>45163</v>
      </c>
      <c r="E144" s="6">
        <f t="shared" si="19"/>
        <v>30</v>
      </c>
      <c r="F144" s="6" t="str">
        <f t="shared" si="20"/>
        <v>Q3-2023</v>
      </c>
      <c r="G144" t="s">
        <v>648</v>
      </c>
      <c r="H144" t="s">
        <v>660</v>
      </c>
      <c r="I144" t="s">
        <v>700</v>
      </c>
      <c r="J144" t="s">
        <v>704</v>
      </c>
      <c r="K144" t="s">
        <v>707</v>
      </c>
      <c r="L144" t="s">
        <v>724</v>
      </c>
      <c r="M144" t="s">
        <v>733</v>
      </c>
      <c r="N144">
        <f t="shared" si="21"/>
        <v>0.29359345618318217</v>
      </c>
      <c r="O144" t="s">
        <v>876</v>
      </c>
      <c r="P144" s="4">
        <v>1261.48</v>
      </c>
      <c r="Q144" s="4">
        <v>1643.18</v>
      </c>
      <c r="R144" s="4" t="str">
        <f t="shared" si="22"/>
        <v>Profit</v>
      </c>
      <c r="S144">
        <v>0.151</v>
      </c>
      <c r="T144" s="4">
        <v>23</v>
      </c>
      <c r="U144">
        <f t="shared" si="23"/>
        <v>32086.37586</v>
      </c>
      <c r="V144">
        <f t="shared" si="24"/>
        <v>29014.04</v>
      </c>
      <c r="W144">
        <f t="shared" si="25"/>
        <v>3072.3358599999992</v>
      </c>
      <c r="X144">
        <f t="shared" si="26"/>
        <v>9.5752037357079045E-2</v>
      </c>
    </row>
    <row r="145" spans="1:24" x14ac:dyDescent="0.25">
      <c r="A145" t="s">
        <v>158</v>
      </c>
      <c r="B145" s="13">
        <v>45458</v>
      </c>
      <c r="C145" s="8">
        <v>45479</v>
      </c>
      <c r="D145" s="8">
        <f t="shared" si="18"/>
        <v>45479</v>
      </c>
      <c r="E145" s="6">
        <f t="shared" si="19"/>
        <v>21</v>
      </c>
      <c r="F145" s="6" t="str">
        <f t="shared" si="20"/>
        <v>Q2-2024</v>
      </c>
      <c r="G145" t="s">
        <v>648</v>
      </c>
      <c r="H145" t="s">
        <v>653</v>
      </c>
      <c r="I145" t="s">
        <v>667</v>
      </c>
      <c r="J145" t="s">
        <v>706</v>
      </c>
      <c r="K145" t="s">
        <v>710</v>
      </c>
      <c r="L145" t="s">
        <v>716</v>
      </c>
      <c r="M145" t="s">
        <v>728</v>
      </c>
      <c r="N145">
        <f t="shared" si="21"/>
        <v>9.1221162862135663E-2</v>
      </c>
      <c r="O145" t="s">
        <v>877</v>
      </c>
      <c r="P145" s="4">
        <v>817.23</v>
      </c>
      <c r="Q145" s="4">
        <v>1467.17</v>
      </c>
      <c r="R145" s="4" t="str">
        <f t="shared" si="22"/>
        <v>Profit</v>
      </c>
      <c r="S145">
        <v>0.245</v>
      </c>
      <c r="T145" s="4">
        <v>9</v>
      </c>
      <c r="U145">
        <f t="shared" si="23"/>
        <v>9969.4201499999999</v>
      </c>
      <c r="V145">
        <f t="shared" si="24"/>
        <v>7355.07</v>
      </c>
      <c r="W145">
        <f t="shared" si="25"/>
        <v>2614.3501500000002</v>
      </c>
      <c r="X145">
        <f t="shared" si="26"/>
        <v>0.26223693160328893</v>
      </c>
    </row>
    <row r="146" spans="1:24" x14ac:dyDescent="0.25">
      <c r="A146" t="s">
        <v>159</v>
      </c>
      <c r="B146" s="13">
        <v>45112</v>
      </c>
      <c r="C146" s="8">
        <v>45121</v>
      </c>
      <c r="D146" s="8">
        <f t="shared" si="18"/>
        <v>45121</v>
      </c>
      <c r="E146" s="6">
        <f t="shared" si="19"/>
        <v>9</v>
      </c>
      <c r="F146" s="6" t="str">
        <f t="shared" si="20"/>
        <v>Q3-2023</v>
      </c>
      <c r="G146" t="s">
        <v>648</v>
      </c>
      <c r="H146" t="s">
        <v>655</v>
      </c>
      <c r="I146" t="s">
        <v>672</v>
      </c>
      <c r="J146" t="s">
        <v>706</v>
      </c>
      <c r="K146" t="s">
        <v>711</v>
      </c>
      <c r="L146" t="s">
        <v>717</v>
      </c>
      <c r="M146" t="s">
        <v>729</v>
      </c>
      <c r="N146">
        <f t="shared" si="21"/>
        <v>0.23490245636134383</v>
      </c>
      <c r="O146" t="s">
        <v>878</v>
      </c>
      <c r="P146" s="4">
        <v>578.85</v>
      </c>
      <c r="Q146" s="4">
        <v>998.76</v>
      </c>
      <c r="R146" s="4" t="str">
        <f t="shared" si="22"/>
        <v>Profit</v>
      </c>
      <c r="S146">
        <v>8.2000000000000003E-2</v>
      </c>
      <c r="T146" s="4">
        <v>28</v>
      </c>
      <c r="U146">
        <f t="shared" si="23"/>
        <v>25672.127039999999</v>
      </c>
      <c r="V146">
        <f t="shared" si="24"/>
        <v>16207.800000000001</v>
      </c>
      <c r="W146">
        <f t="shared" si="25"/>
        <v>9464.3270399999983</v>
      </c>
      <c r="X146">
        <f t="shared" si="26"/>
        <v>0.36866158480960831</v>
      </c>
    </row>
    <row r="147" spans="1:24" x14ac:dyDescent="0.25">
      <c r="A147" t="s">
        <v>160</v>
      </c>
      <c r="B147" s="13">
        <v>45260</v>
      </c>
      <c r="C147" s="8">
        <v>45259</v>
      </c>
      <c r="D147" s="8">
        <f t="shared" si="18"/>
        <v>45267</v>
      </c>
      <c r="E147" s="6">
        <f t="shared" si="19"/>
        <v>7</v>
      </c>
      <c r="F147" s="6" t="str">
        <f t="shared" si="20"/>
        <v>Q4-2023</v>
      </c>
      <c r="G147" t="s">
        <v>646</v>
      </c>
      <c r="H147" t="s">
        <v>661</v>
      </c>
      <c r="I147" t="s">
        <v>687</v>
      </c>
      <c r="J147" t="s">
        <v>705</v>
      </c>
      <c r="K147" t="s">
        <v>709</v>
      </c>
      <c r="L147" t="s">
        <v>718</v>
      </c>
      <c r="M147" t="s">
        <v>731</v>
      </c>
      <c r="N147">
        <f t="shared" si="21"/>
        <v>0.11853363489651934</v>
      </c>
      <c r="O147" t="s">
        <v>879</v>
      </c>
      <c r="P147" s="4">
        <v>275.56</v>
      </c>
      <c r="Q147" s="4">
        <v>630.72</v>
      </c>
      <c r="R147" s="4" t="str">
        <f t="shared" si="22"/>
        <v>Profit</v>
      </c>
      <c r="S147">
        <v>0.107</v>
      </c>
      <c r="T147" s="4">
        <v>23</v>
      </c>
      <c r="U147">
        <f t="shared" si="23"/>
        <v>12954.358080000002</v>
      </c>
      <c r="V147">
        <f t="shared" si="24"/>
        <v>6337.88</v>
      </c>
      <c r="W147">
        <f t="shared" si="25"/>
        <v>6616.4780800000017</v>
      </c>
      <c r="X147">
        <f t="shared" si="26"/>
        <v>0.5107530638831933</v>
      </c>
    </row>
    <row r="148" spans="1:24" x14ac:dyDescent="0.25">
      <c r="A148" t="s">
        <v>161</v>
      </c>
      <c r="B148" s="13">
        <v>45911</v>
      </c>
      <c r="C148" s="8">
        <v>45928</v>
      </c>
      <c r="D148" s="8">
        <f t="shared" si="18"/>
        <v>45928</v>
      </c>
      <c r="E148" s="6">
        <f t="shared" si="19"/>
        <v>17</v>
      </c>
      <c r="F148" s="6" t="str">
        <f t="shared" si="20"/>
        <v>Q3-2025</v>
      </c>
      <c r="G148" t="s">
        <v>646</v>
      </c>
      <c r="H148" t="s">
        <v>650</v>
      </c>
      <c r="I148" t="s">
        <v>664</v>
      </c>
      <c r="J148" t="s">
        <v>703</v>
      </c>
      <c r="K148" t="s">
        <v>710</v>
      </c>
      <c r="L148" t="s">
        <v>713</v>
      </c>
      <c r="M148" t="s">
        <v>731</v>
      </c>
      <c r="N148">
        <f t="shared" si="21"/>
        <v>3.2600907656888688E-2</v>
      </c>
      <c r="O148" t="s">
        <v>880</v>
      </c>
      <c r="P148" s="4">
        <v>891.46</v>
      </c>
      <c r="Q148" s="4">
        <v>728.61</v>
      </c>
      <c r="R148" s="4" t="str">
        <f t="shared" si="22"/>
        <v>Loss</v>
      </c>
      <c r="S148">
        <v>0.185</v>
      </c>
      <c r="T148" s="4">
        <v>6</v>
      </c>
      <c r="U148">
        <f t="shared" si="23"/>
        <v>3562.9028999999996</v>
      </c>
      <c r="V148">
        <f t="shared" si="24"/>
        <v>5348.76</v>
      </c>
      <c r="W148">
        <f t="shared" si="25"/>
        <v>-1785.8571000000006</v>
      </c>
      <c r="X148">
        <f t="shared" si="26"/>
        <v>-0.50123653383874167</v>
      </c>
    </row>
    <row r="149" spans="1:24" x14ac:dyDescent="0.25">
      <c r="A149" t="s">
        <v>162</v>
      </c>
      <c r="B149" s="13">
        <v>45386</v>
      </c>
      <c r="C149" s="8">
        <v>45406</v>
      </c>
      <c r="D149" s="8">
        <f t="shared" si="18"/>
        <v>45406</v>
      </c>
      <c r="E149" s="6">
        <f t="shared" si="19"/>
        <v>20</v>
      </c>
      <c r="F149" s="6" t="str">
        <f t="shared" si="20"/>
        <v>Q2-2024</v>
      </c>
      <c r="G149" t="s">
        <v>649</v>
      </c>
      <c r="H149" t="s">
        <v>656</v>
      </c>
      <c r="I149" t="s">
        <v>698</v>
      </c>
      <c r="J149" t="s">
        <v>703</v>
      </c>
      <c r="K149" t="s">
        <v>711</v>
      </c>
      <c r="L149" t="s">
        <v>719</v>
      </c>
      <c r="M149" t="s">
        <v>733</v>
      </c>
      <c r="N149">
        <f t="shared" si="21"/>
        <v>0.12188972509592846</v>
      </c>
      <c r="O149" t="s">
        <v>881</v>
      </c>
      <c r="P149" s="4">
        <v>683.42</v>
      </c>
      <c r="Q149" s="4">
        <v>951.51</v>
      </c>
      <c r="R149" s="4" t="str">
        <f t="shared" si="22"/>
        <v>Profit</v>
      </c>
      <c r="S149">
        <v>0</v>
      </c>
      <c r="T149" s="4">
        <v>14</v>
      </c>
      <c r="U149">
        <f t="shared" si="23"/>
        <v>13321.14</v>
      </c>
      <c r="V149">
        <f t="shared" si="24"/>
        <v>9567.8799999999992</v>
      </c>
      <c r="W149">
        <f t="shared" si="25"/>
        <v>3753.26</v>
      </c>
      <c r="X149">
        <f t="shared" si="26"/>
        <v>0.28175216235247136</v>
      </c>
    </row>
    <row r="150" spans="1:24" x14ac:dyDescent="0.25">
      <c r="A150" t="s">
        <v>163</v>
      </c>
      <c r="B150" s="13">
        <v>45183</v>
      </c>
      <c r="C150" s="8">
        <v>45185</v>
      </c>
      <c r="D150" s="8">
        <f t="shared" si="18"/>
        <v>45185</v>
      </c>
      <c r="E150" s="6">
        <f t="shared" si="19"/>
        <v>2</v>
      </c>
      <c r="F150" s="6" t="str">
        <f t="shared" si="20"/>
        <v>Q3-2023</v>
      </c>
      <c r="G150" t="s">
        <v>649</v>
      </c>
      <c r="H150" t="s">
        <v>657</v>
      </c>
      <c r="I150" t="s">
        <v>679</v>
      </c>
      <c r="J150" t="s">
        <v>703</v>
      </c>
      <c r="K150" t="s">
        <v>711</v>
      </c>
      <c r="L150" t="s">
        <v>717</v>
      </c>
      <c r="M150" t="s">
        <v>728</v>
      </c>
      <c r="N150">
        <f t="shared" si="21"/>
        <v>0.13613024088663378</v>
      </c>
      <c r="O150" t="s">
        <v>882</v>
      </c>
      <c r="P150" s="4">
        <v>376.83</v>
      </c>
      <c r="Q150" s="4">
        <v>732.88</v>
      </c>
      <c r="R150" s="4" t="str">
        <f t="shared" si="22"/>
        <v>Profit</v>
      </c>
      <c r="S150">
        <v>0.188</v>
      </c>
      <c r="T150" s="4">
        <v>25</v>
      </c>
      <c r="U150">
        <f t="shared" si="23"/>
        <v>14877.464000000002</v>
      </c>
      <c r="V150">
        <f t="shared" si="24"/>
        <v>9420.75</v>
      </c>
      <c r="W150">
        <f t="shared" si="25"/>
        <v>5456.7140000000018</v>
      </c>
      <c r="X150">
        <f t="shared" si="26"/>
        <v>0.36677716040852132</v>
      </c>
    </row>
    <row r="151" spans="1:24" x14ac:dyDescent="0.25">
      <c r="A151" t="s">
        <v>164</v>
      </c>
      <c r="B151" s="13">
        <v>45558</v>
      </c>
      <c r="C151" s="8">
        <v>45583</v>
      </c>
      <c r="D151" s="8">
        <f t="shared" si="18"/>
        <v>45583</v>
      </c>
      <c r="E151" s="6">
        <f t="shared" si="19"/>
        <v>25</v>
      </c>
      <c r="F151" s="6" t="str">
        <f t="shared" si="20"/>
        <v>Q3-2024</v>
      </c>
      <c r="G151" t="s">
        <v>648</v>
      </c>
      <c r="H151" t="s">
        <v>653</v>
      </c>
      <c r="I151" t="s">
        <v>688</v>
      </c>
      <c r="J151" t="s">
        <v>705</v>
      </c>
      <c r="K151" t="s">
        <v>708</v>
      </c>
      <c r="L151" t="s">
        <v>725</v>
      </c>
      <c r="M151" t="s">
        <v>730</v>
      </c>
      <c r="N151">
        <f t="shared" si="21"/>
        <v>0.38884074807498914</v>
      </c>
      <c r="O151" t="s">
        <v>883</v>
      </c>
      <c r="P151" s="4">
        <v>1297</v>
      </c>
      <c r="Q151" s="4">
        <v>2411.52</v>
      </c>
      <c r="R151" s="4" t="str">
        <f t="shared" si="22"/>
        <v>Profit</v>
      </c>
      <c r="S151">
        <v>2.1000000000000001E-2</v>
      </c>
      <c r="T151" s="4">
        <v>18</v>
      </c>
      <c r="U151">
        <f t="shared" si="23"/>
        <v>42495.805439999996</v>
      </c>
      <c r="V151">
        <f t="shared" si="24"/>
        <v>23346</v>
      </c>
      <c r="W151">
        <f t="shared" si="25"/>
        <v>19149.805439999996</v>
      </c>
      <c r="X151">
        <f t="shared" si="26"/>
        <v>0.45062813239385913</v>
      </c>
    </row>
    <row r="152" spans="1:24" x14ac:dyDescent="0.25">
      <c r="A152" t="s">
        <v>165</v>
      </c>
      <c r="B152" s="13">
        <v>45763</v>
      </c>
      <c r="C152" s="8">
        <v>45793</v>
      </c>
      <c r="D152" s="8">
        <f t="shared" si="18"/>
        <v>45793</v>
      </c>
      <c r="E152" s="6">
        <f t="shared" si="19"/>
        <v>30</v>
      </c>
      <c r="F152" s="6" t="str">
        <f t="shared" si="20"/>
        <v>Q2-2025</v>
      </c>
      <c r="G152" t="s">
        <v>648</v>
      </c>
      <c r="H152" t="s">
        <v>653</v>
      </c>
      <c r="I152" t="s">
        <v>681</v>
      </c>
      <c r="J152" t="s">
        <v>706</v>
      </c>
      <c r="K152" t="s">
        <v>710</v>
      </c>
      <c r="L152" t="s">
        <v>723</v>
      </c>
      <c r="M152" t="s">
        <v>728</v>
      </c>
      <c r="N152">
        <f t="shared" si="21"/>
        <v>7.2299530663797185E-2</v>
      </c>
      <c r="O152" t="s">
        <v>884</v>
      </c>
      <c r="P152" s="4">
        <v>763.32</v>
      </c>
      <c r="Q152" s="4">
        <v>568.29</v>
      </c>
      <c r="R152" s="4" t="str">
        <f t="shared" si="22"/>
        <v>Loss</v>
      </c>
      <c r="S152">
        <v>0.13100000000000001</v>
      </c>
      <c r="T152" s="4">
        <v>16</v>
      </c>
      <c r="U152">
        <f t="shared" si="23"/>
        <v>7901.5041599999995</v>
      </c>
      <c r="V152">
        <f t="shared" si="24"/>
        <v>12213.12</v>
      </c>
      <c r="W152">
        <f t="shared" si="25"/>
        <v>-4311.6158400000013</v>
      </c>
      <c r="X152">
        <f t="shared" si="26"/>
        <v>-0.54567026134426555</v>
      </c>
    </row>
    <row r="153" spans="1:24" x14ac:dyDescent="0.25">
      <c r="A153" t="s">
        <v>166</v>
      </c>
      <c r="B153" s="13">
        <v>45110</v>
      </c>
      <c r="C153" s="8">
        <v>45130</v>
      </c>
      <c r="D153" s="8">
        <f t="shared" si="18"/>
        <v>45130</v>
      </c>
      <c r="E153" s="6">
        <f t="shared" si="19"/>
        <v>20</v>
      </c>
      <c r="F153" s="6" t="str">
        <f t="shared" si="20"/>
        <v>Q3-2023</v>
      </c>
      <c r="G153" t="s">
        <v>646</v>
      </c>
      <c r="H153" t="s">
        <v>661</v>
      </c>
      <c r="I153" t="s">
        <v>682</v>
      </c>
      <c r="J153" t="s">
        <v>705</v>
      </c>
      <c r="K153" t="s">
        <v>710</v>
      </c>
      <c r="L153" t="s">
        <v>721</v>
      </c>
      <c r="M153" t="s">
        <v>731</v>
      </c>
      <c r="N153">
        <f t="shared" si="21"/>
        <v>0.19739129876662495</v>
      </c>
      <c r="O153" t="s">
        <v>885</v>
      </c>
      <c r="P153" s="4">
        <v>1001.96</v>
      </c>
      <c r="Q153" s="4">
        <v>1254.95</v>
      </c>
      <c r="R153" s="4" t="str">
        <f t="shared" si="22"/>
        <v>Profit</v>
      </c>
      <c r="S153">
        <v>4.4999999999999998E-2</v>
      </c>
      <c r="T153" s="4">
        <v>18</v>
      </c>
      <c r="U153">
        <f t="shared" si="23"/>
        <v>21572.590500000002</v>
      </c>
      <c r="V153">
        <f t="shared" si="24"/>
        <v>18035.28</v>
      </c>
      <c r="W153">
        <f t="shared" si="25"/>
        <v>3537.3105000000032</v>
      </c>
      <c r="X153">
        <f t="shared" si="26"/>
        <v>0.16397244920585699</v>
      </c>
    </row>
    <row r="154" spans="1:24" x14ac:dyDescent="0.25">
      <c r="A154" t="s">
        <v>167</v>
      </c>
      <c r="B154" s="13">
        <v>45267</v>
      </c>
      <c r="C154" s="8">
        <v>45265</v>
      </c>
      <c r="D154" s="8">
        <f t="shared" si="18"/>
        <v>45274</v>
      </c>
      <c r="E154" s="6">
        <f t="shared" si="19"/>
        <v>7</v>
      </c>
      <c r="F154" s="6" t="str">
        <f t="shared" si="20"/>
        <v>Q4-2023</v>
      </c>
      <c r="G154" t="s">
        <v>647</v>
      </c>
      <c r="H154" t="s">
        <v>652</v>
      </c>
      <c r="I154" t="s">
        <v>689</v>
      </c>
      <c r="J154" t="s">
        <v>703</v>
      </c>
      <c r="K154" t="s">
        <v>709</v>
      </c>
      <c r="L154" t="s">
        <v>722</v>
      </c>
      <c r="M154" t="s">
        <v>728</v>
      </c>
      <c r="N154">
        <f t="shared" si="21"/>
        <v>3.7879689286397851E-2</v>
      </c>
      <c r="O154" t="s">
        <v>886</v>
      </c>
      <c r="P154" s="4">
        <v>1097.5899999999999</v>
      </c>
      <c r="Q154" s="4">
        <v>845.55</v>
      </c>
      <c r="R154" s="4" t="str">
        <f t="shared" si="22"/>
        <v>Loss</v>
      </c>
      <c r="S154">
        <v>0.184</v>
      </c>
      <c r="T154" s="4">
        <v>6</v>
      </c>
      <c r="U154">
        <f t="shared" si="23"/>
        <v>4139.8127999999997</v>
      </c>
      <c r="V154">
        <f t="shared" si="24"/>
        <v>6585.5399999999991</v>
      </c>
      <c r="W154">
        <f t="shared" si="25"/>
        <v>-2445.7271999999994</v>
      </c>
      <c r="X154">
        <f t="shared" si="26"/>
        <v>-0.59078207594314402</v>
      </c>
    </row>
    <row r="155" spans="1:24" x14ac:dyDescent="0.25">
      <c r="A155" t="s">
        <v>168</v>
      </c>
      <c r="B155" s="13">
        <v>45340</v>
      </c>
      <c r="C155" s="8">
        <v>45355</v>
      </c>
      <c r="D155" s="8">
        <f t="shared" si="18"/>
        <v>45355</v>
      </c>
      <c r="E155" s="6">
        <f t="shared" si="19"/>
        <v>15</v>
      </c>
      <c r="F155" s="6" t="str">
        <f t="shared" si="20"/>
        <v>Q1-2024</v>
      </c>
      <c r="G155" t="s">
        <v>646</v>
      </c>
      <c r="H155" t="s">
        <v>650</v>
      </c>
      <c r="I155" t="s">
        <v>662</v>
      </c>
      <c r="J155" t="s">
        <v>702</v>
      </c>
      <c r="K155" t="s">
        <v>711</v>
      </c>
      <c r="L155" t="s">
        <v>723</v>
      </c>
      <c r="M155" t="s">
        <v>728</v>
      </c>
      <c r="N155">
        <f t="shared" si="21"/>
        <v>0.27134457608115148</v>
      </c>
      <c r="O155" t="s">
        <v>887</v>
      </c>
      <c r="P155" s="4">
        <v>928.68</v>
      </c>
      <c r="Q155" s="4">
        <v>2145.17</v>
      </c>
      <c r="R155" s="4" t="str">
        <f t="shared" si="22"/>
        <v>Profit</v>
      </c>
      <c r="S155">
        <v>0.13600000000000001</v>
      </c>
      <c r="T155" s="4">
        <v>16</v>
      </c>
      <c r="U155">
        <f t="shared" si="23"/>
        <v>29654.83008</v>
      </c>
      <c r="V155">
        <f t="shared" si="24"/>
        <v>14858.88</v>
      </c>
      <c r="W155">
        <f t="shared" si="25"/>
        <v>14795.950080000001</v>
      </c>
      <c r="X155">
        <f t="shared" si="26"/>
        <v>0.49893896003062177</v>
      </c>
    </row>
    <row r="156" spans="1:24" x14ac:dyDescent="0.25">
      <c r="A156" t="s">
        <v>169</v>
      </c>
      <c r="B156" s="13">
        <v>45230</v>
      </c>
      <c r="C156" s="8">
        <v>45232</v>
      </c>
      <c r="D156" s="8">
        <f t="shared" si="18"/>
        <v>45232</v>
      </c>
      <c r="E156" s="6">
        <f t="shared" si="19"/>
        <v>2</v>
      </c>
      <c r="F156" s="6" t="str">
        <f t="shared" si="20"/>
        <v>Q4-2023</v>
      </c>
      <c r="G156" t="s">
        <v>646</v>
      </c>
      <c r="H156" t="s">
        <v>650</v>
      </c>
      <c r="I156" t="s">
        <v>662</v>
      </c>
      <c r="J156" t="s">
        <v>702</v>
      </c>
      <c r="K156" t="s">
        <v>707</v>
      </c>
      <c r="L156" t="s">
        <v>719</v>
      </c>
      <c r="M156" t="s">
        <v>733</v>
      </c>
      <c r="N156">
        <f t="shared" si="21"/>
        <v>0.10079299027315541</v>
      </c>
      <c r="O156" t="s">
        <v>888</v>
      </c>
      <c r="P156" s="4">
        <v>867.89</v>
      </c>
      <c r="Q156" s="4">
        <v>1349.94</v>
      </c>
      <c r="R156" s="4" t="str">
        <f t="shared" si="22"/>
        <v>Profit</v>
      </c>
      <c r="S156">
        <v>0.184</v>
      </c>
      <c r="T156" s="4">
        <v>10</v>
      </c>
      <c r="U156">
        <f t="shared" si="23"/>
        <v>11015.510400000003</v>
      </c>
      <c r="V156">
        <f t="shared" si="24"/>
        <v>8678.9</v>
      </c>
      <c r="W156">
        <f t="shared" si="25"/>
        <v>2336.6104000000032</v>
      </c>
      <c r="X156">
        <f t="shared" si="26"/>
        <v>0.21212003031652557</v>
      </c>
    </row>
    <row r="157" spans="1:24" x14ac:dyDescent="0.25">
      <c r="A157" t="s">
        <v>170</v>
      </c>
      <c r="B157" s="13">
        <v>45511</v>
      </c>
      <c r="C157" s="8">
        <v>45521</v>
      </c>
      <c r="D157" s="8">
        <f t="shared" si="18"/>
        <v>45521</v>
      </c>
      <c r="E157" s="6">
        <f t="shared" si="19"/>
        <v>10</v>
      </c>
      <c r="F157" s="6" t="str">
        <f t="shared" si="20"/>
        <v>Q3-2024</v>
      </c>
      <c r="G157" t="s">
        <v>647</v>
      </c>
      <c r="H157" t="s">
        <v>652</v>
      </c>
      <c r="I157" t="s">
        <v>666</v>
      </c>
      <c r="J157" t="s">
        <v>704</v>
      </c>
      <c r="K157" t="s">
        <v>708</v>
      </c>
      <c r="L157" t="s">
        <v>723</v>
      </c>
      <c r="M157" t="s">
        <v>729</v>
      </c>
      <c r="N157">
        <f t="shared" si="21"/>
        <v>8.1524297360594036E-2</v>
      </c>
      <c r="O157" t="s">
        <v>889</v>
      </c>
      <c r="P157" s="4">
        <v>436.58</v>
      </c>
      <c r="Q157" s="4">
        <v>527.48</v>
      </c>
      <c r="R157" s="4" t="str">
        <f t="shared" si="22"/>
        <v>Profit</v>
      </c>
      <c r="S157">
        <v>0.111</v>
      </c>
      <c r="T157" s="4">
        <v>19</v>
      </c>
      <c r="U157">
        <f t="shared" si="23"/>
        <v>8909.6646800000017</v>
      </c>
      <c r="V157">
        <f t="shared" si="24"/>
        <v>8295.02</v>
      </c>
      <c r="W157">
        <f t="shared" si="25"/>
        <v>614.64468000000124</v>
      </c>
      <c r="X157">
        <f t="shared" si="26"/>
        <v>6.8986286473802644E-2</v>
      </c>
    </row>
    <row r="158" spans="1:24" x14ac:dyDescent="0.25">
      <c r="A158" t="s">
        <v>171</v>
      </c>
      <c r="B158" s="13">
        <v>45323</v>
      </c>
      <c r="C158" s="8">
        <v>45343</v>
      </c>
      <c r="D158" s="8">
        <f t="shared" si="18"/>
        <v>45343</v>
      </c>
      <c r="E158" s="6">
        <f t="shared" si="19"/>
        <v>20</v>
      </c>
      <c r="F158" s="6" t="str">
        <f t="shared" si="20"/>
        <v>Q1-2024</v>
      </c>
      <c r="G158" t="s">
        <v>649</v>
      </c>
      <c r="H158" t="s">
        <v>657</v>
      </c>
      <c r="I158" t="s">
        <v>690</v>
      </c>
      <c r="J158" t="s">
        <v>705</v>
      </c>
      <c r="K158" t="s">
        <v>709</v>
      </c>
      <c r="L158" t="s">
        <v>720</v>
      </c>
      <c r="M158" t="s">
        <v>729</v>
      </c>
      <c r="N158">
        <f t="shared" si="21"/>
        <v>6.5915512826061243E-2</v>
      </c>
      <c r="O158" t="s">
        <v>890</v>
      </c>
      <c r="P158" s="4">
        <v>656.2</v>
      </c>
      <c r="Q158" s="4">
        <v>1467.17</v>
      </c>
      <c r="R158" s="4" t="str">
        <f t="shared" si="22"/>
        <v>Profit</v>
      </c>
      <c r="S158">
        <v>1.7999999999999999E-2</v>
      </c>
      <c r="T158" s="4">
        <v>5</v>
      </c>
      <c r="U158">
        <f t="shared" si="23"/>
        <v>7203.8047000000006</v>
      </c>
      <c r="V158">
        <f t="shared" si="24"/>
        <v>3281</v>
      </c>
      <c r="W158">
        <f t="shared" si="25"/>
        <v>3922.8047000000006</v>
      </c>
      <c r="X158">
        <f t="shared" si="26"/>
        <v>0.54454623124360946</v>
      </c>
    </row>
    <row r="159" spans="1:24" x14ac:dyDescent="0.25">
      <c r="A159" t="s">
        <v>172</v>
      </c>
      <c r="B159" s="13">
        <v>45531</v>
      </c>
      <c r="C159" s="8">
        <v>45553</v>
      </c>
      <c r="D159" s="8">
        <f t="shared" si="18"/>
        <v>45553</v>
      </c>
      <c r="E159" s="6">
        <f t="shared" si="19"/>
        <v>22</v>
      </c>
      <c r="F159" s="6" t="str">
        <f t="shared" si="20"/>
        <v>Q3-2024</v>
      </c>
      <c r="G159" t="s">
        <v>647</v>
      </c>
      <c r="H159" t="s">
        <v>654</v>
      </c>
      <c r="I159" t="s">
        <v>680</v>
      </c>
      <c r="J159" t="s">
        <v>704</v>
      </c>
      <c r="K159" t="s">
        <v>711</v>
      </c>
      <c r="L159" t="s">
        <v>717</v>
      </c>
      <c r="M159" t="s">
        <v>727</v>
      </c>
      <c r="N159">
        <f t="shared" si="21"/>
        <v>0.22095583674991673</v>
      </c>
      <c r="O159" t="s">
        <v>891</v>
      </c>
      <c r="P159" s="4">
        <v>896.75</v>
      </c>
      <c r="Q159" s="4">
        <v>1651.14</v>
      </c>
      <c r="R159" s="4" t="str">
        <f t="shared" si="22"/>
        <v>Profit</v>
      </c>
      <c r="S159">
        <v>2.5000000000000001E-2</v>
      </c>
      <c r="T159" s="4">
        <v>15</v>
      </c>
      <c r="U159">
        <f t="shared" si="23"/>
        <v>24147.922500000001</v>
      </c>
      <c r="V159">
        <f t="shared" si="24"/>
        <v>13451.25</v>
      </c>
      <c r="W159">
        <f t="shared" si="25"/>
        <v>10696.672500000001</v>
      </c>
      <c r="X159">
        <f t="shared" si="26"/>
        <v>0.44296450346815552</v>
      </c>
    </row>
    <row r="160" spans="1:24" x14ac:dyDescent="0.25">
      <c r="A160" t="s">
        <v>173</v>
      </c>
      <c r="B160" s="13">
        <v>45703</v>
      </c>
      <c r="C160" s="8">
        <v>45703</v>
      </c>
      <c r="D160" s="8">
        <f t="shared" si="18"/>
        <v>45703</v>
      </c>
      <c r="E160" s="6">
        <f t="shared" si="19"/>
        <v>0</v>
      </c>
      <c r="F160" s="6" t="str">
        <f t="shared" si="20"/>
        <v>Q1-2025</v>
      </c>
      <c r="G160" t="s">
        <v>649</v>
      </c>
      <c r="H160" t="s">
        <v>656</v>
      </c>
      <c r="I160" t="s">
        <v>698</v>
      </c>
      <c r="J160" t="s">
        <v>705</v>
      </c>
      <c r="K160" t="s">
        <v>709</v>
      </c>
      <c r="L160" t="s">
        <v>716</v>
      </c>
      <c r="M160" t="s">
        <v>733</v>
      </c>
      <c r="N160">
        <f t="shared" si="21"/>
        <v>9.5002337020135774E-2</v>
      </c>
      <c r="O160" t="s">
        <v>892</v>
      </c>
      <c r="P160" s="4">
        <v>815.83</v>
      </c>
      <c r="Q160" s="4">
        <v>1982.18</v>
      </c>
      <c r="R160" s="4" t="str">
        <f t="shared" si="22"/>
        <v>Profit</v>
      </c>
      <c r="S160">
        <v>0.127</v>
      </c>
      <c r="T160" s="4">
        <v>6</v>
      </c>
      <c r="U160">
        <f t="shared" si="23"/>
        <v>10382.65884</v>
      </c>
      <c r="V160">
        <f t="shared" si="24"/>
        <v>4894.9800000000005</v>
      </c>
      <c r="W160">
        <f t="shared" si="25"/>
        <v>5487.6788399999996</v>
      </c>
      <c r="X160">
        <f t="shared" si="26"/>
        <v>0.52854272923408507</v>
      </c>
    </row>
    <row r="161" spans="1:24" x14ac:dyDescent="0.25">
      <c r="A161" t="s">
        <v>174</v>
      </c>
      <c r="B161" s="13">
        <v>45870</v>
      </c>
      <c r="C161" s="8">
        <v>45890</v>
      </c>
      <c r="D161" s="8">
        <f t="shared" si="18"/>
        <v>45890</v>
      </c>
      <c r="E161" s="6">
        <f t="shared" si="19"/>
        <v>20</v>
      </c>
      <c r="F161" s="6" t="str">
        <f t="shared" si="20"/>
        <v>Q3-2025</v>
      </c>
      <c r="G161" t="s">
        <v>647</v>
      </c>
      <c r="H161" t="s">
        <v>659</v>
      </c>
      <c r="I161" t="s">
        <v>685</v>
      </c>
      <c r="J161" t="s">
        <v>701</v>
      </c>
      <c r="K161" t="s">
        <v>711</v>
      </c>
      <c r="L161" t="s">
        <v>714</v>
      </c>
      <c r="M161" t="s">
        <v>730</v>
      </c>
      <c r="N161">
        <f t="shared" si="21"/>
        <v>0.2677661967157115</v>
      </c>
      <c r="O161" t="s">
        <v>893</v>
      </c>
      <c r="P161" s="4">
        <v>1220.4100000000001</v>
      </c>
      <c r="Q161" s="4">
        <v>2552.2199999999998</v>
      </c>
      <c r="R161" s="4" t="str">
        <f t="shared" si="22"/>
        <v>Profit</v>
      </c>
      <c r="S161">
        <v>0.18099999999999999</v>
      </c>
      <c r="T161" s="4">
        <v>14</v>
      </c>
      <c r="U161">
        <f t="shared" si="23"/>
        <v>29263.754519999995</v>
      </c>
      <c r="V161">
        <f t="shared" si="24"/>
        <v>17085.740000000002</v>
      </c>
      <c r="W161">
        <f t="shared" si="25"/>
        <v>12178.014519999993</v>
      </c>
      <c r="X161">
        <f t="shared" si="26"/>
        <v>0.41614668793360271</v>
      </c>
    </row>
    <row r="162" spans="1:24" x14ac:dyDescent="0.25">
      <c r="A162" t="s">
        <v>175</v>
      </c>
      <c r="B162" s="13">
        <v>44977</v>
      </c>
      <c r="C162" s="8">
        <v>44989</v>
      </c>
      <c r="D162" s="8">
        <f t="shared" si="18"/>
        <v>44989</v>
      </c>
      <c r="E162" s="6">
        <f t="shared" si="19"/>
        <v>12</v>
      </c>
      <c r="F162" s="6" t="str">
        <f t="shared" si="20"/>
        <v>Q1-2023</v>
      </c>
      <c r="G162" t="s">
        <v>647</v>
      </c>
      <c r="H162" t="s">
        <v>654</v>
      </c>
      <c r="I162" t="s">
        <v>680</v>
      </c>
      <c r="J162" t="s">
        <v>704</v>
      </c>
      <c r="K162" t="s">
        <v>710</v>
      </c>
      <c r="L162" t="s">
        <v>724</v>
      </c>
      <c r="M162" t="s">
        <v>732</v>
      </c>
      <c r="N162">
        <f t="shared" si="21"/>
        <v>0.20171271579685129</v>
      </c>
      <c r="O162" t="s">
        <v>894</v>
      </c>
      <c r="P162" s="4">
        <v>299.75</v>
      </c>
      <c r="Q162" s="4">
        <v>523.01</v>
      </c>
      <c r="R162" s="4" t="str">
        <f t="shared" si="22"/>
        <v>Profit</v>
      </c>
      <c r="S162">
        <v>0.157</v>
      </c>
      <c r="T162" s="4">
        <v>50</v>
      </c>
      <c r="U162">
        <f t="shared" si="23"/>
        <v>22044.871499999997</v>
      </c>
      <c r="V162">
        <f t="shared" si="24"/>
        <v>14987.5</v>
      </c>
      <c r="W162">
        <f t="shared" si="25"/>
        <v>7057.3714999999975</v>
      </c>
      <c r="X162">
        <f t="shared" si="26"/>
        <v>0.32013665854210122</v>
      </c>
    </row>
    <row r="163" spans="1:24" x14ac:dyDescent="0.25">
      <c r="A163" t="s">
        <v>176</v>
      </c>
      <c r="B163" s="13">
        <v>45595</v>
      </c>
      <c r="C163" s="8">
        <v>45620</v>
      </c>
      <c r="D163" s="8">
        <f t="shared" si="18"/>
        <v>45620</v>
      </c>
      <c r="E163" s="6">
        <f t="shared" si="19"/>
        <v>25</v>
      </c>
      <c r="F163" s="6" t="str">
        <f t="shared" si="20"/>
        <v>Q4-2024</v>
      </c>
      <c r="G163" t="s">
        <v>647</v>
      </c>
      <c r="H163" t="s">
        <v>659</v>
      </c>
      <c r="I163" t="s">
        <v>676</v>
      </c>
      <c r="J163" t="s">
        <v>705</v>
      </c>
      <c r="K163" t="s">
        <v>708</v>
      </c>
      <c r="L163" t="s">
        <v>718</v>
      </c>
      <c r="M163" t="s">
        <v>727</v>
      </c>
      <c r="N163">
        <f t="shared" si="21"/>
        <v>5.1699644652038232E-2</v>
      </c>
      <c r="O163" t="s">
        <v>895</v>
      </c>
      <c r="P163" s="4">
        <v>811.05</v>
      </c>
      <c r="Q163" s="4">
        <v>1217.71</v>
      </c>
      <c r="R163" s="4" t="str">
        <f t="shared" si="22"/>
        <v>Profit</v>
      </c>
      <c r="S163">
        <v>7.1999999999999995E-2</v>
      </c>
      <c r="T163" s="4">
        <v>5</v>
      </c>
      <c r="U163">
        <f t="shared" si="23"/>
        <v>5650.1744000000008</v>
      </c>
      <c r="V163">
        <f t="shared" si="24"/>
        <v>4055.25</v>
      </c>
      <c r="W163">
        <f t="shared" si="25"/>
        <v>1594.9244000000008</v>
      </c>
      <c r="X163">
        <f t="shared" si="26"/>
        <v>0.28227879125288602</v>
      </c>
    </row>
    <row r="164" spans="1:24" x14ac:dyDescent="0.25">
      <c r="A164" t="s">
        <v>177</v>
      </c>
      <c r="B164" s="13">
        <v>45385</v>
      </c>
      <c r="C164" s="8">
        <v>45389</v>
      </c>
      <c r="D164" s="8">
        <f t="shared" si="18"/>
        <v>45389</v>
      </c>
      <c r="E164" s="6">
        <f t="shared" si="19"/>
        <v>4</v>
      </c>
      <c r="F164" s="6" t="str">
        <f t="shared" si="20"/>
        <v>Q2-2024</v>
      </c>
      <c r="G164" t="s">
        <v>648</v>
      </c>
      <c r="H164" t="s">
        <v>655</v>
      </c>
      <c r="I164" t="s">
        <v>672</v>
      </c>
      <c r="J164" t="s">
        <v>703</v>
      </c>
      <c r="K164" t="s">
        <v>711</v>
      </c>
      <c r="L164" t="s">
        <v>725</v>
      </c>
      <c r="M164" t="s">
        <v>730</v>
      </c>
      <c r="N164">
        <f t="shared" si="21"/>
        <v>7.4614935296309831E-2</v>
      </c>
      <c r="O164" t="s">
        <v>896</v>
      </c>
      <c r="P164" s="4">
        <v>1023.27</v>
      </c>
      <c r="Q164" s="4">
        <v>1343.64</v>
      </c>
      <c r="R164" s="4" t="str">
        <f t="shared" si="22"/>
        <v>Profit</v>
      </c>
      <c r="S164">
        <v>0.13300000000000001</v>
      </c>
      <c r="T164" s="4">
        <v>7</v>
      </c>
      <c r="U164">
        <f t="shared" si="23"/>
        <v>8154.5511600000009</v>
      </c>
      <c r="V164">
        <f t="shared" si="24"/>
        <v>7162.8899999999994</v>
      </c>
      <c r="W164">
        <f t="shared" si="25"/>
        <v>991.66116000000147</v>
      </c>
      <c r="X164">
        <f t="shared" si="26"/>
        <v>0.12160830688810116</v>
      </c>
    </row>
    <row r="165" spans="1:24" x14ac:dyDescent="0.25">
      <c r="A165" t="s">
        <v>178</v>
      </c>
      <c r="B165" s="13">
        <v>45010</v>
      </c>
      <c r="C165" s="8">
        <v>45011</v>
      </c>
      <c r="D165" s="8">
        <f t="shared" si="18"/>
        <v>45011</v>
      </c>
      <c r="E165" s="6">
        <f t="shared" si="19"/>
        <v>1</v>
      </c>
      <c r="F165" s="6" t="str">
        <f t="shared" si="20"/>
        <v>Q1-2023</v>
      </c>
      <c r="G165" t="s">
        <v>647</v>
      </c>
      <c r="H165" t="s">
        <v>652</v>
      </c>
      <c r="I165" t="s">
        <v>666</v>
      </c>
      <c r="J165" t="s">
        <v>705</v>
      </c>
      <c r="K165" t="s">
        <v>710</v>
      </c>
      <c r="L165" t="s">
        <v>714</v>
      </c>
      <c r="M165" t="s">
        <v>732</v>
      </c>
      <c r="N165">
        <f t="shared" si="21"/>
        <v>0.1115828177681092</v>
      </c>
      <c r="O165" t="s">
        <v>897</v>
      </c>
      <c r="P165" s="4">
        <v>135.12</v>
      </c>
      <c r="Q165" s="4">
        <v>301.7</v>
      </c>
      <c r="R165" s="4" t="str">
        <f t="shared" si="22"/>
        <v>Profit</v>
      </c>
      <c r="S165">
        <v>0.14000000000000001</v>
      </c>
      <c r="T165" s="4">
        <v>47</v>
      </c>
      <c r="U165">
        <f t="shared" si="23"/>
        <v>12194.714</v>
      </c>
      <c r="V165">
        <f t="shared" si="24"/>
        <v>6350.64</v>
      </c>
      <c r="W165">
        <f t="shared" si="25"/>
        <v>5844.0739999999996</v>
      </c>
      <c r="X165">
        <f t="shared" si="26"/>
        <v>0.47923009920527859</v>
      </c>
    </row>
    <row r="166" spans="1:24" x14ac:dyDescent="0.25">
      <c r="A166" t="s">
        <v>179</v>
      </c>
      <c r="B166" s="13">
        <v>45447</v>
      </c>
      <c r="C166" s="8">
        <v>45459</v>
      </c>
      <c r="D166" s="8">
        <f t="shared" si="18"/>
        <v>45459</v>
      </c>
      <c r="E166" s="6">
        <f t="shared" si="19"/>
        <v>12</v>
      </c>
      <c r="F166" s="6" t="str">
        <f t="shared" si="20"/>
        <v>Q2-2024</v>
      </c>
      <c r="G166" t="s">
        <v>647</v>
      </c>
      <c r="H166" t="s">
        <v>659</v>
      </c>
      <c r="I166" t="s">
        <v>685</v>
      </c>
      <c r="J166" t="s">
        <v>701</v>
      </c>
      <c r="K166" t="s">
        <v>707</v>
      </c>
      <c r="L166" t="s">
        <v>713</v>
      </c>
      <c r="M166" t="s">
        <v>728</v>
      </c>
      <c r="N166">
        <f t="shared" si="21"/>
        <v>0.10844517991599559</v>
      </c>
      <c r="O166" t="s">
        <v>898</v>
      </c>
      <c r="P166" s="4">
        <v>918.42</v>
      </c>
      <c r="Q166" s="4">
        <v>1511.71</v>
      </c>
      <c r="R166" s="4" t="str">
        <f t="shared" si="22"/>
        <v>Profit</v>
      </c>
      <c r="S166">
        <v>0.02</v>
      </c>
      <c r="T166" s="4">
        <v>8</v>
      </c>
      <c r="U166">
        <f t="shared" si="23"/>
        <v>11851.806399999999</v>
      </c>
      <c r="V166">
        <f t="shared" si="24"/>
        <v>7347.36</v>
      </c>
      <c r="W166">
        <f t="shared" si="25"/>
        <v>4504.4463999999998</v>
      </c>
      <c r="X166">
        <f t="shared" si="26"/>
        <v>0.38006412254590999</v>
      </c>
    </row>
    <row r="167" spans="1:24" x14ac:dyDescent="0.25">
      <c r="A167" t="s">
        <v>180</v>
      </c>
      <c r="B167" s="13">
        <v>44976</v>
      </c>
      <c r="C167" s="8">
        <v>44997</v>
      </c>
      <c r="D167" s="8">
        <f t="shared" si="18"/>
        <v>44997</v>
      </c>
      <c r="E167" s="6">
        <f t="shared" si="19"/>
        <v>21</v>
      </c>
      <c r="F167" s="6" t="str">
        <f t="shared" si="20"/>
        <v>Q1-2023</v>
      </c>
      <c r="G167" t="s">
        <v>649</v>
      </c>
      <c r="H167" t="s">
        <v>656</v>
      </c>
      <c r="I167" t="s">
        <v>671</v>
      </c>
      <c r="J167" t="s">
        <v>705</v>
      </c>
      <c r="K167" t="s">
        <v>711</v>
      </c>
      <c r="L167" t="s">
        <v>716</v>
      </c>
      <c r="M167" t="s">
        <v>732</v>
      </c>
      <c r="N167">
        <f t="shared" si="21"/>
        <v>0.78359364329489123</v>
      </c>
      <c r="O167" t="s">
        <v>899</v>
      </c>
      <c r="P167" s="4">
        <v>1234.81</v>
      </c>
      <c r="Q167" s="4">
        <v>2055.2399999999998</v>
      </c>
      <c r="R167" s="4" t="str">
        <f t="shared" si="22"/>
        <v>Profit</v>
      </c>
      <c r="S167">
        <v>5.2999999999999999E-2</v>
      </c>
      <c r="T167" s="4">
        <v>44</v>
      </c>
      <c r="U167">
        <f t="shared" si="23"/>
        <v>85637.740319999997</v>
      </c>
      <c r="V167">
        <f t="shared" si="24"/>
        <v>54331.64</v>
      </c>
      <c r="W167">
        <f t="shared" si="25"/>
        <v>31306.100319999998</v>
      </c>
      <c r="X167">
        <f t="shared" si="26"/>
        <v>0.36556429680441616</v>
      </c>
    </row>
    <row r="168" spans="1:24" x14ac:dyDescent="0.25">
      <c r="A168" t="s">
        <v>181</v>
      </c>
      <c r="B168" s="13">
        <v>45034</v>
      </c>
      <c r="C168" s="8">
        <v>45064</v>
      </c>
      <c r="D168" s="8">
        <f t="shared" si="18"/>
        <v>45064</v>
      </c>
      <c r="E168" s="6">
        <f t="shared" si="19"/>
        <v>30</v>
      </c>
      <c r="F168" s="6" t="str">
        <f t="shared" si="20"/>
        <v>Q2-2023</v>
      </c>
      <c r="G168" t="s">
        <v>647</v>
      </c>
      <c r="H168" t="s">
        <v>659</v>
      </c>
      <c r="I168" t="s">
        <v>676</v>
      </c>
      <c r="J168" t="s">
        <v>703</v>
      </c>
      <c r="K168" t="s">
        <v>707</v>
      </c>
      <c r="L168" t="s">
        <v>722</v>
      </c>
      <c r="M168" t="s">
        <v>731</v>
      </c>
      <c r="N168">
        <f t="shared" si="21"/>
        <v>0.13220333669992659</v>
      </c>
      <c r="O168" t="s">
        <v>900</v>
      </c>
      <c r="P168" s="4">
        <v>329.03</v>
      </c>
      <c r="Q168" s="4">
        <v>391.15</v>
      </c>
      <c r="R168" s="4" t="str">
        <f t="shared" si="22"/>
        <v>Profit</v>
      </c>
      <c r="S168">
        <v>0.19700000000000001</v>
      </c>
      <c r="T168" s="4">
        <v>46</v>
      </c>
      <c r="U168">
        <f t="shared" si="23"/>
        <v>14448.298699999998</v>
      </c>
      <c r="V168">
        <f t="shared" si="24"/>
        <v>15135.38</v>
      </c>
      <c r="W168">
        <f t="shared" si="25"/>
        <v>-687.08130000000165</v>
      </c>
      <c r="X168">
        <f t="shared" si="26"/>
        <v>-4.7554477815440081E-2</v>
      </c>
    </row>
    <row r="169" spans="1:24" x14ac:dyDescent="0.25">
      <c r="A169" t="s">
        <v>182</v>
      </c>
      <c r="B169" s="13">
        <v>45435</v>
      </c>
      <c r="C169" s="8">
        <v>45457</v>
      </c>
      <c r="D169" s="8">
        <f t="shared" si="18"/>
        <v>45457</v>
      </c>
      <c r="E169" s="6">
        <f t="shared" si="19"/>
        <v>22</v>
      </c>
      <c r="F169" s="6" t="str">
        <f t="shared" si="20"/>
        <v>Q2-2024</v>
      </c>
      <c r="G169" t="s">
        <v>649</v>
      </c>
      <c r="H169" t="s">
        <v>657</v>
      </c>
      <c r="I169" t="s">
        <v>673</v>
      </c>
      <c r="J169" t="s">
        <v>705</v>
      </c>
      <c r="K169" t="s">
        <v>708</v>
      </c>
      <c r="L169" t="s">
        <v>725</v>
      </c>
      <c r="M169" t="s">
        <v>732</v>
      </c>
      <c r="N169">
        <f t="shared" si="21"/>
        <v>0.11358916487637657</v>
      </c>
      <c r="O169" t="s">
        <v>901</v>
      </c>
      <c r="P169" s="4">
        <v>1481.74</v>
      </c>
      <c r="Q169" s="4">
        <v>1848.97</v>
      </c>
      <c r="R169" s="4" t="str">
        <f t="shared" si="22"/>
        <v>Profit</v>
      </c>
      <c r="S169">
        <v>0.254</v>
      </c>
      <c r="T169" s="4">
        <v>9</v>
      </c>
      <c r="U169">
        <f t="shared" si="23"/>
        <v>12413.98458</v>
      </c>
      <c r="V169">
        <f t="shared" si="24"/>
        <v>13335.66</v>
      </c>
      <c r="W169">
        <f t="shared" si="25"/>
        <v>-921.67541999999958</v>
      </c>
      <c r="X169">
        <f t="shared" si="26"/>
        <v>-7.4244930309072407E-2</v>
      </c>
    </row>
    <row r="170" spans="1:24" x14ac:dyDescent="0.25">
      <c r="A170" t="s">
        <v>183</v>
      </c>
      <c r="B170" s="13">
        <v>45206</v>
      </c>
      <c r="C170" s="8">
        <v>45222</v>
      </c>
      <c r="D170" s="8">
        <f t="shared" si="18"/>
        <v>45222</v>
      </c>
      <c r="E170" s="6">
        <f t="shared" si="19"/>
        <v>16</v>
      </c>
      <c r="F170" s="6" t="str">
        <f t="shared" si="20"/>
        <v>Q4-2023</v>
      </c>
      <c r="G170" t="s">
        <v>647</v>
      </c>
      <c r="H170" t="s">
        <v>654</v>
      </c>
      <c r="I170" t="s">
        <v>696</v>
      </c>
      <c r="J170" t="s">
        <v>704</v>
      </c>
      <c r="K170" t="s">
        <v>707</v>
      </c>
      <c r="L170" t="s">
        <v>715</v>
      </c>
      <c r="M170" t="s">
        <v>732</v>
      </c>
      <c r="N170">
        <f t="shared" si="21"/>
        <v>6.2442901812557607E-2</v>
      </c>
      <c r="O170" t="s">
        <v>902</v>
      </c>
      <c r="P170" s="4">
        <v>906.81</v>
      </c>
      <c r="Q170" s="4">
        <v>1395.56</v>
      </c>
      <c r="R170" s="4" t="str">
        <f t="shared" si="22"/>
        <v>Profit</v>
      </c>
      <c r="S170">
        <v>0.185</v>
      </c>
      <c r="T170" s="4">
        <v>6</v>
      </c>
      <c r="U170">
        <f t="shared" si="23"/>
        <v>6824.2884000000004</v>
      </c>
      <c r="V170">
        <f t="shared" si="24"/>
        <v>5440.86</v>
      </c>
      <c r="W170">
        <f t="shared" si="25"/>
        <v>1383.4284000000007</v>
      </c>
      <c r="X170">
        <f t="shared" si="26"/>
        <v>0.20272126834498974</v>
      </c>
    </row>
    <row r="171" spans="1:24" x14ac:dyDescent="0.25">
      <c r="A171" t="s">
        <v>184</v>
      </c>
      <c r="B171" s="13">
        <v>45574</v>
      </c>
      <c r="C171" s="8">
        <v>45604</v>
      </c>
      <c r="D171" s="8">
        <f t="shared" si="18"/>
        <v>45604</v>
      </c>
      <c r="E171" s="6">
        <f t="shared" si="19"/>
        <v>30</v>
      </c>
      <c r="F171" s="6" t="str">
        <f t="shared" si="20"/>
        <v>Q4-2024</v>
      </c>
      <c r="G171" t="s">
        <v>649</v>
      </c>
      <c r="H171" t="s">
        <v>658</v>
      </c>
      <c r="I171" t="s">
        <v>693</v>
      </c>
      <c r="J171" t="s">
        <v>705</v>
      </c>
      <c r="K171" t="s">
        <v>710</v>
      </c>
      <c r="L171" t="s">
        <v>713</v>
      </c>
      <c r="M171" t="s">
        <v>727</v>
      </c>
      <c r="N171">
        <f t="shared" si="21"/>
        <v>2.1194024145688013E-2</v>
      </c>
      <c r="O171" t="s">
        <v>903</v>
      </c>
      <c r="P171" s="4">
        <v>343.85</v>
      </c>
      <c r="Q171" s="4">
        <v>538.04</v>
      </c>
      <c r="R171" s="4" t="str">
        <f t="shared" si="22"/>
        <v>Profit</v>
      </c>
      <c r="S171">
        <v>0.13900000000000001</v>
      </c>
      <c r="T171" s="4">
        <v>5</v>
      </c>
      <c r="U171">
        <f t="shared" si="23"/>
        <v>2316.2621999999997</v>
      </c>
      <c r="V171">
        <f t="shared" si="24"/>
        <v>1719.25</v>
      </c>
      <c r="W171">
        <f t="shared" si="25"/>
        <v>597.01219999999967</v>
      </c>
      <c r="X171">
        <f t="shared" si="26"/>
        <v>0.25774810813732563</v>
      </c>
    </row>
    <row r="172" spans="1:24" x14ac:dyDescent="0.25">
      <c r="A172" t="s">
        <v>185</v>
      </c>
      <c r="B172" s="13">
        <v>45488</v>
      </c>
      <c r="C172" s="8">
        <v>45488</v>
      </c>
      <c r="D172" s="8">
        <f t="shared" si="18"/>
        <v>45488</v>
      </c>
      <c r="E172" s="6">
        <f t="shared" si="19"/>
        <v>0</v>
      </c>
      <c r="F172" s="6" t="str">
        <f t="shared" si="20"/>
        <v>Q3-2024</v>
      </c>
      <c r="G172" t="s">
        <v>647</v>
      </c>
      <c r="H172" t="s">
        <v>652</v>
      </c>
      <c r="I172" t="s">
        <v>689</v>
      </c>
      <c r="J172" t="s">
        <v>705</v>
      </c>
      <c r="K172" t="s">
        <v>709</v>
      </c>
      <c r="L172" t="s">
        <v>715</v>
      </c>
      <c r="M172" t="s">
        <v>733</v>
      </c>
      <c r="N172">
        <f t="shared" si="21"/>
        <v>0.13312502982848751</v>
      </c>
      <c r="O172" t="s">
        <v>904</v>
      </c>
      <c r="P172" s="4">
        <v>801.77</v>
      </c>
      <c r="Q172" s="4">
        <v>1218.92</v>
      </c>
      <c r="R172" s="4" t="str">
        <f t="shared" si="22"/>
        <v>Profit</v>
      </c>
      <c r="S172">
        <v>0.254</v>
      </c>
      <c r="T172" s="4">
        <v>16</v>
      </c>
      <c r="U172">
        <f t="shared" si="23"/>
        <v>14549.029120000001</v>
      </c>
      <c r="V172">
        <f t="shared" si="24"/>
        <v>12828.32</v>
      </c>
      <c r="W172">
        <f t="shared" si="25"/>
        <v>1720.7091200000013</v>
      </c>
      <c r="X172">
        <f t="shared" si="26"/>
        <v>0.11826968698788344</v>
      </c>
    </row>
    <row r="173" spans="1:24" x14ac:dyDescent="0.25">
      <c r="A173" t="s">
        <v>186</v>
      </c>
      <c r="B173" s="13">
        <v>45190</v>
      </c>
      <c r="C173" s="8">
        <v>45209</v>
      </c>
      <c r="D173" s="8">
        <f t="shared" si="18"/>
        <v>45209</v>
      </c>
      <c r="E173" s="6">
        <f t="shared" si="19"/>
        <v>19</v>
      </c>
      <c r="F173" s="6" t="str">
        <f t="shared" si="20"/>
        <v>Q3-2023</v>
      </c>
      <c r="G173" t="s">
        <v>647</v>
      </c>
      <c r="H173" t="s">
        <v>652</v>
      </c>
      <c r="I173" t="s">
        <v>689</v>
      </c>
      <c r="J173" t="s">
        <v>702</v>
      </c>
      <c r="K173" t="s">
        <v>708</v>
      </c>
      <c r="L173" t="s">
        <v>726</v>
      </c>
      <c r="M173" t="s">
        <v>727</v>
      </c>
      <c r="N173">
        <f t="shared" si="21"/>
        <v>8.1701030754961892E-2</v>
      </c>
      <c r="O173" t="s">
        <v>905</v>
      </c>
      <c r="P173" s="4">
        <v>845.63</v>
      </c>
      <c r="Q173" s="4">
        <v>2062.12</v>
      </c>
      <c r="R173" s="4" t="str">
        <f t="shared" si="22"/>
        <v>Profit</v>
      </c>
      <c r="S173">
        <v>0.13400000000000001</v>
      </c>
      <c r="T173" s="4">
        <v>5</v>
      </c>
      <c r="U173">
        <f t="shared" si="23"/>
        <v>8928.9795999999988</v>
      </c>
      <c r="V173">
        <f t="shared" si="24"/>
        <v>4228.1499999999996</v>
      </c>
      <c r="W173">
        <f t="shared" si="25"/>
        <v>4700.8295999999991</v>
      </c>
      <c r="X173">
        <f t="shared" si="26"/>
        <v>0.52646884757133949</v>
      </c>
    </row>
    <row r="174" spans="1:24" x14ac:dyDescent="0.25">
      <c r="A174" t="s">
        <v>187</v>
      </c>
      <c r="B174" s="13">
        <v>44981</v>
      </c>
      <c r="C174" s="8">
        <v>44994</v>
      </c>
      <c r="D174" s="8">
        <f t="shared" si="18"/>
        <v>44994</v>
      </c>
      <c r="E174" s="6">
        <f t="shared" si="19"/>
        <v>13</v>
      </c>
      <c r="F174" s="6" t="str">
        <f t="shared" si="20"/>
        <v>Q1-2023</v>
      </c>
      <c r="G174" t="s">
        <v>648</v>
      </c>
      <c r="H174" t="s">
        <v>660</v>
      </c>
      <c r="I174" t="s">
        <v>700</v>
      </c>
      <c r="J174" t="s">
        <v>706</v>
      </c>
      <c r="K174" t="s">
        <v>708</v>
      </c>
      <c r="L174" t="s">
        <v>724</v>
      </c>
      <c r="M174" t="s">
        <v>727</v>
      </c>
      <c r="N174">
        <f t="shared" si="21"/>
        <v>8.8770033466141322E-4</v>
      </c>
      <c r="O174" t="s">
        <v>906</v>
      </c>
      <c r="P174" s="4">
        <v>6.85</v>
      </c>
      <c r="Q174" s="4">
        <v>10.18</v>
      </c>
      <c r="R174" s="4" t="str">
        <f t="shared" si="22"/>
        <v>Profit</v>
      </c>
      <c r="S174">
        <v>4.7E-2</v>
      </c>
      <c r="T174" s="4">
        <v>10</v>
      </c>
      <c r="U174">
        <f t="shared" si="23"/>
        <v>97.0154</v>
      </c>
      <c r="V174">
        <f t="shared" si="24"/>
        <v>68.5</v>
      </c>
      <c r="W174">
        <f t="shared" si="25"/>
        <v>28.5154</v>
      </c>
      <c r="X174">
        <f t="shared" si="26"/>
        <v>0.2939265312517394</v>
      </c>
    </row>
    <row r="175" spans="1:24" x14ac:dyDescent="0.25">
      <c r="A175" t="s">
        <v>188</v>
      </c>
      <c r="B175" s="13">
        <v>45798</v>
      </c>
      <c r="C175" s="8">
        <v>45796</v>
      </c>
      <c r="D175" s="8">
        <f t="shared" si="18"/>
        <v>45805</v>
      </c>
      <c r="E175" s="6">
        <f t="shared" si="19"/>
        <v>7</v>
      </c>
      <c r="F175" s="6" t="str">
        <f t="shared" si="20"/>
        <v>Q2-2025</v>
      </c>
      <c r="G175" t="s">
        <v>646</v>
      </c>
      <c r="H175" t="s">
        <v>661</v>
      </c>
      <c r="I175" t="s">
        <v>682</v>
      </c>
      <c r="J175" t="s">
        <v>703</v>
      </c>
      <c r="K175" t="s">
        <v>710</v>
      </c>
      <c r="L175" t="s">
        <v>719</v>
      </c>
      <c r="M175" t="s">
        <v>731</v>
      </c>
      <c r="N175">
        <f t="shared" si="21"/>
        <v>0.28874218209849506</v>
      </c>
      <c r="O175" t="s">
        <v>907</v>
      </c>
      <c r="P175" s="4">
        <v>1263.8399999999999</v>
      </c>
      <c r="Q175" s="4">
        <v>2281.7199999999998</v>
      </c>
      <c r="R175" s="4" t="str">
        <f t="shared" si="22"/>
        <v>Profit</v>
      </c>
      <c r="S175">
        <v>7.8E-2</v>
      </c>
      <c r="T175" s="4">
        <v>15</v>
      </c>
      <c r="U175">
        <f t="shared" si="23"/>
        <v>31556.187599999997</v>
      </c>
      <c r="V175">
        <f t="shared" si="24"/>
        <v>18957.599999999999</v>
      </c>
      <c r="W175">
        <f t="shared" si="25"/>
        <v>12598.587599999999</v>
      </c>
      <c r="X175">
        <f t="shared" si="26"/>
        <v>0.39924301882398494</v>
      </c>
    </row>
    <row r="176" spans="1:24" x14ac:dyDescent="0.25">
      <c r="A176" t="s">
        <v>189</v>
      </c>
      <c r="B176" s="13">
        <v>45435</v>
      </c>
      <c r="C176" s="8">
        <v>45446</v>
      </c>
      <c r="D176" s="8">
        <f t="shared" si="18"/>
        <v>45446</v>
      </c>
      <c r="E176" s="6">
        <f t="shared" si="19"/>
        <v>11</v>
      </c>
      <c r="F176" s="6" t="str">
        <f t="shared" si="20"/>
        <v>Q2-2024</v>
      </c>
      <c r="G176" t="s">
        <v>646</v>
      </c>
      <c r="H176" t="s">
        <v>661</v>
      </c>
      <c r="I176" t="s">
        <v>682</v>
      </c>
      <c r="J176" t="s">
        <v>705</v>
      </c>
      <c r="K176" t="s">
        <v>710</v>
      </c>
      <c r="L176" t="s">
        <v>721</v>
      </c>
      <c r="M176" t="s">
        <v>728</v>
      </c>
      <c r="N176">
        <f t="shared" si="21"/>
        <v>1.7866806162813494E-2</v>
      </c>
      <c r="O176" t="s">
        <v>908</v>
      </c>
      <c r="P176" s="4">
        <v>180.89</v>
      </c>
      <c r="Q176" s="4">
        <v>249.57</v>
      </c>
      <c r="R176" s="4" t="str">
        <f t="shared" si="22"/>
        <v>Profit</v>
      </c>
      <c r="S176">
        <v>2.1999999999999999E-2</v>
      </c>
      <c r="T176" s="4">
        <v>8</v>
      </c>
      <c r="U176">
        <f t="shared" si="23"/>
        <v>1952.6356799999999</v>
      </c>
      <c r="V176">
        <f t="shared" si="24"/>
        <v>1447.12</v>
      </c>
      <c r="W176">
        <f t="shared" si="25"/>
        <v>505.51567999999997</v>
      </c>
      <c r="X176">
        <f t="shared" si="26"/>
        <v>0.25888888806948362</v>
      </c>
    </row>
    <row r="177" spans="1:24" x14ac:dyDescent="0.25">
      <c r="A177" t="s">
        <v>190</v>
      </c>
      <c r="B177" s="13">
        <v>45761</v>
      </c>
      <c r="C177" s="8">
        <v>45781</v>
      </c>
      <c r="D177" s="8">
        <f t="shared" si="18"/>
        <v>45781</v>
      </c>
      <c r="E177" s="6">
        <f t="shared" si="19"/>
        <v>20</v>
      </c>
      <c r="F177" s="6" t="str">
        <f t="shared" si="20"/>
        <v>Q2-2025</v>
      </c>
      <c r="G177" t="s">
        <v>649</v>
      </c>
      <c r="H177" t="s">
        <v>658</v>
      </c>
      <c r="I177" t="s">
        <v>674</v>
      </c>
      <c r="J177" t="s">
        <v>706</v>
      </c>
      <c r="K177" t="s">
        <v>709</v>
      </c>
      <c r="L177" t="s">
        <v>723</v>
      </c>
      <c r="M177" t="s">
        <v>732</v>
      </c>
      <c r="N177">
        <f t="shared" si="21"/>
        <v>0.84835354441889221</v>
      </c>
      <c r="O177" t="s">
        <v>909</v>
      </c>
      <c r="P177" s="4">
        <v>1413.87</v>
      </c>
      <c r="Q177" s="4">
        <v>3275</v>
      </c>
      <c r="R177" s="4" t="str">
        <f t="shared" si="22"/>
        <v>Profit</v>
      </c>
      <c r="S177">
        <v>0.255</v>
      </c>
      <c r="T177" s="4">
        <v>38</v>
      </c>
      <c r="U177">
        <f t="shared" si="23"/>
        <v>92715.25</v>
      </c>
      <c r="V177">
        <f t="shared" si="24"/>
        <v>53727.06</v>
      </c>
      <c r="W177">
        <f t="shared" si="25"/>
        <v>38988.19</v>
      </c>
      <c r="X177">
        <f t="shared" si="26"/>
        <v>0.42051539525590453</v>
      </c>
    </row>
    <row r="178" spans="1:24" x14ac:dyDescent="0.25">
      <c r="A178" t="s">
        <v>191</v>
      </c>
      <c r="B178" s="13">
        <v>45165</v>
      </c>
      <c r="C178" s="8">
        <v>45180</v>
      </c>
      <c r="D178" s="8">
        <f t="shared" si="18"/>
        <v>45180</v>
      </c>
      <c r="E178" s="6">
        <f t="shared" si="19"/>
        <v>15</v>
      </c>
      <c r="F178" s="6" t="str">
        <f t="shared" si="20"/>
        <v>Q3-2023</v>
      </c>
      <c r="G178" t="s">
        <v>649</v>
      </c>
      <c r="H178" t="s">
        <v>658</v>
      </c>
      <c r="I178" t="s">
        <v>683</v>
      </c>
      <c r="J178" t="s">
        <v>704</v>
      </c>
      <c r="K178" t="s">
        <v>709</v>
      </c>
      <c r="L178" t="s">
        <v>725</v>
      </c>
      <c r="M178" t="s">
        <v>728</v>
      </c>
      <c r="N178">
        <f t="shared" si="21"/>
        <v>0.14325822658803203</v>
      </c>
      <c r="O178" t="s">
        <v>910</v>
      </c>
      <c r="P178" s="4">
        <v>943.79</v>
      </c>
      <c r="Q178" s="4">
        <v>1913.76</v>
      </c>
      <c r="R178" s="4" t="str">
        <f t="shared" si="22"/>
        <v>Profit</v>
      </c>
      <c r="S178">
        <v>9.0999999999999998E-2</v>
      </c>
      <c r="T178" s="4">
        <v>9</v>
      </c>
      <c r="U178">
        <f t="shared" si="23"/>
        <v>15656.47056</v>
      </c>
      <c r="V178">
        <f t="shared" si="24"/>
        <v>8494.11</v>
      </c>
      <c r="W178">
        <f t="shared" si="25"/>
        <v>7162.3605599999992</v>
      </c>
      <c r="X178">
        <f t="shared" si="26"/>
        <v>0.45746967891338081</v>
      </c>
    </row>
    <row r="179" spans="1:24" x14ac:dyDescent="0.25">
      <c r="A179" t="s">
        <v>192</v>
      </c>
      <c r="B179" s="13">
        <v>45325</v>
      </c>
      <c r="C179" s="8">
        <v>45343</v>
      </c>
      <c r="D179" s="8">
        <f t="shared" si="18"/>
        <v>45343</v>
      </c>
      <c r="E179" s="6">
        <f t="shared" si="19"/>
        <v>18</v>
      </c>
      <c r="F179" s="6" t="str">
        <f t="shared" si="20"/>
        <v>Q1-2024</v>
      </c>
      <c r="G179" t="s">
        <v>649</v>
      </c>
      <c r="H179" t="s">
        <v>656</v>
      </c>
      <c r="I179" t="s">
        <v>698</v>
      </c>
      <c r="J179" t="s">
        <v>701</v>
      </c>
      <c r="K179" t="s">
        <v>707</v>
      </c>
      <c r="L179" t="s">
        <v>722</v>
      </c>
      <c r="M179" t="s">
        <v>727</v>
      </c>
      <c r="N179">
        <f t="shared" si="21"/>
        <v>2.9457174010056406E-3</v>
      </c>
      <c r="O179" t="s">
        <v>911</v>
      </c>
      <c r="P179" s="4">
        <v>39.229999999999997</v>
      </c>
      <c r="Q179" s="4">
        <v>30.09</v>
      </c>
      <c r="R179" s="4" t="str">
        <f t="shared" si="22"/>
        <v>Loss</v>
      </c>
      <c r="S179">
        <v>0.17699999999999999</v>
      </c>
      <c r="T179" s="4">
        <v>13</v>
      </c>
      <c r="U179">
        <f t="shared" si="23"/>
        <v>321.93290999999999</v>
      </c>
      <c r="V179">
        <f t="shared" si="24"/>
        <v>509.98999999999995</v>
      </c>
      <c r="W179">
        <f t="shared" si="25"/>
        <v>-188.05708999999996</v>
      </c>
      <c r="X179">
        <f t="shared" si="26"/>
        <v>-0.58414993981199359</v>
      </c>
    </row>
    <row r="180" spans="1:24" x14ac:dyDescent="0.25">
      <c r="A180" t="s">
        <v>193</v>
      </c>
      <c r="B180" s="13">
        <v>45021</v>
      </c>
      <c r="C180" s="8">
        <v>45032</v>
      </c>
      <c r="D180" s="8">
        <f t="shared" si="18"/>
        <v>45032</v>
      </c>
      <c r="E180" s="6">
        <f t="shared" si="19"/>
        <v>11</v>
      </c>
      <c r="F180" s="6" t="str">
        <f t="shared" si="20"/>
        <v>Q2-2023</v>
      </c>
      <c r="G180" t="s">
        <v>648</v>
      </c>
      <c r="H180" t="s">
        <v>653</v>
      </c>
      <c r="I180" t="s">
        <v>688</v>
      </c>
      <c r="J180" t="s">
        <v>703</v>
      </c>
      <c r="K180" t="s">
        <v>708</v>
      </c>
      <c r="L180" t="s">
        <v>719</v>
      </c>
      <c r="M180" t="s">
        <v>732</v>
      </c>
      <c r="N180">
        <f t="shared" si="21"/>
        <v>6.4952418435945639E-2</v>
      </c>
      <c r="O180" t="s">
        <v>912</v>
      </c>
      <c r="P180" s="4">
        <v>213.1</v>
      </c>
      <c r="Q180" s="4">
        <v>501.31</v>
      </c>
      <c r="R180" s="4" t="str">
        <f t="shared" si="22"/>
        <v>Profit</v>
      </c>
      <c r="S180">
        <v>5.6000000000000001E-2</v>
      </c>
      <c r="T180" s="4">
        <v>15</v>
      </c>
      <c r="U180">
        <f t="shared" si="23"/>
        <v>7098.5495999999994</v>
      </c>
      <c r="V180">
        <f t="shared" si="24"/>
        <v>3196.5</v>
      </c>
      <c r="W180">
        <f t="shared" si="25"/>
        <v>3902.0495999999994</v>
      </c>
      <c r="X180">
        <f t="shared" si="26"/>
        <v>0.54969674368409005</v>
      </c>
    </row>
    <row r="181" spans="1:24" x14ac:dyDescent="0.25">
      <c r="A181" t="s">
        <v>194</v>
      </c>
      <c r="B181" s="13">
        <v>45890</v>
      </c>
      <c r="C181" s="8">
        <v>45912</v>
      </c>
      <c r="D181" s="8">
        <f t="shared" si="18"/>
        <v>45912</v>
      </c>
      <c r="E181" s="6">
        <f t="shared" si="19"/>
        <v>22</v>
      </c>
      <c r="F181" s="6" t="str">
        <f t="shared" si="20"/>
        <v>Q3-2025</v>
      </c>
      <c r="G181" t="s">
        <v>647</v>
      </c>
      <c r="H181" t="s">
        <v>659</v>
      </c>
      <c r="I181" t="s">
        <v>676</v>
      </c>
      <c r="J181" t="s">
        <v>702</v>
      </c>
      <c r="K181" t="s">
        <v>707</v>
      </c>
      <c r="L181" t="s">
        <v>717</v>
      </c>
      <c r="M181" t="s">
        <v>728</v>
      </c>
      <c r="N181">
        <f t="shared" si="21"/>
        <v>4.0448884490389816E-2</v>
      </c>
      <c r="O181" t="s">
        <v>913</v>
      </c>
      <c r="P181" s="4">
        <v>352.66</v>
      </c>
      <c r="Q181" s="4">
        <v>411.18</v>
      </c>
      <c r="R181" s="4" t="str">
        <f t="shared" si="22"/>
        <v>Profit</v>
      </c>
      <c r="S181">
        <v>0.17299999999999999</v>
      </c>
      <c r="T181" s="4">
        <v>13</v>
      </c>
      <c r="U181">
        <f t="shared" si="23"/>
        <v>4420.5961799999995</v>
      </c>
      <c r="V181">
        <f t="shared" si="24"/>
        <v>4584.58</v>
      </c>
      <c r="W181">
        <f t="shared" si="25"/>
        <v>-163.98382000000038</v>
      </c>
      <c r="X181">
        <f t="shared" si="26"/>
        <v>-3.7095408248758066E-2</v>
      </c>
    </row>
    <row r="182" spans="1:24" x14ac:dyDescent="0.25">
      <c r="A182" t="s">
        <v>195</v>
      </c>
      <c r="B182" s="13">
        <v>45915</v>
      </c>
      <c r="C182" s="8">
        <v>45918</v>
      </c>
      <c r="D182" s="8">
        <f t="shared" si="18"/>
        <v>45918</v>
      </c>
      <c r="E182" s="6">
        <f t="shared" si="19"/>
        <v>3</v>
      </c>
      <c r="F182" s="6" t="str">
        <f t="shared" si="20"/>
        <v>Q3-2025</v>
      </c>
      <c r="G182" t="s">
        <v>648</v>
      </c>
      <c r="H182" t="s">
        <v>655</v>
      </c>
      <c r="I182" t="s">
        <v>692</v>
      </c>
      <c r="J182" t="s">
        <v>703</v>
      </c>
      <c r="K182" t="s">
        <v>711</v>
      </c>
      <c r="L182" t="s">
        <v>716</v>
      </c>
      <c r="M182" t="s">
        <v>733</v>
      </c>
      <c r="N182">
        <f t="shared" si="21"/>
        <v>1.7073934872946381E-4</v>
      </c>
      <c r="O182" t="s">
        <v>914</v>
      </c>
      <c r="P182" s="4">
        <v>5.5</v>
      </c>
      <c r="Q182" s="4">
        <v>5.92</v>
      </c>
      <c r="R182" s="4" t="str">
        <f t="shared" si="22"/>
        <v>Profit</v>
      </c>
      <c r="S182">
        <v>0.21199999999999999</v>
      </c>
      <c r="T182" s="4">
        <v>4</v>
      </c>
      <c r="U182">
        <f t="shared" si="23"/>
        <v>18.659839999999999</v>
      </c>
      <c r="V182">
        <f t="shared" si="24"/>
        <v>22</v>
      </c>
      <c r="W182">
        <f t="shared" si="25"/>
        <v>-3.3401600000000009</v>
      </c>
      <c r="X182">
        <f t="shared" si="26"/>
        <v>-0.17900260666758133</v>
      </c>
    </row>
    <row r="183" spans="1:24" x14ac:dyDescent="0.25">
      <c r="A183" t="s">
        <v>196</v>
      </c>
      <c r="B183" s="13">
        <v>45568</v>
      </c>
      <c r="C183" s="8">
        <v>45576</v>
      </c>
      <c r="D183" s="8">
        <f t="shared" si="18"/>
        <v>45576</v>
      </c>
      <c r="E183" s="6">
        <f t="shared" si="19"/>
        <v>8</v>
      </c>
      <c r="F183" s="6" t="str">
        <f t="shared" si="20"/>
        <v>Q4-2024</v>
      </c>
      <c r="G183" t="s">
        <v>647</v>
      </c>
      <c r="H183" t="s">
        <v>659</v>
      </c>
      <c r="I183" t="s">
        <v>699</v>
      </c>
      <c r="J183" t="s">
        <v>706</v>
      </c>
      <c r="K183" t="s">
        <v>711</v>
      </c>
      <c r="L183" t="s">
        <v>717</v>
      </c>
      <c r="M183" t="s">
        <v>730</v>
      </c>
      <c r="N183">
        <f t="shared" si="21"/>
        <v>0.37837706993674364</v>
      </c>
      <c r="O183" t="s">
        <v>915</v>
      </c>
      <c r="P183" s="4">
        <v>1132.6099999999999</v>
      </c>
      <c r="Q183" s="4">
        <v>2206.63</v>
      </c>
      <c r="R183" s="4" t="str">
        <f t="shared" si="22"/>
        <v>Profit</v>
      </c>
      <c r="S183">
        <v>6.3E-2</v>
      </c>
      <c r="T183" s="4">
        <v>20</v>
      </c>
      <c r="U183">
        <f t="shared" si="23"/>
        <v>41352.246200000009</v>
      </c>
      <c r="V183">
        <f t="shared" si="24"/>
        <v>22652.199999999997</v>
      </c>
      <c r="W183">
        <f t="shared" si="25"/>
        <v>18700.046200000012</v>
      </c>
      <c r="X183">
        <f t="shared" si="26"/>
        <v>0.45221355351671338</v>
      </c>
    </row>
    <row r="184" spans="1:24" x14ac:dyDescent="0.25">
      <c r="A184" t="s">
        <v>197</v>
      </c>
      <c r="B184" s="13">
        <v>45690</v>
      </c>
      <c r="C184" s="8">
        <v>45720</v>
      </c>
      <c r="D184" s="8">
        <f t="shared" si="18"/>
        <v>45720</v>
      </c>
      <c r="E184" s="6">
        <f t="shared" si="19"/>
        <v>30</v>
      </c>
      <c r="F184" s="6" t="str">
        <f t="shared" si="20"/>
        <v>Q1-2025</v>
      </c>
      <c r="G184" t="s">
        <v>647</v>
      </c>
      <c r="H184" t="s">
        <v>652</v>
      </c>
      <c r="I184" t="s">
        <v>666</v>
      </c>
      <c r="J184" t="s">
        <v>702</v>
      </c>
      <c r="K184" t="s">
        <v>710</v>
      </c>
      <c r="L184" t="s">
        <v>716</v>
      </c>
      <c r="M184" t="s">
        <v>733</v>
      </c>
      <c r="N184">
        <f t="shared" si="21"/>
        <v>7.0359269400159269E-2</v>
      </c>
      <c r="O184" t="s">
        <v>916</v>
      </c>
      <c r="P184" s="4">
        <v>766.59</v>
      </c>
      <c r="Q184" s="4">
        <v>1912.8</v>
      </c>
      <c r="R184" s="4" t="str">
        <f t="shared" si="22"/>
        <v>Profit</v>
      </c>
      <c r="S184">
        <v>0.19600000000000001</v>
      </c>
      <c r="T184" s="4">
        <v>5</v>
      </c>
      <c r="U184">
        <f t="shared" si="23"/>
        <v>7689.4560000000001</v>
      </c>
      <c r="V184">
        <f t="shared" si="24"/>
        <v>3832.9500000000003</v>
      </c>
      <c r="W184">
        <f t="shared" si="25"/>
        <v>3856.5059999999999</v>
      </c>
      <c r="X184">
        <f t="shared" si="26"/>
        <v>0.50153170783472845</v>
      </c>
    </row>
    <row r="185" spans="1:24" x14ac:dyDescent="0.25">
      <c r="A185" t="s">
        <v>198</v>
      </c>
      <c r="B185" s="13">
        <v>45157</v>
      </c>
      <c r="C185" s="8">
        <v>45161</v>
      </c>
      <c r="D185" s="8">
        <f t="shared" si="18"/>
        <v>45161</v>
      </c>
      <c r="E185" s="6">
        <f t="shared" si="19"/>
        <v>4</v>
      </c>
      <c r="F185" s="6" t="str">
        <f t="shared" si="20"/>
        <v>Q3-2023</v>
      </c>
      <c r="G185" t="s">
        <v>646</v>
      </c>
      <c r="H185" t="s">
        <v>651</v>
      </c>
      <c r="I185" t="s">
        <v>669</v>
      </c>
      <c r="J185" t="s">
        <v>705</v>
      </c>
      <c r="K185" t="s">
        <v>708</v>
      </c>
      <c r="L185" t="s">
        <v>713</v>
      </c>
      <c r="M185" t="s">
        <v>732</v>
      </c>
      <c r="N185">
        <f t="shared" si="21"/>
        <v>7.9595568055890242E-2</v>
      </c>
      <c r="O185" t="s">
        <v>917</v>
      </c>
      <c r="P185" s="4">
        <v>790.63</v>
      </c>
      <c r="Q185" s="4">
        <v>1382.31</v>
      </c>
      <c r="R185" s="4" t="str">
        <f t="shared" si="22"/>
        <v>Profit</v>
      </c>
      <c r="S185">
        <v>0.10100000000000001</v>
      </c>
      <c r="T185" s="4">
        <v>7</v>
      </c>
      <c r="U185">
        <f t="shared" si="23"/>
        <v>8698.8768300000011</v>
      </c>
      <c r="V185">
        <f t="shared" si="24"/>
        <v>5534.41</v>
      </c>
      <c r="W185">
        <f t="shared" si="25"/>
        <v>3164.4668300000012</v>
      </c>
      <c r="X185">
        <f t="shared" si="26"/>
        <v>0.36377878338116448</v>
      </c>
    </row>
    <row r="186" spans="1:24" x14ac:dyDescent="0.25">
      <c r="A186" t="s">
        <v>199</v>
      </c>
      <c r="B186" s="13">
        <v>45587</v>
      </c>
      <c r="C186" s="8">
        <v>45594</v>
      </c>
      <c r="D186" s="8">
        <f t="shared" si="18"/>
        <v>45594</v>
      </c>
      <c r="E186" s="6">
        <f t="shared" si="19"/>
        <v>7</v>
      </c>
      <c r="F186" s="6" t="str">
        <f t="shared" si="20"/>
        <v>Q4-2024</v>
      </c>
      <c r="G186" t="s">
        <v>646</v>
      </c>
      <c r="H186" t="s">
        <v>651</v>
      </c>
      <c r="I186" t="s">
        <v>663</v>
      </c>
      <c r="J186" t="s">
        <v>706</v>
      </c>
      <c r="K186" t="s">
        <v>710</v>
      </c>
      <c r="L186" t="s">
        <v>724</v>
      </c>
      <c r="M186" t="s">
        <v>732</v>
      </c>
      <c r="N186">
        <f t="shared" si="21"/>
        <v>0.2416416069460029</v>
      </c>
      <c r="O186" t="s">
        <v>918</v>
      </c>
      <c r="P186" s="4">
        <v>1023.06</v>
      </c>
      <c r="Q186" s="4">
        <v>1355.61</v>
      </c>
      <c r="R186" s="4" t="str">
        <f t="shared" si="22"/>
        <v>Profit</v>
      </c>
      <c r="S186">
        <v>0.153</v>
      </c>
      <c r="T186" s="4">
        <v>23</v>
      </c>
      <c r="U186">
        <f t="shared" si="23"/>
        <v>26408.63841</v>
      </c>
      <c r="V186">
        <f t="shared" si="24"/>
        <v>23530.379999999997</v>
      </c>
      <c r="W186">
        <f t="shared" si="25"/>
        <v>2878.2584100000022</v>
      </c>
      <c r="X186">
        <f t="shared" si="26"/>
        <v>0.10898927711888809</v>
      </c>
    </row>
    <row r="187" spans="1:24" x14ac:dyDescent="0.25">
      <c r="A187" t="s">
        <v>200</v>
      </c>
      <c r="B187" s="13">
        <v>45099</v>
      </c>
      <c r="C187" s="8">
        <v>45128</v>
      </c>
      <c r="D187" s="8">
        <f t="shared" si="18"/>
        <v>45128</v>
      </c>
      <c r="E187" s="6">
        <f t="shared" si="19"/>
        <v>29</v>
      </c>
      <c r="F187" s="6" t="str">
        <f t="shared" si="20"/>
        <v>Q2-2023</v>
      </c>
      <c r="G187" t="s">
        <v>649</v>
      </c>
      <c r="H187" t="s">
        <v>657</v>
      </c>
      <c r="I187" t="s">
        <v>679</v>
      </c>
      <c r="J187" t="s">
        <v>701</v>
      </c>
      <c r="K187" t="s">
        <v>707</v>
      </c>
      <c r="L187" t="s">
        <v>713</v>
      </c>
      <c r="M187" t="s">
        <v>733</v>
      </c>
      <c r="N187">
        <f t="shared" si="21"/>
        <v>9.5055143694781075E-2</v>
      </c>
      <c r="O187" t="s">
        <v>919</v>
      </c>
      <c r="P187" s="4">
        <v>734.34</v>
      </c>
      <c r="Q187" s="4">
        <v>887.9</v>
      </c>
      <c r="R187" s="4" t="str">
        <f t="shared" si="22"/>
        <v>Profit</v>
      </c>
      <c r="S187">
        <v>2.5000000000000001E-2</v>
      </c>
      <c r="T187" s="4">
        <v>12</v>
      </c>
      <c r="U187">
        <f t="shared" si="23"/>
        <v>10388.429999999998</v>
      </c>
      <c r="V187">
        <f t="shared" si="24"/>
        <v>8812.08</v>
      </c>
      <c r="W187">
        <f t="shared" si="25"/>
        <v>1576.3499999999985</v>
      </c>
      <c r="X187">
        <f t="shared" si="26"/>
        <v>0.15174092716608753</v>
      </c>
    </row>
    <row r="188" spans="1:24" x14ac:dyDescent="0.25">
      <c r="A188" t="s">
        <v>201</v>
      </c>
      <c r="B188" s="13">
        <v>45670</v>
      </c>
      <c r="C188" s="8">
        <v>45696</v>
      </c>
      <c r="D188" s="8">
        <f t="shared" si="18"/>
        <v>45696</v>
      </c>
      <c r="E188" s="6">
        <f t="shared" si="19"/>
        <v>26</v>
      </c>
      <c r="F188" s="6" t="str">
        <f t="shared" si="20"/>
        <v>Q1-2025</v>
      </c>
      <c r="G188" t="s">
        <v>649</v>
      </c>
      <c r="H188" t="s">
        <v>657</v>
      </c>
      <c r="I188" t="s">
        <v>690</v>
      </c>
      <c r="J188" t="s">
        <v>703</v>
      </c>
      <c r="K188" t="s">
        <v>1422</v>
      </c>
      <c r="L188" t="s">
        <v>718</v>
      </c>
      <c r="M188" t="s">
        <v>732</v>
      </c>
      <c r="N188">
        <f t="shared" si="21"/>
        <v>4.421277951343839E-2</v>
      </c>
      <c r="O188" t="s">
        <v>920</v>
      </c>
      <c r="P188" s="4">
        <v>594.74</v>
      </c>
      <c r="Q188" s="4">
        <v>1020.69</v>
      </c>
      <c r="R188" s="4" t="str">
        <f t="shared" si="22"/>
        <v>Profit</v>
      </c>
      <c r="S188">
        <v>0.21099999999999999</v>
      </c>
      <c r="T188" s="4">
        <v>6</v>
      </c>
      <c r="U188">
        <f t="shared" si="23"/>
        <v>4831.9464600000001</v>
      </c>
      <c r="V188">
        <f t="shared" si="24"/>
        <v>3568.44</v>
      </c>
      <c r="W188">
        <f t="shared" si="25"/>
        <v>1263.5064600000001</v>
      </c>
      <c r="X188">
        <f t="shared" si="26"/>
        <v>0.26149016146176424</v>
      </c>
    </row>
    <row r="189" spans="1:24" x14ac:dyDescent="0.25">
      <c r="A189" t="s">
        <v>144</v>
      </c>
      <c r="B189" s="13">
        <v>44955</v>
      </c>
      <c r="C189" s="8">
        <v>44985</v>
      </c>
      <c r="D189" s="8">
        <f t="shared" si="18"/>
        <v>44985</v>
      </c>
      <c r="E189" s="6">
        <f t="shared" si="19"/>
        <v>30</v>
      </c>
      <c r="F189" s="6" t="str">
        <f t="shared" si="20"/>
        <v>Q1-2023</v>
      </c>
      <c r="G189" t="s">
        <v>647</v>
      </c>
      <c r="H189" t="s">
        <v>654</v>
      </c>
      <c r="I189" t="s">
        <v>668</v>
      </c>
      <c r="J189" t="s">
        <v>703</v>
      </c>
      <c r="K189" t="s">
        <v>707</v>
      </c>
      <c r="L189" t="s">
        <v>717</v>
      </c>
      <c r="M189" t="s">
        <v>733</v>
      </c>
      <c r="N189">
        <f t="shared" si="21"/>
        <v>0.24485008247119586</v>
      </c>
      <c r="O189" t="s">
        <v>921</v>
      </c>
      <c r="P189" s="4">
        <v>1262.0999999999999</v>
      </c>
      <c r="Q189" s="4">
        <v>1395.53</v>
      </c>
      <c r="R189" s="4" t="str">
        <f t="shared" si="22"/>
        <v>Profit</v>
      </c>
      <c r="S189">
        <v>0.23300000000000001</v>
      </c>
      <c r="T189" s="4">
        <v>25</v>
      </c>
      <c r="U189">
        <f t="shared" si="23"/>
        <v>26759.28775</v>
      </c>
      <c r="V189">
        <f t="shared" si="24"/>
        <v>31552.499999999996</v>
      </c>
      <c r="W189">
        <f t="shared" si="25"/>
        <v>-4793.2122499999969</v>
      </c>
      <c r="X189">
        <f t="shared" si="26"/>
        <v>-0.17912331205452198</v>
      </c>
    </row>
    <row r="190" spans="1:24" x14ac:dyDescent="0.25">
      <c r="A190" t="s">
        <v>202</v>
      </c>
      <c r="B190" s="13">
        <v>45126</v>
      </c>
      <c r="C190" s="8">
        <v>45138</v>
      </c>
      <c r="D190" s="8">
        <f t="shared" si="18"/>
        <v>45138</v>
      </c>
      <c r="E190" s="6">
        <f t="shared" si="19"/>
        <v>12</v>
      </c>
      <c r="F190" s="6" t="str">
        <f t="shared" si="20"/>
        <v>Q3-2023</v>
      </c>
      <c r="G190" t="s">
        <v>648</v>
      </c>
      <c r="H190" t="s">
        <v>655</v>
      </c>
      <c r="I190" t="s">
        <v>692</v>
      </c>
      <c r="J190" t="s">
        <v>701</v>
      </c>
      <c r="K190" t="s">
        <v>707</v>
      </c>
      <c r="L190" t="s">
        <v>712</v>
      </c>
      <c r="M190" t="s">
        <v>732</v>
      </c>
      <c r="N190">
        <f t="shared" si="21"/>
        <v>0.25686326706595897</v>
      </c>
      <c r="O190" t="s">
        <v>922</v>
      </c>
      <c r="P190" s="4">
        <v>1334.64</v>
      </c>
      <c r="Q190" s="4">
        <v>2273.42</v>
      </c>
      <c r="R190" s="4" t="str">
        <f t="shared" si="22"/>
        <v>Profit</v>
      </c>
      <c r="S190">
        <v>0.11799999999999999</v>
      </c>
      <c r="T190" s="4">
        <v>14</v>
      </c>
      <c r="U190">
        <f t="shared" si="23"/>
        <v>28072.190160000002</v>
      </c>
      <c r="V190">
        <f t="shared" si="24"/>
        <v>18684.960000000003</v>
      </c>
      <c r="W190">
        <f t="shared" si="25"/>
        <v>9387.2301599999992</v>
      </c>
      <c r="X190">
        <f t="shared" si="26"/>
        <v>0.33439607335575267</v>
      </c>
    </row>
    <row r="191" spans="1:24" x14ac:dyDescent="0.25">
      <c r="A191" t="s">
        <v>203</v>
      </c>
      <c r="B191" s="13">
        <v>45431</v>
      </c>
      <c r="C191" s="8">
        <v>45451</v>
      </c>
      <c r="D191" s="8">
        <f t="shared" si="18"/>
        <v>45451</v>
      </c>
      <c r="E191" s="6">
        <f t="shared" si="19"/>
        <v>20</v>
      </c>
      <c r="F191" s="6" t="str">
        <f t="shared" si="20"/>
        <v>Q2-2024</v>
      </c>
      <c r="G191" t="s">
        <v>648</v>
      </c>
      <c r="H191" t="s">
        <v>655</v>
      </c>
      <c r="I191" t="s">
        <v>672</v>
      </c>
      <c r="J191" t="s">
        <v>705</v>
      </c>
      <c r="K191" t="s">
        <v>707</v>
      </c>
      <c r="L191" t="s">
        <v>718</v>
      </c>
      <c r="M191" t="s">
        <v>732</v>
      </c>
      <c r="N191">
        <f t="shared" si="21"/>
        <v>7.860582556335334E-2</v>
      </c>
      <c r="O191" t="s">
        <v>923</v>
      </c>
      <c r="P191" s="4">
        <v>1075.9000000000001</v>
      </c>
      <c r="Q191" s="4">
        <v>1242.1500000000001</v>
      </c>
      <c r="R191" s="4" t="str">
        <f t="shared" si="22"/>
        <v>Profit</v>
      </c>
      <c r="S191">
        <v>1.2E-2</v>
      </c>
      <c r="T191" s="4">
        <v>7</v>
      </c>
      <c r="U191">
        <f t="shared" si="23"/>
        <v>8590.7094000000016</v>
      </c>
      <c r="V191">
        <f t="shared" si="24"/>
        <v>7531.3000000000011</v>
      </c>
      <c r="W191">
        <f t="shared" si="25"/>
        <v>1059.4094000000005</v>
      </c>
      <c r="X191">
        <f t="shared" si="26"/>
        <v>0.12332036280961853</v>
      </c>
    </row>
    <row r="192" spans="1:24" x14ac:dyDescent="0.25">
      <c r="A192" t="s">
        <v>204</v>
      </c>
      <c r="B192" s="13">
        <v>45325</v>
      </c>
      <c r="C192" s="8">
        <v>45341</v>
      </c>
      <c r="D192" s="8">
        <f t="shared" si="18"/>
        <v>45341</v>
      </c>
      <c r="E192" s="6">
        <f t="shared" si="19"/>
        <v>16</v>
      </c>
      <c r="F192" s="6" t="str">
        <f t="shared" si="20"/>
        <v>Q1-2024</v>
      </c>
      <c r="G192" t="s">
        <v>647</v>
      </c>
      <c r="H192" t="s">
        <v>659</v>
      </c>
      <c r="I192" t="s">
        <v>676</v>
      </c>
      <c r="J192" t="s">
        <v>705</v>
      </c>
      <c r="K192" t="s">
        <v>708</v>
      </c>
      <c r="L192" t="s">
        <v>722</v>
      </c>
      <c r="M192" t="s">
        <v>731</v>
      </c>
      <c r="N192">
        <f t="shared" si="21"/>
        <v>0.17882012297506117</v>
      </c>
      <c r="O192" t="s">
        <v>924</v>
      </c>
      <c r="P192" s="4">
        <v>993.75</v>
      </c>
      <c r="Q192" s="4">
        <v>1310.29</v>
      </c>
      <c r="R192" s="4" t="str">
        <f t="shared" si="22"/>
        <v>Profit</v>
      </c>
      <c r="S192">
        <v>0.215</v>
      </c>
      <c r="T192" s="4">
        <v>19</v>
      </c>
      <c r="U192">
        <f t="shared" si="23"/>
        <v>19542.975350000001</v>
      </c>
      <c r="V192">
        <f t="shared" si="24"/>
        <v>18881.25</v>
      </c>
      <c r="W192">
        <f t="shared" si="25"/>
        <v>661.72535000000062</v>
      </c>
      <c r="X192">
        <f t="shared" si="26"/>
        <v>3.3860010471742245E-2</v>
      </c>
    </row>
    <row r="193" spans="1:24" x14ac:dyDescent="0.25">
      <c r="A193" t="s">
        <v>205</v>
      </c>
      <c r="B193" s="13">
        <v>45146</v>
      </c>
      <c r="C193" s="8">
        <v>45160</v>
      </c>
      <c r="D193" s="8">
        <f t="shared" si="18"/>
        <v>45160</v>
      </c>
      <c r="E193" s="6">
        <f t="shared" si="19"/>
        <v>14</v>
      </c>
      <c r="F193" s="6" t="str">
        <f t="shared" si="20"/>
        <v>Q3-2023</v>
      </c>
      <c r="G193" t="s">
        <v>649</v>
      </c>
      <c r="H193" t="s">
        <v>658</v>
      </c>
      <c r="I193" t="s">
        <v>674</v>
      </c>
      <c r="J193" t="s">
        <v>703</v>
      </c>
      <c r="K193" t="s">
        <v>711</v>
      </c>
      <c r="L193" t="s">
        <v>725</v>
      </c>
      <c r="M193" t="s">
        <v>732</v>
      </c>
      <c r="N193">
        <f t="shared" si="21"/>
        <v>8.0184909068388557E-2</v>
      </c>
      <c r="O193" t="s">
        <v>925</v>
      </c>
      <c r="P193" s="4">
        <v>446.69</v>
      </c>
      <c r="Q193" s="4">
        <v>967.25</v>
      </c>
      <c r="R193" s="4" t="str">
        <f t="shared" si="22"/>
        <v>Profit</v>
      </c>
      <c r="S193">
        <v>9.4E-2</v>
      </c>
      <c r="T193" s="4">
        <v>10</v>
      </c>
      <c r="U193">
        <f t="shared" si="23"/>
        <v>8763.2849999999999</v>
      </c>
      <c r="V193">
        <f t="shared" si="24"/>
        <v>4466.8999999999996</v>
      </c>
      <c r="W193">
        <f t="shared" si="25"/>
        <v>4296.3850000000002</v>
      </c>
      <c r="X193">
        <f t="shared" si="26"/>
        <v>0.49027105702941309</v>
      </c>
    </row>
    <row r="194" spans="1:24" x14ac:dyDescent="0.25">
      <c r="A194" t="s">
        <v>206</v>
      </c>
      <c r="B194" s="13">
        <v>45516</v>
      </c>
      <c r="C194" s="8">
        <v>45538</v>
      </c>
      <c r="D194" s="8">
        <f t="shared" si="18"/>
        <v>45538</v>
      </c>
      <c r="E194" s="6">
        <f t="shared" si="19"/>
        <v>22</v>
      </c>
      <c r="F194" s="6" t="str">
        <f t="shared" si="20"/>
        <v>Q3-2024</v>
      </c>
      <c r="G194" t="s">
        <v>648</v>
      </c>
      <c r="H194" t="s">
        <v>660</v>
      </c>
      <c r="I194" t="s">
        <v>697</v>
      </c>
      <c r="J194" t="s">
        <v>704</v>
      </c>
      <c r="K194" t="s">
        <v>710</v>
      </c>
      <c r="L194" t="s">
        <v>714</v>
      </c>
      <c r="M194" t="s">
        <v>731</v>
      </c>
      <c r="N194">
        <f t="shared" si="21"/>
        <v>0.22302991104723963</v>
      </c>
      <c r="O194" t="s">
        <v>926</v>
      </c>
      <c r="P194" s="4">
        <v>797.8</v>
      </c>
      <c r="Q194" s="4">
        <v>886.22</v>
      </c>
      <c r="R194" s="4" t="str">
        <f t="shared" si="22"/>
        <v>Profit</v>
      </c>
      <c r="S194">
        <v>0.23599999999999999</v>
      </c>
      <c r="T194" s="4">
        <v>36</v>
      </c>
      <c r="U194">
        <f t="shared" si="23"/>
        <v>24374.594880000001</v>
      </c>
      <c r="V194">
        <f t="shared" si="24"/>
        <v>28720.799999999999</v>
      </c>
      <c r="W194">
        <f t="shared" si="25"/>
        <v>-4346.2051199999987</v>
      </c>
      <c r="X194">
        <f t="shared" si="26"/>
        <v>-0.17830881462428633</v>
      </c>
    </row>
    <row r="195" spans="1:24" x14ac:dyDescent="0.25">
      <c r="A195" t="s">
        <v>207</v>
      </c>
      <c r="B195" s="13">
        <v>45214</v>
      </c>
      <c r="C195" s="8">
        <v>45243</v>
      </c>
      <c r="D195" s="8">
        <f t="shared" ref="D195:D258" si="27">IF(B195&gt;C195, B195+7, C195)</f>
        <v>45243</v>
      </c>
      <c r="E195" s="6">
        <f t="shared" ref="E195:E258" si="28">(D195-B195)</f>
        <v>29</v>
      </c>
      <c r="F195" s="6" t="str">
        <f t="shared" ref="F195:F258" si="29">"Q"&amp;ROUNDUP(MONTH(B195)/3,0)&amp;"-"&amp;YEAR(B195)</f>
        <v>Q4-2023</v>
      </c>
      <c r="G195" t="s">
        <v>647</v>
      </c>
      <c r="H195" t="s">
        <v>659</v>
      </c>
      <c r="I195" t="s">
        <v>676</v>
      </c>
      <c r="J195" t="s">
        <v>703</v>
      </c>
      <c r="K195" t="s">
        <v>710</v>
      </c>
      <c r="L195" t="s">
        <v>713</v>
      </c>
      <c r="M195" t="s">
        <v>728</v>
      </c>
      <c r="N195">
        <f t="shared" ref="N195:N258" si="30">(U195/$U$634)*100</f>
        <v>4.0279793440160243E-2</v>
      </c>
      <c r="O195" t="s">
        <v>927</v>
      </c>
      <c r="P195" s="4">
        <v>986.44</v>
      </c>
      <c r="Q195" s="4">
        <v>790.61</v>
      </c>
      <c r="R195" s="4" t="str">
        <f t="shared" ref="R195:R258" si="31">IF(Q195&gt;P195, "Profit", IF(Q195&lt;P195, "Loss"))</f>
        <v>Loss</v>
      </c>
      <c r="S195">
        <v>7.1999999999999995E-2</v>
      </c>
      <c r="T195" s="4">
        <v>6</v>
      </c>
      <c r="U195">
        <f t="shared" ref="U195:U258" si="32">Q195*T195*(1-S195)</f>
        <v>4402.1164799999997</v>
      </c>
      <c r="V195">
        <f t="shared" ref="V195:V258" si="33">P195*T195</f>
        <v>5918.64</v>
      </c>
      <c r="W195">
        <f t="shared" ref="W195:W258" si="34">U195-V195</f>
        <v>-1516.5235200000006</v>
      </c>
      <c r="X195">
        <f t="shared" ref="X195:X258" si="35">IF(U195=0, 0, W195/U195)</f>
        <v>-0.34449872621271499</v>
      </c>
    </row>
    <row r="196" spans="1:24" x14ac:dyDescent="0.25">
      <c r="A196" t="s">
        <v>208</v>
      </c>
      <c r="B196" s="13">
        <v>45050</v>
      </c>
      <c r="C196" s="8">
        <v>45072</v>
      </c>
      <c r="D196" s="8">
        <f t="shared" si="27"/>
        <v>45072</v>
      </c>
      <c r="E196" s="6">
        <f t="shared" si="28"/>
        <v>22</v>
      </c>
      <c r="F196" s="6" t="str">
        <f t="shared" si="29"/>
        <v>Q2-2023</v>
      </c>
      <c r="G196" t="s">
        <v>648</v>
      </c>
      <c r="H196" t="s">
        <v>660</v>
      </c>
      <c r="I196" t="s">
        <v>686</v>
      </c>
      <c r="J196" t="s">
        <v>706</v>
      </c>
      <c r="K196" t="s">
        <v>708</v>
      </c>
      <c r="L196" t="s">
        <v>713</v>
      </c>
      <c r="M196" t="s">
        <v>729</v>
      </c>
      <c r="N196">
        <f t="shared" si="30"/>
        <v>3.5945056430516417E-2</v>
      </c>
      <c r="O196" t="s">
        <v>928</v>
      </c>
      <c r="P196" s="4">
        <v>249.71</v>
      </c>
      <c r="Q196" s="4">
        <v>361.33</v>
      </c>
      <c r="R196" s="4" t="str">
        <f t="shared" si="31"/>
        <v>Profit</v>
      </c>
      <c r="S196">
        <v>9.4E-2</v>
      </c>
      <c r="T196" s="4">
        <v>12</v>
      </c>
      <c r="U196">
        <f t="shared" si="32"/>
        <v>3928.3797600000003</v>
      </c>
      <c r="V196">
        <f t="shared" si="33"/>
        <v>2996.52</v>
      </c>
      <c r="W196">
        <f t="shared" si="34"/>
        <v>931.85976000000028</v>
      </c>
      <c r="X196">
        <f t="shared" si="35"/>
        <v>0.23721223937881206</v>
      </c>
    </row>
    <row r="197" spans="1:24" x14ac:dyDescent="0.25">
      <c r="A197" t="s">
        <v>209</v>
      </c>
      <c r="B197" s="13">
        <v>45557</v>
      </c>
      <c r="C197" s="8">
        <v>45566</v>
      </c>
      <c r="D197" s="8">
        <f t="shared" si="27"/>
        <v>45566</v>
      </c>
      <c r="E197" s="6">
        <f t="shared" si="28"/>
        <v>9</v>
      </c>
      <c r="F197" s="6" t="str">
        <f t="shared" si="29"/>
        <v>Q3-2024</v>
      </c>
      <c r="G197" t="s">
        <v>648</v>
      </c>
      <c r="H197" t="s">
        <v>655</v>
      </c>
      <c r="I197" t="s">
        <v>670</v>
      </c>
      <c r="J197" t="s">
        <v>703</v>
      </c>
      <c r="K197" t="s">
        <v>708</v>
      </c>
      <c r="L197" t="s">
        <v>723</v>
      </c>
      <c r="M197" t="s">
        <v>732</v>
      </c>
      <c r="N197">
        <f t="shared" si="30"/>
        <v>0.28540660165883686</v>
      </c>
      <c r="O197" t="s">
        <v>929</v>
      </c>
      <c r="P197" s="4">
        <v>1378.8</v>
      </c>
      <c r="Q197" s="4">
        <v>1952.04</v>
      </c>
      <c r="R197" s="4" t="str">
        <f t="shared" si="31"/>
        <v>Profit</v>
      </c>
      <c r="S197">
        <v>0.159</v>
      </c>
      <c r="T197" s="4">
        <v>19</v>
      </c>
      <c r="U197">
        <f t="shared" si="32"/>
        <v>31191.64716</v>
      </c>
      <c r="V197">
        <f t="shared" si="33"/>
        <v>26197.200000000001</v>
      </c>
      <c r="W197">
        <f t="shared" si="34"/>
        <v>4994.4471599999997</v>
      </c>
      <c r="X197">
        <f t="shared" si="35"/>
        <v>0.16012130216723058</v>
      </c>
    </row>
    <row r="198" spans="1:24" x14ac:dyDescent="0.25">
      <c r="A198" t="s">
        <v>210</v>
      </c>
      <c r="B198" s="13">
        <v>45588</v>
      </c>
      <c r="C198" s="8">
        <v>45610</v>
      </c>
      <c r="D198" s="8">
        <f t="shared" si="27"/>
        <v>45610</v>
      </c>
      <c r="E198" s="6">
        <f t="shared" si="28"/>
        <v>22</v>
      </c>
      <c r="F198" s="6" t="str">
        <f t="shared" si="29"/>
        <v>Q4-2024</v>
      </c>
      <c r="G198" t="s">
        <v>647</v>
      </c>
      <c r="H198" t="s">
        <v>652</v>
      </c>
      <c r="I198" t="s">
        <v>666</v>
      </c>
      <c r="J198" t="s">
        <v>703</v>
      </c>
      <c r="K198" t="s">
        <v>711</v>
      </c>
      <c r="L198" t="s">
        <v>717</v>
      </c>
      <c r="M198" t="s">
        <v>730</v>
      </c>
      <c r="N198">
        <f t="shared" si="30"/>
        <v>0.198371816771726</v>
      </c>
      <c r="O198" t="s">
        <v>930</v>
      </c>
      <c r="P198" s="4">
        <v>1406.4</v>
      </c>
      <c r="Q198" s="4">
        <v>1564.76</v>
      </c>
      <c r="R198" s="4" t="str">
        <f t="shared" si="31"/>
        <v>Profit</v>
      </c>
      <c r="S198">
        <v>0.185</v>
      </c>
      <c r="T198" s="4">
        <v>17</v>
      </c>
      <c r="U198">
        <f t="shared" si="32"/>
        <v>21679.749799999998</v>
      </c>
      <c r="V198">
        <f t="shared" si="33"/>
        <v>23908.800000000003</v>
      </c>
      <c r="W198">
        <f t="shared" si="34"/>
        <v>-2229.0502000000051</v>
      </c>
      <c r="X198">
        <f t="shared" si="35"/>
        <v>-0.10281715520536151</v>
      </c>
    </row>
    <row r="199" spans="1:24" x14ac:dyDescent="0.25">
      <c r="A199" t="s">
        <v>211</v>
      </c>
      <c r="B199" s="13">
        <v>45333</v>
      </c>
      <c r="C199" s="8">
        <v>45354</v>
      </c>
      <c r="D199" s="8">
        <f t="shared" si="27"/>
        <v>45354</v>
      </c>
      <c r="E199" s="6">
        <f t="shared" si="28"/>
        <v>21</v>
      </c>
      <c r="F199" s="6" t="str">
        <f t="shared" si="29"/>
        <v>Q1-2024</v>
      </c>
      <c r="G199" t="s">
        <v>646</v>
      </c>
      <c r="H199" t="s">
        <v>650</v>
      </c>
      <c r="I199" t="s">
        <v>662</v>
      </c>
      <c r="J199" t="s">
        <v>706</v>
      </c>
      <c r="K199" t="s">
        <v>708</v>
      </c>
      <c r="L199" t="s">
        <v>717</v>
      </c>
      <c r="M199" t="s">
        <v>730</v>
      </c>
      <c r="N199">
        <f t="shared" si="30"/>
        <v>0.1036417452842171</v>
      </c>
      <c r="O199" t="s">
        <v>931</v>
      </c>
      <c r="P199" s="4">
        <v>516.86</v>
      </c>
      <c r="Q199" s="4">
        <v>852.54</v>
      </c>
      <c r="R199" s="4" t="str">
        <f t="shared" si="31"/>
        <v>Profit</v>
      </c>
      <c r="S199">
        <v>5.0999999999999997E-2</v>
      </c>
      <c r="T199" s="4">
        <v>14</v>
      </c>
      <c r="U199">
        <f t="shared" si="32"/>
        <v>11326.846439999999</v>
      </c>
      <c r="V199">
        <f t="shared" si="33"/>
        <v>7236.04</v>
      </c>
      <c r="W199">
        <f t="shared" si="34"/>
        <v>4090.8064399999994</v>
      </c>
      <c r="X199">
        <f t="shared" si="35"/>
        <v>0.36116022775355994</v>
      </c>
    </row>
    <row r="200" spans="1:24" x14ac:dyDescent="0.25">
      <c r="A200" t="s">
        <v>212</v>
      </c>
      <c r="B200" s="13">
        <v>44956</v>
      </c>
      <c r="C200" s="8">
        <v>44978</v>
      </c>
      <c r="D200" s="8">
        <f t="shared" si="27"/>
        <v>44978</v>
      </c>
      <c r="E200" s="6">
        <f t="shared" si="28"/>
        <v>22</v>
      </c>
      <c r="F200" s="6" t="str">
        <f t="shared" si="29"/>
        <v>Q1-2023</v>
      </c>
      <c r="G200" t="s">
        <v>649</v>
      </c>
      <c r="H200" t="s">
        <v>656</v>
      </c>
      <c r="I200" t="s">
        <v>684</v>
      </c>
      <c r="J200" t="s">
        <v>705</v>
      </c>
      <c r="K200" t="s">
        <v>709</v>
      </c>
      <c r="L200" t="s">
        <v>715</v>
      </c>
      <c r="M200" t="s">
        <v>729</v>
      </c>
      <c r="N200">
        <f t="shared" si="30"/>
        <v>7.6396196236850802E-2</v>
      </c>
      <c r="O200" t="s">
        <v>932</v>
      </c>
      <c r="P200" s="4">
        <v>1142.8800000000001</v>
      </c>
      <c r="Q200" s="4">
        <v>1465.29</v>
      </c>
      <c r="R200" s="4" t="str">
        <f t="shared" si="31"/>
        <v>Profit</v>
      </c>
      <c r="S200">
        <v>0.186</v>
      </c>
      <c r="T200" s="4">
        <v>7</v>
      </c>
      <c r="U200">
        <f t="shared" si="32"/>
        <v>8349.2224200000001</v>
      </c>
      <c r="V200">
        <f t="shared" si="33"/>
        <v>8000.1600000000008</v>
      </c>
      <c r="W200">
        <f t="shared" si="34"/>
        <v>349.06241999999929</v>
      </c>
      <c r="X200">
        <f t="shared" si="35"/>
        <v>4.1807775915017401E-2</v>
      </c>
    </row>
    <row r="201" spans="1:24" x14ac:dyDescent="0.25">
      <c r="A201" t="s">
        <v>213</v>
      </c>
      <c r="B201" s="13">
        <v>45030</v>
      </c>
      <c r="C201" s="8">
        <v>45059</v>
      </c>
      <c r="D201" s="8">
        <f t="shared" si="27"/>
        <v>45059</v>
      </c>
      <c r="E201" s="6">
        <f t="shared" si="28"/>
        <v>29</v>
      </c>
      <c r="F201" s="6" t="str">
        <f t="shared" si="29"/>
        <v>Q2-2023</v>
      </c>
      <c r="G201" t="s">
        <v>649</v>
      </c>
      <c r="H201" t="s">
        <v>656</v>
      </c>
      <c r="I201" t="s">
        <v>698</v>
      </c>
      <c r="J201" t="s">
        <v>704</v>
      </c>
      <c r="K201" t="s">
        <v>711</v>
      </c>
      <c r="L201" t="s">
        <v>713</v>
      </c>
      <c r="M201" t="s">
        <v>728</v>
      </c>
      <c r="N201">
        <f t="shared" si="30"/>
        <v>0.51131185487991249</v>
      </c>
      <c r="O201" t="s">
        <v>933</v>
      </c>
      <c r="P201" s="4">
        <v>1320.33</v>
      </c>
      <c r="Q201" s="4">
        <v>2645.23</v>
      </c>
      <c r="R201" s="4" t="str">
        <f t="shared" si="31"/>
        <v>Profit</v>
      </c>
      <c r="S201">
        <v>0.155</v>
      </c>
      <c r="T201" s="4">
        <v>25</v>
      </c>
      <c r="U201">
        <f t="shared" si="32"/>
        <v>55880.483749999999</v>
      </c>
      <c r="V201">
        <f t="shared" si="33"/>
        <v>33008.25</v>
      </c>
      <c r="W201">
        <f t="shared" si="34"/>
        <v>22872.233749999999</v>
      </c>
      <c r="X201">
        <f t="shared" si="35"/>
        <v>0.40930629470436536</v>
      </c>
    </row>
    <row r="202" spans="1:24" x14ac:dyDescent="0.25">
      <c r="A202" t="s">
        <v>214</v>
      </c>
      <c r="B202" s="13">
        <v>44939</v>
      </c>
      <c r="C202" s="8">
        <v>44945</v>
      </c>
      <c r="D202" s="8">
        <f t="shared" si="27"/>
        <v>44945</v>
      </c>
      <c r="E202" s="6">
        <f t="shared" si="28"/>
        <v>6</v>
      </c>
      <c r="F202" s="6" t="str">
        <f t="shared" si="29"/>
        <v>Q1-2023</v>
      </c>
      <c r="G202" t="s">
        <v>648</v>
      </c>
      <c r="H202" t="s">
        <v>660</v>
      </c>
      <c r="I202" t="s">
        <v>677</v>
      </c>
      <c r="J202" t="s">
        <v>701</v>
      </c>
      <c r="K202" t="s">
        <v>711</v>
      </c>
      <c r="L202" t="s">
        <v>722</v>
      </c>
      <c r="M202" t="s">
        <v>730</v>
      </c>
      <c r="N202">
        <f t="shared" si="30"/>
        <v>0.13691994166783975</v>
      </c>
      <c r="O202" t="s">
        <v>934</v>
      </c>
      <c r="P202" s="4">
        <v>833.57</v>
      </c>
      <c r="Q202" s="4">
        <v>881.57</v>
      </c>
      <c r="R202" s="4" t="str">
        <f t="shared" si="31"/>
        <v>Profit</v>
      </c>
      <c r="S202">
        <v>5.7000000000000002E-2</v>
      </c>
      <c r="T202" s="4">
        <v>18</v>
      </c>
      <c r="U202">
        <f t="shared" si="32"/>
        <v>14963.769179999999</v>
      </c>
      <c r="V202">
        <f t="shared" si="33"/>
        <v>15004.26</v>
      </c>
      <c r="W202">
        <f t="shared" si="34"/>
        <v>-40.490820000000895</v>
      </c>
      <c r="X202">
        <f t="shared" si="35"/>
        <v>-2.7059238560107821E-3</v>
      </c>
    </row>
    <row r="203" spans="1:24" x14ac:dyDescent="0.25">
      <c r="A203" t="s">
        <v>215</v>
      </c>
      <c r="B203" s="13">
        <v>45303</v>
      </c>
      <c r="C203" s="8">
        <v>45320</v>
      </c>
      <c r="D203" s="8">
        <f t="shared" si="27"/>
        <v>45320</v>
      </c>
      <c r="E203" s="6">
        <f t="shared" si="28"/>
        <v>17</v>
      </c>
      <c r="F203" s="6" t="str">
        <f t="shared" si="29"/>
        <v>Q1-2024</v>
      </c>
      <c r="G203" t="s">
        <v>648</v>
      </c>
      <c r="H203" t="s">
        <v>660</v>
      </c>
      <c r="I203" t="s">
        <v>677</v>
      </c>
      <c r="J203" t="s">
        <v>702</v>
      </c>
      <c r="K203" t="s">
        <v>710</v>
      </c>
      <c r="L203" t="s">
        <v>720</v>
      </c>
      <c r="M203" t="s">
        <v>728</v>
      </c>
      <c r="N203">
        <f t="shared" si="30"/>
        <v>4.2436291263568793E-2</v>
      </c>
      <c r="O203" t="s">
        <v>935</v>
      </c>
      <c r="P203" s="4">
        <v>493.76</v>
      </c>
      <c r="Q203" s="4">
        <v>625.04</v>
      </c>
      <c r="R203" s="4" t="str">
        <f t="shared" si="31"/>
        <v>Profit</v>
      </c>
      <c r="S203">
        <v>0.25800000000000001</v>
      </c>
      <c r="T203" s="4">
        <v>10</v>
      </c>
      <c r="U203">
        <f t="shared" si="32"/>
        <v>4637.7968000000001</v>
      </c>
      <c r="V203">
        <f t="shared" si="33"/>
        <v>4937.6000000000004</v>
      </c>
      <c r="W203">
        <f t="shared" si="34"/>
        <v>-299.80320000000029</v>
      </c>
      <c r="X203">
        <f t="shared" si="35"/>
        <v>-6.464345311549663E-2</v>
      </c>
    </row>
    <row r="204" spans="1:24" x14ac:dyDescent="0.25">
      <c r="A204" t="s">
        <v>216</v>
      </c>
      <c r="B204" s="13">
        <v>45153</v>
      </c>
      <c r="C204" s="8">
        <v>45176</v>
      </c>
      <c r="D204" s="8">
        <f t="shared" si="27"/>
        <v>45176</v>
      </c>
      <c r="E204" s="6">
        <f t="shared" si="28"/>
        <v>23</v>
      </c>
      <c r="F204" s="6" t="str">
        <f t="shared" si="29"/>
        <v>Q3-2023</v>
      </c>
      <c r="G204" t="s">
        <v>648</v>
      </c>
      <c r="H204" t="s">
        <v>660</v>
      </c>
      <c r="I204" t="s">
        <v>700</v>
      </c>
      <c r="J204" t="s">
        <v>706</v>
      </c>
      <c r="K204" t="s">
        <v>708</v>
      </c>
      <c r="L204" t="s">
        <v>723</v>
      </c>
      <c r="M204" t="s">
        <v>730</v>
      </c>
      <c r="N204">
        <f t="shared" si="30"/>
        <v>0.23148867370141732</v>
      </c>
      <c r="O204" t="s">
        <v>936</v>
      </c>
      <c r="P204" s="4">
        <v>590.33000000000004</v>
      </c>
      <c r="Q204" s="4">
        <v>973.04</v>
      </c>
      <c r="R204" s="4" t="str">
        <f t="shared" si="31"/>
        <v>Profit</v>
      </c>
      <c r="S204">
        <v>0</v>
      </c>
      <c r="T204" s="4">
        <v>26</v>
      </c>
      <c r="U204">
        <f t="shared" si="32"/>
        <v>25299.040000000001</v>
      </c>
      <c r="V204">
        <f t="shared" si="33"/>
        <v>15348.580000000002</v>
      </c>
      <c r="W204">
        <f t="shared" si="34"/>
        <v>9950.4599999999991</v>
      </c>
      <c r="X204">
        <f t="shared" si="35"/>
        <v>0.39331373838691108</v>
      </c>
    </row>
    <row r="205" spans="1:24" x14ac:dyDescent="0.25">
      <c r="A205" t="s">
        <v>217</v>
      </c>
      <c r="B205" s="13">
        <v>44946</v>
      </c>
      <c r="C205" s="8">
        <v>44960</v>
      </c>
      <c r="D205" s="8">
        <f t="shared" si="27"/>
        <v>44960</v>
      </c>
      <c r="E205" s="6">
        <f t="shared" si="28"/>
        <v>14</v>
      </c>
      <c r="F205" s="6" t="str">
        <f t="shared" si="29"/>
        <v>Q1-2023</v>
      </c>
      <c r="G205" t="s">
        <v>646</v>
      </c>
      <c r="H205" t="s">
        <v>650</v>
      </c>
      <c r="I205" t="s">
        <v>662</v>
      </c>
      <c r="J205" t="s">
        <v>701</v>
      </c>
      <c r="K205" t="s">
        <v>707</v>
      </c>
      <c r="L205" t="s">
        <v>724</v>
      </c>
      <c r="M205" t="s">
        <v>729</v>
      </c>
      <c r="N205">
        <f t="shared" si="30"/>
        <v>0.43886352524482553</v>
      </c>
      <c r="O205" t="s">
        <v>937</v>
      </c>
      <c r="P205" s="4">
        <v>884.36</v>
      </c>
      <c r="Q205" s="4">
        <v>1545.34</v>
      </c>
      <c r="R205" s="4" t="str">
        <f t="shared" si="31"/>
        <v>Profit</v>
      </c>
      <c r="S205">
        <v>0.24299999999999999</v>
      </c>
      <c r="T205" s="4">
        <v>41</v>
      </c>
      <c r="U205">
        <f t="shared" si="32"/>
        <v>47962.717579999997</v>
      </c>
      <c r="V205">
        <f t="shared" si="33"/>
        <v>36258.76</v>
      </c>
      <c r="W205">
        <f t="shared" si="34"/>
        <v>11703.957579999995</v>
      </c>
      <c r="X205">
        <f t="shared" si="35"/>
        <v>0.24402198562827965</v>
      </c>
    </row>
    <row r="206" spans="1:24" x14ac:dyDescent="0.25">
      <c r="A206" t="s">
        <v>218</v>
      </c>
      <c r="B206" s="13">
        <v>45692</v>
      </c>
      <c r="C206" s="8">
        <v>45713</v>
      </c>
      <c r="D206" s="8">
        <f t="shared" si="27"/>
        <v>45713</v>
      </c>
      <c r="E206" s="6">
        <f t="shared" si="28"/>
        <v>21</v>
      </c>
      <c r="F206" s="6" t="str">
        <f t="shared" si="29"/>
        <v>Q1-2025</v>
      </c>
      <c r="G206" t="s">
        <v>649</v>
      </c>
      <c r="H206" t="s">
        <v>658</v>
      </c>
      <c r="I206" t="s">
        <v>674</v>
      </c>
      <c r="J206" t="s">
        <v>701</v>
      </c>
      <c r="K206" t="s">
        <v>709</v>
      </c>
      <c r="L206" t="s">
        <v>726</v>
      </c>
      <c r="M206" t="s">
        <v>732</v>
      </c>
      <c r="N206">
        <f t="shared" si="30"/>
        <v>0.2338195950686702</v>
      </c>
      <c r="O206" t="s">
        <v>938</v>
      </c>
      <c r="P206" s="4">
        <v>1016.32</v>
      </c>
      <c r="Q206" s="4">
        <v>2253.42</v>
      </c>
      <c r="R206" s="4" t="str">
        <f t="shared" si="31"/>
        <v>Profit</v>
      </c>
      <c r="S206">
        <v>5.5E-2</v>
      </c>
      <c r="T206" s="4">
        <v>12</v>
      </c>
      <c r="U206">
        <f t="shared" si="32"/>
        <v>25553.782800000001</v>
      </c>
      <c r="V206">
        <f t="shared" si="33"/>
        <v>12195.84</v>
      </c>
      <c r="W206">
        <f t="shared" si="34"/>
        <v>13357.942800000001</v>
      </c>
      <c r="X206">
        <f t="shared" si="35"/>
        <v>0.52273837124419797</v>
      </c>
    </row>
    <row r="207" spans="1:24" x14ac:dyDescent="0.25">
      <c r="A207" t="s">
        <v>219</v>
      </c>
      <c r="B207" s="13">
        <v>45035</v>
      </c>
      <c r="C207" s="8">
        <v>45044</v>
      </c>
      <c r="D207" s="8">
        <f t="shared" si="27"/>
        <v>45044</v>
      </c>
      <c r="E207" s="6">
        <f t="shared" si="28"/>
        <v>9</v>
      </c>
      <c r="F207" s="6" t="str">
        <f t="shared" si="29"/>
        <v>Q2-2023</v>
      </c>
      <c r="G207" t="s">
        <v>649</v>
      </c>
      <c r="H207" t="s">
        <v>656</v>
      </c>
      <c r="I207" t="s">
        <v>671</v>
      </c>
      <c r="J207" t="s">
        <v>702</v>
      </c>
      <c r="K207" t="s">
        <v>708</v>
      </c>
      <c r="L207" t="s">
        <v>718</v>
      </c>
      <c r="M207" t="s">
        <v>732</v>
      </c>
      <c r="N207">
        <f t="shared" si="30"/>
        <v>0.23910766093574953</v>
      </c>
      <c r="O207" t="s">
        <v>939</v>
      </c>
      <c r="P207" s="4">
        <v>1178.42</v>
      </c>
      <c r="Q207" s="4">
        <v>2446.56</v>
      </c>
      <c r="R207" s="4" t="str">
        <f t="shared" si="31"/>
        <v>Profit</v>
      </c>
      <c r="S207">
        <v>2.9000000000000001E-2</v>
      </c>
      <c r="T207" s="4">
        <v>11</v>
      </c>
      <c r="U207">
        <f t="shared" si="32"/>
        <v>26131.70736</v>
      </c>
      <c r="V207">
        <f t="shared" si="33"/>
        <v>12962.62</v>
      </c>
      <c r="W207">
        <f t="shared" si="34"/>
        <v>13169.08736</v>
      </c>
      <c r="X207">
        <f t="shared" si="35"/>
        <v>0.5039505141618883</v>
      </c>
    </row>
    <row r="208" spans="1:24" x14ac:dyDescent="0.25">
      <c r="A208" t="s">
        <v>220</v>
      </c>
      <c r="B208" s="13">
        <v>45109</v>
      </c>
      <c r="C208" s="8">
        <v>45139</v>
      </c>
      <c r="D208" s="8">
        <f t="shared" si="27"/>
        <v>45139</v>
      </c>
      <c r="E208" s="6">
        <f t="shared" si="28"/>
        <v>30</v>
      </c>
      <c r="F208" s="6" t="str">
        <f t="shared" si="29"/>
        <v>Q3-2023</v>
      </c>
      <c r="G208" t="s">
        <v>649</v>
      </c>
      <c r="H208" t="s">
        <v>658</v>
      </c>
      <c r="I208" t="s">
        <v>674</v>
      </c>
      <c r="J208" t="s">
        <v>705</v>
      </c>
      <c r="K208" t="s">
        <v>707</v>
      </c>
      <c r="L208" t="s">
        <v>717</v>
      </c>
      <c r="M208" t="s">
        <v>727</v>
      </c>
      <c r="N208">
        <f t="shared" si="30"/>
        <v>6.1327155436744996E-2</v>
      </c>
      <c r="O208" t="s">
        <v>940</v>
      </c>
      <c r="P208" s="4">
        <v>137.46</v>
      </c>
      <c r="Q208" s="4">
        <v>188.3</v>
      </c>
      <c r="R208" s="4" t="str">
        <f t="shared" si="31"/>
        <v>Profit</v>
      </c>
      <c r="S208">
        <v>3.7999999999999999E-2</v>
      </c>
      <c r="T208" s="4">
        <v>37</v>
      </c>
      <c r="U208">
        <f t="shared" si="32"/>
        <v>6702.3501999999999</v>
      </c>
      <c r="V208">
        <f t="shared" si="33"/>
        <v>5086.0200000000004</v>
      </c>
      <c r="W208">
        <f t="shared" si="34"/>
        <v>1616.3301999999994</v>
      </c>
      <c r="X208">
        <f t="shared" si="35"/>
        <v>0.24115872071262398</v>
      </c>
    </row>
    <row r="209" spans="1:24" x14ac:dyDescent="0.25">
      <c r="A209" t="s">
        <v>221</v>
      </c>
      <c r="B209" s="13">
        <v>45678</v>
      </c>
      <c r="C209" s="8">
        <v>45702</v>
      </c>
      <c r="D209" s="8">
        <f t="shared" si="27"/>
        <v>45702</v>
      </c>
      <c r="E209" s="6">
        <f t="shared" si="28"/>
        <v>24</v>
      </c>
      <c r="F209" s="6" t="str">
        <f t="shared" si="29"/>
        <v>Q1-2025</v>
      </c>
      <c r="G209" t="s">
        <v>646</v>
      </c>
      <c r="H209" t="s">
        <v>650</v>
      </c>
      <c r="I209" t="s">
        <v>664</v>
      </c>
      <c r="J209" t="s">
        <v>705</v>
      </c>
      <c r="K209" t="s">
        <v>707</v>
      </c>
      <c r="L209" t="s">
        <v>713</v>
      </c>
      <c r="M209" t="s">
        <v>733</v>
      </c>
      <c r="N209">
        <f t="shared" si="30"/>
        <v>0.25973480252487929</v>
      </c>
      <c r="O209" t="s">
        <v>941</v>
      </c>
      <c r="P209" s="4">
        <v>1030.44</v>
      </c>
      <c r="Q209" s="4">
        <v>2562.84</v>
      </c>
      <c r="R209" s="4" t="str">
        <f t="shared" si="31"/>
        <v>Profit</v>
      </c>
      <c r="S209">
        <v>0.14799999999999999</v>
      </c>
      <c r="T209" s="4">
        <v>13</v>
      </c>
      <c r="U209">
        <f t="shared" si="32"/>
        <v>28386.015839999996</v>
      </c>
      <c r="V209">
        <f t="shared" si="33"/>
        <v>13395.720000000001</v>
      </c>
      <c r="W209">
        <f t="shared" si="34"/>
        <v>14990.295839999995</v>
      </c>
      <c r="X209">
        <f t="shared" si="35"/>
        <v>0.52808734852027039</v>
      </c>
    </row>
    <row r="210" spans="1:24" x14ac:dyDescent="0.25">
      <c r="A210" t="s">
        <v>222</v>
      </c>
      <c r="B210" s="13">
        <v>45545</v>
      </c>
      <c r="C210" s="8">
        <v>45572</v>
      </c>
      <c r="D210" s="8">
        <f t="shared" si="27"/>
        <v>45572</v>
      </c>
      <c r="E210" s="6">
        <f t="shared" si="28"/>
        <v>27</v>
      </c>
      <c r="F210" s="6" t="str">
        <f t="shared" si="29"/>
        <v>Q3-2024</v>
      </c>
      <c r="G210" t="s">
        <v>646</v>
      </c>
      <c r="H210" t="s">
        <v>650</v>
      </c>
      <c r="I210" t="s">
        <v>662</v>
      </c>
      <c r="J210" t="s">
        <v>704</v>
      </c>
      <c r="K210" t="s">
        <v>707</v>
      </c>
      <c r="L210" t="s">
        <v>716</v>
      </c>
      <c r="M210" t="s">
        <v>728</v>
      </c>
      <c r="N210">
        <f t="shared" si="30"/>
        <v>0.14480394161029606</v>
      </c>
      <c r="O210" t="s">
        <v>942</v>
      </c>
      <c r="P210" s="4">
        <v>1248.3900000000001</v>
      </c>
      <c r="Q210" s="4">
        <v>1805.11</v>
      </c>
      <c r="R210" s="4" t="str">
        <f t="shared" si="31"/>
        <v>Profit</v>
      </c>
      <c r="S210">
        <v>0.20300000000000001</v>
      </c>
      <c r="T210" s="4">
        <v>11</v>
      </c>
      <c r="U210">
        <f t="shared" si="32"/>
        <v>15825.399369999997</v>
      </c>
      <c r="V210">
        <f t="shared" si="33"/>
        <v>13732.29</v>
      </c>
      <c r="W210">
        <f t="shared" si="34"/>
        <v>2093.1093699999965</v>
      </c>
      <c r="X210">
        <f t="shared" si="35"/>
        <v>0.13226265707820786</v>
      </c>
    </row>
    <row r="211" spans="1:24" x14ac:dyDescent="0.25">
      <c r="A211" t="s">
        <v>223</v>
      </c>
      <c r="B211" s="13">
        <v>45859</v>
      </c>
      <c r="C211" s="8">
        <v>45876</v>
      </c>
      <c r="D211" s="8">
        <f t="shared" si="27"/>
        <v>45876</v>
      </c>
      <c r="E211" s="6">
        <f t="shared" si="28"/>
        <v>17</v>
      </c>
      <c r="F211" s="6" t="str">
        <f t="shared" si="29"/>
        <v>Q3-2025</v>
      </c>
      <c r="G211" t="s">
        <v>646</v>
      </c>
      <c r="H211" t="s">
        <v>651</v>
      </c>
      <c r="I211" t="s">
        <v>665</v>
      </c>
      <c r="J211" t="s">
        <v>706</v>
      </c>
      <c r="K211" t="s">
        <v>711</v>
      </c>
      <c r="L211" t="s">
        <v>724</v>
      </c>
      <c r="M211" t="s">
        <v>733</v>
      </c>
      <c r="N211">
        <f t="shared" si="30"/>
        <v>0.16331008473341185</v>
      </c>
      <c r="O211" t="s">
        <v>943</v>
      </c>
      <c r="P211" s="4">
        <v>1204.95</v>
      </c>
      <c r="Q211" s="4">
        <v>2065.73</v>
      </c>
      <c r="R211" s="4" t="str">
        <f t="shared" si="31"/>
        <v>Profit</v>
      </c>
      <c r="S211">
        <v>0.13600000000000001</v>
      </c>
      <c r="T211" s="4">
        <v>10</v>
      </c>
      <c r="U211">
        <f t="shared" si="32"/>
        <v>17847.907199999998</v>
      </c>
      <c r="V211">
        <f t="shared" si="33"/>
        <v>12049.5</v>
      </c>
      <c r="W211">
        <f t="shared" si="34"/>
        <v>5798.4071999999978</v>
      </c>
      <c r="X211">
        <f t="shared" si="35"/>
        <v>0.32487882949100039</v>
      </c>
    </row>
    <row r="212" spans="1:24" x14ac:dyDescent="0.25">
      <c r="A212" t="s">
        <v>224</v>
      </c>
      <c r="B212" s="13">
        <v>45567</v>
      </c>
      <c r="C212" s="8">
        <v>45588</v>
      </c>
      <c r="D212" s="8">
        <f t="shared" si="27"/>
        <v>45588</v>
      </c>
      <c r="E212" s="6">
        <f t="shared" si="28"/>
        <v>21</v>
      </c>
      <c r="F212" s="6" t="str">
        <f t="shared" si="29"/>
        <v>Q4-2024</v>
      </c>
      <c r="G212" t="s">
        <v>646</v>
      </c>
      <c r="H212" t="s">
        <v>661</v>
      </c>
      <c r="I212" t="s">
        <v>687</v>
      </c>
      <c r="J212" t="s">
        <v>701</v>
      </c>
      <c r="K212" t="s">
        <v>709</v>
      </c>
      <c r="L212" t="s">
        <v>720</v>
      </c>
      <c r="M212" t="s">
        <v>727</v>
      </c>
      <c r="N212">
        <f t="shared" si="30"/>
        <v>0.16526177410238133</v>
      </c>
      <c r="O212" t="s">
        <v>944</v>
      </c>
      <c r="P212" s="4">
        <v>1095.6099999999999</v>
      </c>
      <c r="Q212" s="4">
        <v>2366.5100000000002</v>
      </c>
      <c r="R212" s="4" t="str">
        <f t="shared" si="31"/>
        <v>Profit</v>
      </c>
      <c r="S212">
        <v>0.152</v>
      </c>
      <c r="T212" s="4">
        <v>9</v>
      </c>
      <c r="U212">
        <f t="shared" si="32"/>
        <v>18061.204320000004</v>
      </c>
      <c r="V212">
        <f t="shared" si="33"/>
        <v>9860.49</v>
      </c>
      <c r="W212">
        <f t="shared" si="34"/>
        <v>8200.7143200000046</v>
      </c>
      <c r="X212">
        <f t="shared" si="35"/>
        <v>0.4540513564158607</v>
      </c>
    </row>
    <row r="213" spans="1:24" x14ac:dyDescent="0.25">
      <c r="A213" t="s">
        <v>225</v>
      </c>
      <c r="B213" s="13">
        <v>45852</v>
      </c>
      <c r="C213" s="8">
        <v>45873</v>
      </c>
      <c r="D213" s="8">
        <f t="shared" si="27"/>
        <v>45873</v>
      </c>
      <c r="E213" s="6">
        <f t="shared" si="28"/>
        <v>21</v>
      </c>
      <c r="F213" s="6" t="str">
        <f t="shared" si="29"/>
        <v>Q3-2025</v>
      </c>
      <c r="G213" t="s">
        <v>648</v>
      </c>
      <c r="H213" t="s">
        <v>653</v>
      </c>
      <c r="I213" t="s">
        <v>681</v>
      </c>
      <c r="J213" t="s">
        <v>704</v>
      </c>
      <c r="K213" t="s">
        <v>708</v>
      </c>
      <c r="L213" t="s">
        <v>722</v>
      </c>
      <c r="M213" t="s">
        <v>732</v>
      </c>
      <c r="N213">
        <f t="shared" si="30"/>
        <v>1.623965829548181E-2</v>
      </c>
      <c r="O213" t="s">
        <v>945</v>
      </c>
      <c r="P213" s="4">
        <v>90.3</v>
      </c>
      <c r="Q213" s="4">
        <v>131.76</v>
      </c>
      <c r="R213" s="4" t="str">
        <f t="shared" si="31"/>
        <v>Profit</v>
      </c>
      <c r="S213">
        <v>0.10199999999999999</v>
      </c>
      <c r="T213" s="4">
        <v>15</v>
      </c>
      <c r="U213">
        <f t="shared" si="32"/>
        <v>1774.8072</v>
      </c>
      <c r="V213">
        <f t="shared" si="33"/>
        <v>1354.5</v>
      </c>
      <c r="W213">
        <f t="shared" si="34"/>
        <v>420.30719999999997</v>
      </c>
      <c r="X213">
        <f t="shared" si="35"/>
        <v>0.23681851189244668</v>
      </c>
    </row>
    <row r="214" spans="1:24" x14ac:dyDescent="0.25">
      <c r="A214" t="s">
        <v>226</v>
      </c>
      <c r="B214" s="13">
        <v>45544</v>
      </c>
      <c r="C214" s="8">
        <v>45566</v>
      </c>
      <c r="D214" s="8">
        <f t="shared" si="27"/>
        <v>45566</v>
      </c>
      <c r="E214" s="6">
        <f t="shared" si="28"/>
        <v>22</v>
      </c>
      <c r="F214" s="6" t="str">
        <f t="shared" si="29"/>
        <v>Q3-2024</v>
      </c>
      <c r="G214" t="s">
        <v>647</v>
      </c>
      <c r="H214" t="s">
        <v>659</v>
      </c>
      <c r="I214" t="s">
        <v>676</v>
      </c>
      <c r="J214" t="s">
        <v>704</v>
      </c>
      <c r="K214" t="s">
        <v>711</v>
      </c>
      <c r="L214" t="s">
        <v>716</v>
      </c>
      <c r="M214" t="s">
        <v>728</v>
      </c>
      <c r="N214">
        <f t="shared" si="30"/>
        <v>6.3911824004016737E-2</v>
      </c>
      <c r="O214" t="s">
        <v>946</v>
      </c>
      <c r="P214" s="4">
        <v>1166.18</v>
      </c>
      <c r="Q214" s="4">
        <v>1335.02</v>
      </c>
      <c r="R214" s="4" t="str">
        <f t="shared" si="31"/>
        <v>Profit</v>
      </c>
      <c r="S214">
        <v>0.128</v>
      </c>
      <c r="T214" s="4">
        <v>6</v>
      </c>
      <c r="U214">
        <f t="shared" si="32"/>
        <v>6984.8246399999998</v>
      </c>
      <c r="V214">
        <f t="shared" si="33"/>
        <v>6997.08</v>
      </c>
      <c r="W214">
        <f t="shared" si="34"/>
        <v>-12.25536000000011</v>
      </c>
      <c r="X214">
        <f t="shared" si="35"/>
        <v>-1.7545694604582242E-3</v>
      </c>
    </row>
    <row r="215" spans="1:24" x14ac:dyDescent="0.25">
      <c r="A215" t="s">
        <v>227</v>
      </c>
      <c r="B215" s="13">
        <v>45686</v>
      </c>
      <c r="C215" s="8">
        <v>45694</v>
      </c>
      <c r="D215" s="8">
        <f t="shared" si="27"/>
        <v>45694</v>
      </c>
      <c r="E215" s="6">
        <f t="shared" si="28"/>
        <v>8</v>
      </c>
      <c r="F215" s="6" t="str">
        <f t="shared" si="29"/>
        <v>Q1-2025</v>
      </c>
      <c r="G215" t="s">
        <v>646</v>
      </c>
      <c r="H215" t="s">
        <v>650</v>
      </c>
      <c r="I215" t="s">
        <v>662</v>
      </c>
      <c r="J215" t="s">
        <v>702</v>
      </c>
      <c r="K215" t="s">
        <v>707</v>
      </c>
      <c r="L215" t="s">
        <v>717</v>
      </c>
      <c r="M215" t="s">
        <v>730</v>
      </c>
      <c r="N215">
        <f t="shared" si="30"/>
        <v>0.22164326067325543</v>
      </c>
      <c r="O215" t="s">
        <v>947</v>
      </c>
      <c r="P215" s="4">
        <v>1445.27</v>
      </c>
      <c r="Q215" s="4">
        <v>2691.45</v>
      </c>
      <c r="R215" s="4" t="str">
        <f t="shared" si="31"/>
        <v>Profit</v>
      </c>
      <c r="S215">
        <v>0</v>
      </c>
      <c r="T215" s="4">
        <v>9</v>
      </c>
      <c r="U215">
        <f t="shared" si="32"/>
        <v>24223.05</v>
      </c>
      <c r="V215">
        <f t="shared" si="33"/>
        <v>13007.43</v>
      </c>
      <c r="W215">
        <f t="shared" si="34"/>
        <v>11215.619999999999</v>
      </c>
      <c r="X215">
        <f t="shared" si="35"/>
        <v>0.46301436028906351</v>
      </c>
    </row>
    <row r="216" spans="1:24" x14ac:dyDescent="0.25">
      <c r="A216" t="s">
        <v>228</v>
      </c>
      <c r="B216" s="13">
        <v>45240</v>
      </c>
      <c r="C216" s="8">
        <v>45258</v>
      </c>
      <c r="D216" s="8">
        <f t="shared" si="27"/>
        <v>45258</v>
      </c>
      <c r="E216" s="6">
        <f t="shared" si="28"/>
        <v>18</v>
      </c>
      <c r="F216" s="6" t="str">
        <f t="shared" si="29"/>
        <v>Q4-2023</v>
      </c>
      <c r="G216" t="s">
        <v>648</v>
      </c>
      <c r="H216" t="s">
        <v>655</v>
      </c>
      <c r="I216" t="s">
        <v>672</v>
      </c>
      <c r="J216" t="s">
        <v>702</v>
      </c>
      <c r="K216" t="s">
        <v>709</v>
      </c>
      <c r="L216" t="s">
        <v>716</v>
      </c>
      <c r="M216" t="s">
        <v>733</v>
      </c>
      <c r="N216">
        <f t="shared" si="30"/>
        <v>7.1870987693982077E-2</v>
      </c>
      <c r="O216" t="s">
        <v>948</v>
      </c>
      <c r="P216" s="4">
        <v>388.51</v>
      </c>
      <c r="Q216" s="4">
        <v>776.46</v>
      </c>
      <c r="R216" s="4" t="str">
        <f t="shared" si="31"/>
        <v>Profit</v>
      </c>
      <c r="S216">
        <v>0.157</v>
      </c>
      <c r="T216" s="4">
        <v>12</v>
      </c>
      <c r="U216">
        <f t="shared" si="32"/>
        <v>7854.6693599999999</v>
      </c>
      <c r="V216">
        <f t="shared" si="33"/>
        <v>4662.12</v>
      </c>
      <c r="W216">
        <f t="shared" si="34"/>
        <v>3192.54936</v>
      </c>
      <c r="X216">
        <f t="shared" si="35"/>
        <v>0.40645241876864946</v>
      </c>
    </row>
    <row r="217" spans="1:24" x14ac:dyDescent="0.25">
      <c r="A217" t="s">
        <v>229</v>
      </c>
      <c r="B217" s="13">
        <v>45351</v>
      </c>
      <c r="C217" s="8">
        <v>45381</v>
      </c>
      <c r="D217" s="8">
        <f t="shared" si="27"/>
        <v>45381</v>
      </c>
      <c r="E217" s="6">
        <f t="shared" si="28"/>
        <v>30</v>
      </c>
      <c r="F217" s="6" t="str">
        <f t="shared" si="29"/>
        <v>Q1-2024</v>
      </c>
      <c r="G217" t="s">
        <v>647</v>
      </c>
      <c r="H217" t="s">
        <v>652</v>
      </c>
      <c r="I217" t="s">
        <v>694</v>
      </c>
      <c r="J217" t="s">
        <v>705</v>
      </c>
      <c r="K217" t="s">
        <v>711</v>
      </c>
      <c r="L217" t="s">
        <v>714</v>
      </c>
      <c r="M217" t="s">
        <v>729</v>
      </c>
      <c r="N217">
        <f t="shared" si="30"/>
        <v>0.13956707044524783</v>
      </c>
      <c r="O217" t="s">
        <v>949</v>
      </c>
      <c r="P217" s="4">
        <v>231.11</v>
      </c>
      <c r="Q217" s="4">
        <v>318.17</v>
      </c>
      <c r="R217" s="4" t="str">
        <f t="shared" si="31"/>
        <v>Profit</v>
      </c>
      <c r="S217">
        <v>0.20100000000000001</v>
      </c>
      <c r="T217" s="4">
        <v>60</v>
      </c>
      <c r="U217">
        <f t="shared" si="32"/>
        <v>15253.069799999999</v>
      </c>
      <c r="V217">
        <f t="shared" si="33"/>
        <v>13866.6</v>
      </c>
      <c r="W217">
        <f t="shared" si="34"/>
        <v>1386.4697999999989</v>
      </c>
      <c r="X217">
        <f t="shared" si="35"/>
        <v>9.0897754889969692E-2</v>
      </c>
    </row>
    <row r="218" spans="1:24" x14ac:dyDescent="0.25">
      <c r="A218" t="s">
        <v>230</v>
      </c>
      <c r="B218" s="13">
        <v>45280</v>
      </c>
      <c r="C218" s="8">
        <v>45305</v>
      </c>
      <c r="D218" s="8">
        <f t="shared" si="27"/>
        <v>45305</v>
      </c>
      <c r="E218" s="6">
        <f t="shared" si="28"/>
        <v>25</v>
      </c>
      <c r="F218" s="6" t="str">
        <f t="shared" si="29"/>
        <v>Q4-2023</v>
      </c>
      <c r="G218" t="s">
        <v>647</v>
      </c>
      <c r="H218" t="s">
        <v>654</v>
      </c>
      <c r="I218" t="s">
        <v>691</v>
      </c>
      <c r="J218" t="s">
        <v>703</v>
      </c>
      <c r="K218" t="s">
        <v>709</v>
      </c>
      <c r="L218" t="s">
        <v>716</v>
      </c>
      <c r="M218" t="s">
        <v>732</v>
      </c>
      <c r="N218">
        <f t="shared" si="30"/>
        <v>7.0812232972746469E-2</v>
      </c>
      <c r="O218" t="s">
        <v>950</v>
      </c>
      <c r="P218" s="4">
        <v>1085.6099999999999</v>
      </c>
      <c r="Q218" s="4">
        <v>1246.4100000000001</v>
      </c>
      <c r="R218" s="4" t="str">
        <f t="shared" si="31"/>
        <v>Profit</v>
      </c>
      <c r="S218">
        <v>0.113</v>
      </c>
      <c r="T218" s="4">
        <v>7</v>
      </c>
      <c r="U218">
        <f t="shared" si="32"/>
        <v>7738.9596900000006</v>
      </c>
      <c r="V218">
        <f t="shared" si="33"/>
        <v>7599.2699999999995</v>
      </c>
      <c r="W218">
        <f t="shared" si="34"/>
        <v>139.68969000000106</v>
      </c>
      <c r="X218">
        <f t="shared" si="35"/>
        <v>1.8050189637310417E-2</v>
      </c>
    </row>
    <row r="219" spans="1:24" x14ac:dyDescent="0.25">
      <c r="A219" t="s">
        <v>231</v>
      </c>
      <c r="B219" s="13">
        <v>44948</v>
      </c>
      <c r="C219" s="8">
        <v>44947</v>
      </c>
      <c r="D219" s="8">
        <f t="shared" si="27"/>
        <v>44955</v>
      </c>
      <c r="E219" s="6">
        <f t="shared" si="28"/>
        <v>7</v>
      </c>
      <c r="F219" s="6" t="str">
        <f t="shared" si="29"/>
        <v>Q1-2023</v>
      </c>
      <c r="G219" t="s">
        <v>649</v>
      </c>
      <c r="H219" t="s">
        <v>656</v>
      </c>
      <c r="I219" t="s">
        <v>684</v>
      </c>
      <c r="J219" t="s">
        <v>701</v>
      </c>
      <c r="K219" t="s">
        <v>711</v>
      </c>
      <c r="L219" t="s">
        <v>721</v>
      </c>
      <c r="M219" t="s">
        <v>732</v>
      </c>
      <c r="N219">
        <f t="shared" si="30"/>
        <v>2.0419784283629665E-2</v>
      </c>
      <c r="O219" t="s">
        <v>951</v>
      </c>
      <c r="P219" s="4">
        <v>150.86000000000001</v>
      </c>
      <c r="Q219" s="4">
        <v>346.96</v>
      </c>
      <c r="R219" s="4" t="str">
        <f t="shared" si="31"/>
        <v>Profit</v>
      </c>
      <c r="S219">
        <v>0.19600000000000001</v>
      </c>
      <c r="T219" s="4">
        <v>8</v>
      </c>
      <c r="U219">
        <f t="shared" si="32"/>
        <v>2231.6467200000002</v>
      </c>
      <c r="V219">
        <f t="shared" si="33"/>
        <v>1206.8800000000001</v>
      </c>
      <c r="W219">
        <f t="shared" si="34"/>
        <v>1024.7667200000001</v>
      </c>
      <c r="X219">
        <f t="shared" si="35"/>
        <v>0.45919755614365343</v>
      </c>
    </row>
    <row r="220" spans="1:24" x14ac:dyDescent="0.25">
      <c r="A220" t="s">
        <v>232</v>
      </c>
      <c r="B220" s="13">
        <v>45576</v>
      </c>
      <c r="C220" s="8">
        <v>45605</v>
      </c>
      <c r="D220" s="8">
        <f t="shared" si="27"/>
        <v>45605</v>
      </c>
      <c r="E220" s="6">
        <f t="shared" si="28"/>
        <v>29</v>
      </c>
      <c r="F220" s="6" t="str">
        <f t="shared" si="29"/>
        <v>Q4-2024</v>
      </c>
      <c r="G220" t="s">
        <v>647</v>
      </c>
      <c r="H220" t="s">
        <v>659</v>
      </c>
      <c r="I220" t="s">
        <v>685</v>
      </c>
      <c r="J220" t="s">
        <v>703</v>
      </c>
      <c r="K220" t="s">
        <v>708</v>
      </c>
      <c r="L220" t="s">
        <v>721</v>
      </c>
      <c r="M220" t="s">
        <v>728</v>
      </c>
      <c r="N220">
        <f t="shared" si="30"/>
        <v>5.9801672102779577E-2</v>
      </c>
      <c r="O220" t="s">
        <v>952</v>
      </c>
      <c r="P220" s="4">
        <v>391.64</v>
      </c>
      <c r="Q220" s="4">
        <v>504.76</v>
      </c>
      <c r="R220" s="4" t="str">
        <f t="shared" si="31"/>
        <v>Profit</v>
      </c>
      <c r="S220">
        <v>4.0000000000000001E-3</v>
      </c>
      <c r="T220" s="4">
        <v>13</v>
      </c>
      <c r="U220">
        <f t="shared" si="32"/>
        <v>6535.6324800000002</v>
      </c>
      <c r="V220">
        <f t="shared" si="33"/>
        <v>5091.32</v>
      </c>
      <c r="W220">
        <f t="shared" si="34"/>
        <v>1444.3124800000005</v>
      </c>
      <c r="X220">
        <f t="shared" si="35"/>
        <v>0.22099046793402319</v>
      </c>
    </row>
    <row r="221" spans="1:24" x14ac:dyDescent="0.25">
      <c r="A221" t="s">
        <v>233</v>
      </c>
      <c r="B221" s="13">
        <v>45554</v>
      </c>
      <c r="C221" s="8">
        <v>45579</v>
      </c>
      <c r="D221" s="8">
        <f t="shared" si="27"/>
        <v>45579</v>
      </c>
      <c r="E221" s="6">
        <f t="shared" si="28"/>
        <v>25</v>
      </c>
      <c r="F221" s="6" t="str">
        <f t="shared" si="29"/>
        <v>Q3-2024</v>
      </c>
      <c r="G221" t="s">
        <v>648</v>
      </c>
      <c r="H221" t="s">
        <v>655</v>
      </c>
      <c r="I221" t="s">
        <v>692</v>
      </c>
      <c r="J221" t="s">
        <v>705</v>
      </c>
      <c r="K221" t="s">
        <v>707</v>
      </c>
      <c r="L221" t="s">
        <v>723</v>
      </c>
      <c r="M221" t="s">
        <v>728</v>
      </c>
      <c r="N221">
        <f t="shared" si="30"/>
        <v>0.25814182002227926</v>
      </c>
      <c r="O221" t="s">
        <v>953</v>
      </c>
      <c r="P221" s="4">
        <v>386.96</v>
      </c>
      <c r="Q221" s="4">
        <v>937.46</v>
      </c>
      <c r="R221" s="4" t="str">
        <f t="shared" si="31"/>
        <v>Profit</v>
      </c>
      <c r="S221">
        <v>0.26600000000000001</v>
      </c>
      <c r="T221" s="4">
        <v>41</v>
      </c>
      <c r="U221">
        <f t="shared" si="32"/>
        <v>28211.92124</v>
      </c>
      <c r="V221">
        <f t="shared" si="33"/>
        <v>15865.359999999999</v>
      </c>
      <c r="W221">
        <f t="shared" si="34"/>
        <v>12346.561240000001</v>
      </c>
      <c r="X221">
        <f t="shared" si="35"/>
        <v>0.43763631462626335</v>
      </c>
    </row>
    <row r="222" spans="1:24" x14ac:dyDescent="0.25">
      <c r="A222" t="s">
        <v>234</v>
      </c>
      <c r="B222" s="13">
        <v>45894</v>
      </c>
      <c r="C222" s="8">
        <v>45924</v>
      </c>
      <c r="D222" s="8">
        <f t="shared" si="27"/>
        <v>45924</v>
      </c>
      <c r="E222" s="6">
        <f t="shared" si="28"/>
        <v>30</v>
      </c>
      <c r="F222" s="6" t="str">
        <f t="shared" si="29"/>
        <v>Q3-2025</v>
      </c>
      <c r="G222" t="s">
        <v>646</v>
      </c>
      <c r="H222" t="s">
        <v>650</v>
      </c>
      <c r="I222" t="s">
        <v>664</v>
      </c>
      <c r="J222" t="s">
        <v>704</v>
      </c>
      <c r="K222" t="s">
        <v>711</v>
      </c>
      <c r="L222" t="s">
        <v>717</v>
      </c>
      <c r="M222" t="s">
        <v>727</v>
      </c>
      <c r="N222">
        <f t="shared" si="30"/>
        <v>0.12370500463364284</v>
      </c>
      <c r="O222" t="s">
        <v>954</v>
      </c>
      <c r="P222" s="4">
        <v>589.14</v>
      </c>
      <c r="Q222" s="4">
        <v>1300.58</v>
      </c>
      <c r="R222" s="4" t="str">
        <f t="shared" si="31"/>
        <v>Profit</v>
      </c>
      <c r="S222">
        <v>5.5E-2</v>
      </c>
      <c r="T222" s="4">
        <v>11</v>
      </c>
      <c r="U222">
        <f t="shared" si="32"/>
        <v>13519.529099999998</v>
      </c>
      <c r="V222">
        <f t="shared" si="33"/>
        <v>6480.54</v>
      </c>
      <c r="W222">
        <f t="shared" si="34"/>
        <v>7038.989099999998</v>
      </c>
      <c r="X222">
        <f t="shared" si="35"/>
        <v>0.52065342275863724</v>
      </c>
    </row>
    <row r="223" spans="1:24" x14ac:dyDescent="0.25">
      <c r="A223" t="s">
        <v>235</v>
      </c>
      <c r="B223" s="13">
        <v>45194</v>
      </c>
      <c r="C223" s="8">
        <v>45201</v>
      </c>
      <c r="D223" s="8">
        <f t="shared" si="27"/>
        <v>45201</v>
      </c>
      <c r="E223" s="6">
        <f t="shared" si="28"/>
        <v>7</v>
      </c>
      <c r="F223" s="6" t="str">
        <f t="shared" si="29"/>
        <v>Q3-2023</v>
      </c>
      <c r="G223" t="s">
        <v>648</v>
      </c>
      <c r="H223" t="s">
        <v>660</v>
      </c>
      <c r="I223" t="s">
        <v>700</v>
      </c>
      <c r="J223" t="s">
        <v>702</v>
      </c>
      <c r="K223" t="s">
        <v>709</v>
      </c>
      <c r="L223" t="s">
        <v>714</v>
      </c>
      <c r="M223" t="s">
        <v>733</v>
      </c>
      <c r="N223">
        <f t="shared" si="30"/>
        <v>8.3086267621938961E-3</v>
      </c>
      <c r="O223" t="s">
        <v>955</v>
      </c>
      <c r="P223" s="4">
        <v>145.58000000000001</v>
      </c>
      <c r="Q223" s="4">
        <v>228.15</v>
      </c>
      <c r="R223" s="4" t="str">
        <f t="shared" si="31"/>
        <v>Profit</v>
      </c>
      <c r="S223">
        <v>0.20399999999999999</v>
      </c>
      <c r="T223" s="4">
        <v>5</v>
      </c>
      <c r="U223">
        <f t="shared" si="32"/>
        <v>908.03700000000003</v>
      </c>
      <c r="V223">
        <f t="shared" si="33"/>
        <v>727.90000000000009</v>
      </c>
      <c r="W223">
        <f t="shared" si="34"/>
        <v>180.13699999999994</v>
      </c>
      <c r="X223">
        <f t="shared" si="35"/>
        <v>0.19838068272548359</v>
      </c>
    </row>
    <row r="224" spans="1:24" x14ac:dyDescent="0.25">
      <c r="A224" t="s">
        <v>236</v>
      </c>
      <c r="B224" s="13">
        <v>45164</v>
      </c>
      <c r="C224" s="8">
        <v>45179</v>
      </c>
      <c r="D224" s="8">
        <f t="shared" si="27"/>
        <v>45179</v>
      </c>
      <c r="E224" s="6">
        <f t="shared" si="28"/>
        <v>15</v>
      </c>
      <c r="F224" s="6" t="str">
        <f t="shared" si="29"/>
        <v>Q3-2023</v>
      </c>
      <c r="G224" t="s">
        <v>646</v>
      </c>
      <c r="H224" t="s">
        <v>661</v>
      </c>
      <c r="I224" t="s">
        <v>695</v>
      </c>
      <c r="J224" t="s">
        <v>703</v>
      </c>
      <c r="K224" t="s">
        <v>711</v>
      </c>
      <c r="L224" t="s">
        <v>725</v>
      </c>
      <c r="M224" t="s">
        <v>727</v>
      </c>
      <c r="N224">
        <f t="shared" si="30"/>
        <v>4.1206880550988707E-2</v>
      </c>
      <c r="O224" t="s">
        <v>956</v>
      </c>
      <c r="P224" s="4">
        <v>241.14</v>
      </c>
      <c r="Q224" s="4">
        <v>496.52</v>
      </c>
      <c r="R224" s="4" t="str">
        <f t="shared" si="31"/>
        <v>Profit</v>
      </c>
      <c r="S224">
        <v>9.2999999999999999E-2</v>
      </c>
      <c r="T224" s="4">
        <v>10</v>
      </c>
      <c r="U224">
        <f t="shared" si="32"/>
        <v>4503.4363999999996</v>
      </c>
      <c r="V224">
        <f t="shared" si="33"/>
        <v>2411.3999999999996</v>
      </c>
      <c r="W224">
        <f t="shared" si="34"/>
        <v>2092.0364</v>
      </c>
      <c r="X224">
        <f t="shared" si="35"/>
        <v>0.46454223268257994</v>
      </c>
    </row>
    <row r="225" spans="1:24" x14ac:dyDescent="0.25">
      <c r="A225" t="s">
        <v>237</v>
      </c>
      <c r="B225" s="13">
        <v>45854</v>
      </c>
      <c r="C225" s="8">
        <v>45855</v>
      </c>
      <c r="D225" s="8">
        <f t="shared" si="27"/>
        <v>45855</v>
      </c>
      <c r="E225" s="6">
        <f t="shared" si="28"/>
        <v>1</v>
      </c>
      <c r="F225" s="6" t="str">
        <f t="shared" si="29"/>
        <v>Q3-2025</v>
      </c>
      <c r="G225" t="s">
        <v>646</v>
      </c>
      <c r="H225" t="s">
        <v>661</v>
      </c>
      <c r="I225" t="s">
        <v>687</v>
      </c>
      <c r="J225" t="s">
        <v>705</v>
      </c>
      <c r="K225" t="s">
        <v>710</v>
      </c>
      <c r="L225" t="s">
        <v>717</v>
      </c>
      <c r="M225" t="s">
        <v>729</v>
      </c>
      <c r="N225">
        <f t="shared" si="30"/>
        <v>0.61295376417349035</v>
      </c>
      <c r="O225" t="s">
        <v>957</v>
      </c>
      <c r="P225" s="4">
        <v>1198.9000000000001</v>
      </c>
      <c r="Q225" s="4">
        <v>2941.2</v>
      </c>
      <c r="R225" s="4" t="str">
        <f t="shared" si="31"/>
        <v>Profit</v>
      </c>
      <c r="S225">
        <v>5.0999999999999997E-2</v>
      </c>
      <c r="T225" s="4">
        <v>24</v>
      </c>
      <c r="U225">
        <f t="shared" si="32"/>
        <v>66988.771199999988</v>
      </c>
      <c r="V225">
        <f t="shared" si="33"/>
        <v>28773.600000000002</v>
      </c>
      <c r="W225">
        <f t="shared" si="34"/>
        <v>38215.171199999982</v>
      </c>
      <c r="X225">
        <f t="shared" si="35"/>
        <v>0.57047129713583977</v>
      </c>
    </row>
    <row r="226" spans="1:24" x14ac:dyDescent="0.25">
      <c r="A226" t="s">
        <v>238</v>
      </c>
      <c r="B226" s="13">
        <v>45035</v>
      </c>
      <c r="C226" s="8">
        <v>45053</v>
      </c>
      <c r="D226" s="8">
        <f t="shared" si="27"/>
        <v>45053</v>
      </c>
      <c r="E226" s="6">
        <f t="shared" si="28"/>
        <v>18</v>
      </c>
      <c r="F226" s="6" t="str">
        <f t="shared" si="29"/>
        <v>Q2-2023</v>
      </c>
      <c r="G226" t="s">
        <v>649</v>
      </c>
      <c r="H226" t="s">
        <v>658</v>
      </c>
      <c r="I226" t="s">
        <v>674</v>
      </c>
      <c r="J226" t="s">
        <v>706</v>
      </c>
      <c r="K226" t="s">
        <v>707</v>
      </c>
      <c r="L226" t="s">
        <v>725</v>
      </c>
      <c r="M226" t="s">
        <v>731</v>
      </c>
      <c r="N226">
        <f t="shared" si="30"/>
        <v>0.14173982689327319</v>
      </c>
      <c r="O226" t="s">
        <v>958</v>
      </c>
      <c r="P226" s="4">
        <v>1089.1500000000001</v>
      </c>
      <c r="Q226" s="4">
        <v>1088.2</v>
      </c>
      <c r="R226" s="4" t="str">
        <f t="shared" si="31"/>
        <v>Loss</v>
      </c>
      <c r="S226">
        <v>5.0999999999999997E-2</v>
      </c>
      <c r="T226" s="4">
        <v>15</v>
      </c>
      <c r="U226">
        <f t="shared" si="32"/>
        <v>15490.527</v>
      </c>
      <c r="V226">
        <f t="shared" si="33"/>
        <v>16337.250000000002</v>
      </c>
      <c r="W226">
        <f t="shared" si="34"/>
        <v>-846.72300000000178</v>
      </c>
      <c r="X226">
        <f t="shared" si="35"/>
        <v>-5.4660696824582002E-2</v>
      </c>
    </row>
    <row r="227" spans="1:24" x14ac:dyDescent="0.25">
      <c r="A227" t="s">
        <v>239</v>
      </c>
      <c r="B227" s="13">
        <v>45279</v>
      </c>
      <c r="C227" s="8">
        <v>45280</v>
      </c>
      <c r="D227" s="8">
        <f t="shared" si="27"/>
        <v>45280</v>
      </c>
      <c r="E227" s="6">
        <f t="shared" si="28"/>
        <v>1</v>
      </c>
      <c r="F227" s="6" t="str">
        <f t="shared" si="29"/>
        <v>Q4-2023</v>
      </c>
      <c r="G227" t="s">
        <v>648</v>
      </c>
      <c r="H227" t="s">
        <v>655</v>
      </c>
      <c r="I227" t="s">
        <v>692</v>
      </c>
      <c r="J227" t="s">
        <v>704</v>
      </c>
      <c r="K227" t="s">
        <v>710</v>
      </c>
      <c r="L227" t="s">
        <v>713</v>
      </c>
      <c r="M227" t="s">
        <v>730</v>
      </c>
      <c r="N227">
        <f t="shared" si="30"/>
        <v>0.1974009887195026</v>
      </c>
      <c r="O227" t="s">
        <v>959</v>
      </c>
      <c r="P227" s="4">
        <v>1080.43</v>
      </c>
      <c r="Q227" s="4">
        <v>2529.15</v>
      </c>
      <c r="R227" s="4" t="str">
        <f t="shared" si="31"/>
        <v>Profit</v>
      </c>
      <c r="S227">
        <v>0.14699999999999999</v>
      </c>
      <c r="T227" s="4">
        <v>10</v>
      </c>
      <c r="U227">
        <f t="shared" si="32"/>
        <v>21573.6495</v>
      </c>
      <c r="V227">
        <f t="shared" si="33"/>
        <v>10804.300000000001</v>
      </c>
      <c r="W227">
        <f t="shared" si="34"/>
        <v>10769.349499999998</v>
      </c>
      <c r="X227">
        <f t="shared" si="35"/>
        <v>0.49918997247081437</v>
      </c>
    </row>
    <row r="228" spans="1:24" x14ac:dyDescent="0.25">
      <c r="A228" t="s">
        <v>240</v>
      </c>
      <c r="B228" s="13">
        <v>45137</v>
      </c>
      <c r="C228" s="8">
        <v>45145</v>
      </c>
      <c r="D228" s="8">
        <f t="shared" si="27"/>
        <v>45145</v>
      </c>
      <c r="E228" s="6">
        <f t="shared" si="28"/>
        <v>8</v>
      </c>
      <c r="F228" s="6" t="str">
        <f t="shared" si="29"/>
        <v>Q3-2023</v>
      </c>
      <c r="G228" t="s">
        <v>647</v>
      </c>
      <c r="H228" t="s">
        <v>652</v>
      </c>
      <c r="I228" t="s">
        <v>694</v>
      </c>
      <c r="J228" t="s">
        <v>702</v>
      </c>
      <c r="K228" t="s">
        <v>709</v>
      </c>
      <c r="L228" t="s">
        <v>720</v>
      </c>
      <c r="M228" t="s">
        <v>729</v>
      </c>
      <c r="N228">
        <f t="shared" si="30"/>
        <v>0.27888964453019244</v>
      </c>
      <c r="O228" t="s">
        <v>960</v>
      </c>
      <c r="P228" s="4">
        <v>1352.44</v>
      </c>
      <c r="Q228" s="4">
        <v>2698.01</v>
      </c>
      <c r="R228" s="4" t="str">
        <f t="shared" si="31"/>
        <v>Profit</v>
      </c>
      <c r="S228">
        <v>0.13100000000000001</v>
      </c>
      <c r="T228" s="4">
        <v>13</v>
      </c>
      <c r="U228">
        <f t="shared" si="32"/>
        <v>30479.418970000002</v>
      </c>
      <c r="V228">
        <f t="shared" si="33"/>
        <v>17581.72</v>
      </c>
      <c r="W228">
        <f t="shared" si="34"/>
        <v>12897.698970000001</v>
      </c>
      <c r="X228">
        <f t="shared" si="35"/>
        <v>0.42316091992090887</v>
      </c>
    </row>
    <row r="229" spans="1:24" x14ac:dyDescent="0.25">
      <c r="A229" t="s">
        <v>241</v>
      </c>
      <c r="B229" s="13">
        <v>45203</v>
      </c>
      <c r="C229" s="8">
        <v>45228</v>
      </c>
      <c r="D229" s="8">
        <f t="shared" si="27"/>
        <v>45228</v>
      </c>
      <c r="E229" s="6">
        <f t="shared" si="28"/>
        <v>25</v>
      </c>
      <c r="F229" s="6" t="str">
        <f t="shared" si="29"/>
        <v>Q4-2023</v>
      </c>
      <c r="G229" t="s">
        <v>648</v>
      </c>
      <c r="H229" t="s">
        <v>660</v>
      </c>
      <c r="I229" t="s">
        <v>686</v>
      </c>
      <c r="J229" t="s">
        <v>705</v>
      </c>
      <c r="K229" t="s">
        <v>710</v>
      </c>
      <c r="L229" t="s">
        <v>719</v>
      </c>
      <c r="M229" t="s">
        <v>733</v>
      </c>
      <c r="N229">
        <f t="shared" si="30"/>
        <v>5.0633188019531893E-2</v>
      </c>
      <c r="O229" t="s">
        <v>961</v>
      </c>
      <c r="P229" s="4">
        <v>1239.8399999999999</v>
      </c>
      <c r="Q229" s="4">
        <v>1482.75</v>
      </c>
      <c r="R229" s="4" t="str">
        <f t="shared" si="31"/>
        <v>Profit</v>
      </c>
      <c r="S229">
        <v>6.7000000000000004E-2</v>
      </c>
      <c r="T229" s="4">
        <v>4</v>
      </c>
      <c r="U229">
        <f t="shared" si="32"/>
        <v>5533.6230000000005</v>
      </c>
      <c r="V229">
        <f t="shared" si="33"/>
        <v>4959.3599999999997</v>
      </c>
      <c r="W229">
        <f t="shared" si="34"/>
        <v>574.26300000000083</v>
      </c>
      <c r="X229">
        <f t="shared" si="35"/>
        <v>0.10377703721413634</v>
      </c>
    </row>
    <row r="230" spans="1:24" x14ac:dyDescent="0.25">
      <c r="A230" t="s">
        <v>242</v>
      </c>
      <c r="B230" s="13">
        <v>45879</v>
      </c>
      <c r="C230" s="8">
        <v>45899</v>
      </c>
      <c r="D230" s="8">
        <f t="shared" si="27"/>
        <v>45899</v>
      </c>
      <c r="E230" s="6">
        <f t="shared" si="28"/>
        <v>20</v>
      </c>
      <c r="F230" s="6" t="str">
        <f t="shared" si="29"/>
        <v>Q3-2025</v>
      </c>
      <c r="G230" t="s">
        <v>648</v>
      </c>
      <c r="H230" t="s">
        <v>660</v>
      </c>
      <c r="I230" t="s">
        <v>686</v>
      </c>
      <c r="J230" t="s">
        <v>701</v>
      </c>
      <c r="K230" t="s">
        <v>709</v>
      </c>
      <c r="L230" t="s">
        <v>723</v>
      </c>
      <c r="M230" t="s">
        <v>728</v>
      </c>
      <c r="N230">
        <f t="shared" si="30"/>
        <v>0.15197479441881187</v>
      </c>
      <c r="O230" t="s">
        <v>962</v>
      </c>
      <c r="P230" s="4">
        <v>933.29</v>
      </c>
      <c r="Q230" s="4">
        <v>1456.81</v>
      </c>
      <c r="R230" s="4" t="str">
        <f t="shared" si="31"/>
        <v>Profit</v>
      </c>
      <c r="S230">
        <v>0.123</v>
      </c>
      <c r="T230" s="4">
        <v>13</v>
      </c>
      <c r="U230">
        <f t="shared" si="32"/>
        <v>16609.090809999998</v>
      </c>
      <c r="V230">
        <f t="shared" si="33"/>
        <v>12132.77</v>
      </c>
      <c r="W230">
        <f t="shared" si="34"/>
        <v>4476.3208099999974</v>
      </c>
      <c r="X230">
        <f t="shared" si="35"/>
        <v>0.26951028573489977</v>
      </c>
    </row>
    <row r="231" spans="1:24" x14ac:dyDescent="0.25">
      <c r="A231" t="s">
        <v>243</v>
      </c>
      <c r="B231" s="13">
        <v>44992</v>
      </c>
      <c r="C231" s="8">
        <v>45017</v>
      </c>
      <c r="D231" s="8">
        <f t="shared" si="27"/>
        <v>45017</v>
      </c>
      <c r="E231" s="6">
        <f t="shared" si="28"/>
        <v>25</v>
      </c>
      <c r="F231" s="6" t="str">
        <f t="shared" si="29"/>
        <v>Q1-2023</v>
      </c>
      <c r="G231" t="s">
        <v>646</v>
      </c>
      <c r="H231" t="s">
        <v>650</v>
      </c>
      <c r="I231" t="s">
        <v>664</v>
      </c>
      <c r="J231" t="s">
        <v>704</v>
      </c>
      <c r="K231" t="s">
        <v>709</v>
      </c>
      <c r="L231" t="s">
        <v>726</v>
      </c>
      <c r="M231" t="s">
        <v>728</v>
      </c>
      <c r="N231">
        <f t="shared" si="30"/>
        <v>6.8136389634977618E-2</v>
      </c>
      <c r="O231" t="s">
        <v>963</v>
      </c>
      <c r="P231" s="4">
        <v>1024.0999999999999</v>
      </c>
      <c r="Q231" s="4">
        <v>918.19</v>
      </c>
      <c r="R231" s="4" t="str">
        <f t="shared" si="31"/>
        <v>Loss</v>
      </c>
      <c r="S231">
        <v>0.189</v>
      </c>
      <c r="T231" s="4">
        <v>10</v>
      </c>
      <c r="U231">
        <f t="shared" si="32"/>
        <v>7446.5209000000004</v>
      </c>
      <c r="V231">
        <f t="shared" si="33"/>
        <v>10241</v>
      </c>
      <c r="W231">
        <f t="shared" si="34"/>
        <v>-2794.4790999999996</v>
      </c>
      <c r="X231">
        <f t="shared" si="35"/>
        <v>-0.37527311579827827</v>
      </c>
    </row>
    <row r="232" spans="1:24" x14ac:dyDescent="0.25">
      <c r="A232" t="s">
        <v>244</v>
      </c>
      <c r="B232" s="13">
        <v>45069</v>
      </c>
      <c r="C232" s="8">
        <v>45087</v>
      </c>
      <c r="D232" s="8">
        <f t="shared" si="27"/>
        <v>45087</v>
      </c>
      <c r="E232" s="6">
        <f t="shared" si="28"/>
        <v>18</v>
      </c>
      <c r="F232" s="6" t="str">
        <f t="shared" si="29"/>
        <v>Q2-2023</v>
      </c>
      <c r="G232" t="s">
        <v>647</v>
      </c>
      <c r="H232" t="s">
        <v>659</v>
      </c>
      <c r="I232" t="s">
        <v>685</v>
      </c>
      <c r="J232" t="s">
        <v>701</v>
      </c>
      <c r="K232" t="s">
        <v>710</v>
      </c>
      <c r="L232" t="s">
        <v>718</v>
      </c>
      <c r="M232" t="s">
        <v>727</v>
      </c>
      <c r="N232">
        <f t="shared" si="30"/>
        <v>6.104488042984811E-3</v>
      </c>
      <c r="O232" t="s">
        <v>964</v>
      </c>
      <c r="P232" s="4">
        <v>54.62</v>
      </c>
      <c r="Q232" s="4">
        <v>48.94</v>
      </c>
      <c r="R232" s="4" t="str">
        <f t="shared" si="31"/>
        <v>Loss</v>
      </c>
      <c r="S232">
        <v>0.14799999999999999</v>
      </c>
      <c r="T232" s="4">
        <v>16</v>
      </c>
      <c r="U232">
        <f t="shared" si="32"/>
        <v>667.15008</v>
      </c>
      <c r="V232">
        <f t="shared" si="33"/>
        <v>873.92</v>
      </c>
      <c r="W232">
        <f t="shared" si="34"/>
        <v>-206.76991999999996</v>
      </c>
      <c r="X232">
        <f t="shared" si="35"/>
        <v>-0.3099301434543783</v>
      </c>
    </row>
    <row r="233" spans="1:24" x14ac:dyDescent="0.25">
      <c r="A233" t="s">
        <v>245</v>
      </c>
      <c r="B233" s="13">
        <v>45771</v>
      </c>
      <c r="C233" s="8">
        <v>45783</v>
      </c>
      <c r="D233" s="8">
        <f t="shared" si="27"/>
        <v>45783</v>
      </c>
      <c r="E233" s="6">
        <f t="shared" si="28"/>
        <v>12</v>
      </c>
      <c r="F233" s="6" t="str">
        <f t="shared" si="29"/>
        <v>Q2-2025</v>
      </c>
      <c r="G233" t="s">
        <v>648</v>
      </c>
      <c r="H233" t="s">
        <v>655</v>
      </c>
      <c r="I233" t="s">
        <v>672</v>
      </c>
      <c r="J233" t="s">
        <v>704</v>
      </c>
      <c r="K233" t="s">
        <v>708</v>
      </c>
      <c r="L233" t="s">
        <v>712</v>
      </c>
      <c r="M233" t="s">
        <v>730</v>
      </c>
      <c r="N233">
        <f t="shared" si="30"/>
        <v>5.3205003353841623E-2</v>
      </c>
      <c r="O233" t="s">
        <v>965</v>
      </c>
      <c r="P233" s="4">
        <v>394.13</v>
      </c>
      <c r="Q233" s="4">
        <v>932.29</v>
      </c>
      <c r="R233" s="4" t="str">
        <f t="shared" si="31"/>
        <v>Profit</v>
      </c>
      <c r="S233">
        <v>0.109</v>
      </c>
      <c r="T233" s="4">
        <v>7</v>
      </c>
      <c r="U233">
        <f t="shared" si="32"/>
        <v>5814.6927299999998</v>
      </c>
      <c r="V233">
        <f t="shared" si="33"/>
        <v>2758.91</v>
      </c>
      <c r="W233">
        <f t="shared" si="34"/>
        <v>3055.7827299999999</v>
      </c>
      <c r="X233">
        <f t="shared" si="35"/>
        <v>0.5255278089303268</v>
      </c>
    </row>
    <row r="234" spans="1:24" x14ac:dyDescent="0.25">
      <c r="A234" t="s">
        <v>246</v>
      </c>
      <c r="B234" s="13">
        <v>45538</v>
      </c>
      <c r="C234" s="8">
        <v>45543</v>
      </c>
      <c r="D234" s="8">
        <f t="shared" si="27"/>
        <v>45543</v>
      </c>
      <c r="E234" s="6">
        <f t="shared" si="28"/>
        <v>5</v>
      </c>
      <c r="F234" s="6" t="str">
        <f t="shared" si="29"/>
        <v>Q3-2024</v>
      </c>
      <c r="G234" t="s">
        <v>646</v>
      </c>
      <c r="H234" t="s">
        <v>651</v>
      </c>
      <c r="I234" t="s">
        <v>665</v>
      </c>
      <c r="J234" t="s">
        <v>705</v>
      </c>
      <c r="K234" t="s">
        <v>711</v>
      </c>
      <c r="L234" t="s">
        <v>723</v>
      </c>
      <c r="M234" t="s">
        <v>728</v>
      </c>
      <c r="N234">
        <f t="shared" si="30"/>
        <v>2.6352129718986692E-2</v>
      </c>
      <c r="O234" t="s">
        <v>966</v>
      </c>
      <c r="P234" s="4">
        <v>197.63</v>
      </c>
      <c r="Q234" s="4">
        <v>325.79000000000002</v>
      </c>
      <c r="R234" s="4" t="str">
        <f t="shared" si="31"/>
        <v>Profit</v>
      </c>
      <c r="S234">
        <v>0.11600000000000001</v>
      </c>
      <c r="T234" s="4">
        <v>10</v>
      </c>
      <c r="U234">
        <f t="shared" si="32"/>
        <v>2879.9836</v>
      </c>
      <c r="V234">
        <f t="shared" si="33"/>
        <v>1976.3</v>
      </c>
      <c r="W234">
        <f t="shared" si="34"/>
        <v>903.68360000000007</v>
      </c>
      <c r="X234">
        <f t="shared" si="35"/>
        <v>0.31378081458519419</v>
      </c>
    </row>
    <row r="235" spans="1:24" x14ac:dyDescent="0.25">
      <c r="A235" t="s">
        <v>247</v>
      </c>
      <c r="B235" s="13">
        <v>45540</v>
      </c>
      <c r="C235" s="8">
        <v>45560</v>
      </c>
      <c r="D235" s="8">
        <f t="shared" si="27"/>
        <v>45560</v>
      </c>
      <c r="E235" s="6">
        <f t="shared" si="28"/>
        <v>20</v>
      </c>
      <c r="F235" s="6" t="str">
        <f t="shared" si="29"/>
        <v>Q3-2024</v>
      </c>
      <c r="G235" t="s">
        <v>647</v>
      </c>
      <c r="H235" t="s">
        <v>652</v>
      </c>
      <c r="I235" t="s">
        <v>666</v>
      </c>
      <c r="J235" t="s">
        <v>706</v>
      </c>
      <c r="K235" t="s">
        <v>710</v>
      </c>
      <c r="L235" t="s">
        <v>726</v>
      </c>
      <c r="M235" t="s">
        <v>732</v>
      </c>
      <c r="N235">
        <f t="shared" si="30"/>
        <v>4.8320361518391114E-2</v>
      </c>
      <c r="O235" t="s">
        <v>967</v>
      </c>
      <c r="P235" s="4">
        <v>195.54</v>
      </c>
      <c r="Q235" s="4">
        <v>405.97</v>
      </c>
      <c r="R235" s="4" t="str">
        <f t="shared" si="31"/>
        <v>Profit</v>
      </c>
      <c r="S235">
        <v>0.187</v>
      </c>
      <c r="T235" s="4">
        <v>16</v>
      </c>
      <c r="U235">
        <f t="shared" si="32"/>
        <v>5280.8577599999999</v>
      </c>
      <c r="V235">
        <f t="shared" si="33"/>
        <v>3128.64</v>
      </c>
      <c r="W235">
        <f t="shared" si="34"/>
        <v>2152.21776</v>
      </c>
      <c r="X235">
        <f t="shared" si="35"/>
        <v>0.40755079152141377</v>
      </c>
    </row>
    <row r="236" spans="1:24" x14ac:dyDescent="0.25">
      <c r="A236" t="s">
        <v>248</v>
      </c>
      <c r="B236" s="13">
        <v>44999</v>
      </c>
      <c r="C236" s="8">
        <v>45015</v>
      </c>
      <c r="D236" s="8">
        <f t="shared" si="27"/>
        <v>45015</v>
      </c>
      <c r="E236" s="6">
        <f t="shared" si="28"/>
        <v>16</v>
      </c>
      <c r="F236" s="6" t="str">
        <f t="shared" si="29"/>
        <v>Q1-2023</v>
      </c>
      <c r="G236" t="s">
        <v>646</v>
      </c>
      <c r="H236" t="s">
        <v>661</v>
      </c>
      <c r="I236" t="s">
        <v>695</v>
      </c>
      <c r="J236" t="s">
        <v>704</v>
      </c>
      <c r="K236" t="s">
        <v>710</v>
      </c>
      <c r="L236" t="s">
        <v>723</v>
      </c>
      <c r="M236" t="s">
        <v>727</v>
      </c>
      <c r="N236">
        <f t="shared" si="30"/>
        <v>0.13057050094920702</v>
      </c>
      <c r="O236" t="s">
        <v>968</v>
      </c>
      <c r="P236" s="4">
        <v>1309.77</v>
      </c>
      <c r="Q236" s="4">
        <v>1589.07</v>
      </c>
      <c r="R236" s="4" t="str">
        <f t="shared" si="31"/>
        <v>Profit</v>
      </c>
      <c r="S236">
        <v>0.10199999999999999</v>
      </c>
      <c r="T236" s="4">
        <v>10</v>
      </c>
      <c r="U236">
        <f t="shared" si="32"/>
        <v>14269.848599999999</v>
      </c>
      <c r="V236">
        <f t="shared" si="33"/>
        <v>13097.7</v>
      </c>
      <c r="W236">
        <f t="shared" si="34"/>
        <v>1172.1485999999986</v>
      </c>
      <c r="X236">
        <f t="shared" si="35"/>
        <v>8.2141628328137886E-2</v>
      </c>
    </row>
    <row r="237" spans="1:24" x14ac:dyDescent="0.25">
      <c r="A237" t="s">
        <v>249</v>
      </c>
      <c r="B237" s="13">
        <v>45302</v>
      </c>
      <c r="C237" s="8">
        <v>45324</v>
      </c>
      <c r="D237" s="8">
        <f t="shared" si="27"/>
        <v>45324</v>
      </c>
      <c r="E237" s="6">
        <f t="shared" si="28"/>
        <v>22</v>
      </c>
      <c r="F237" s="6" t="str">
        <f t="shared" si="29"/>
        <v>Q1-2024</v>
      </c>
      <c r="G237" t="s">
        <v>647</v>
      </c>
      <c r="H237" t="s">
        <v>652</v>
      </c>
      <c r="I237" t="s">
        <v>694</v>
      </c>
      <c r="J237" t="s">
        <v>705</v>
      </c>
      <c r="K237" t="s">
        <v>708</v>
      </c>
      <c r="L237" t="s">
        <v>1422</v>
      </c>
      <c r="M237" t="s">
        <v>728</v>
      </c>
      <c r="N237">
        <f t="shared" si="30"/>
        <v>0.15884390035619916</v>
      </c>
      <c r="O237" t="s">
        <v>969</v>
      </c>
      <c r="P237" s="4">
        <v>1237.68</v>
      </c>
      <c r="Q237" s="4">
        <v>1432.8</v>
      </c>
      <c r="R237" s="4" t="str">
        <f t="shared" si="31"/>
        <v>Profit</v>
      </c>
      <c r="S237">
        <v>6.8000000000000005E-2</v>
      </c>
      <c r="T237" s="4">
        <v>13</v>
      </c>
      <c r="U237">
        <f t="shared" si="32"/>
        <v>17359.804799999998</v>
      </c>
      <c r="V237">
        <f t="shared" si="33"/>
        <v>16089.84</v>
      </c>
      <c r="W237">
        <f t="shared" si="34"/>
        <v>1269.9647999999979</v>
      </c>
      <c r="X237">
        <f t="shared" si="35"/>
        <v>7.315547695559331E-2</v>
      </c>
    </row>
    <row r="238" spans="1:24" x14ac:dyDescent="0.25">
      <c r="A238" t="s">
        <v>250</v>
      </c>
      <c r="B238" s="13">
        <v>45548</v>
      </c>
      <c r="C238" s="8">
        <v>45567</v>
      </c>
      <c r="D238" s="8">
        <f t="shared" si="27"/>
        <v>45567</v>
      </c>
      <c r="E238" s="6">
        <f t="shared" si="28"/>
        <v>19</v>
      </c>
      <c r="F238" s="6" t="str">
        <f t="shared" si="29"/>
        <v>Q3-2024</v>
      </c>
      <c r="G238" t="s">
        <v>646</v>
      </c>
      <c r="H238" t="s">
        <v>650</v>
      </c>
      <c r="I238" t="s">
        <v>675</v>
      </c>
      <c r="J238" t="s">
        <v>705</v>
      </c>
      <c r="K238" t="s">
        <v>707</v>
      </c>
      <c r="L238" t="s">
        <v>724</v>
      </c>
      <c r="M238" t="s">
        <v>730</v>
      </c>
      <c r="N238">
        <f t="shared" si="30"/>
        <v>0.33890662125534832</v>
      </c>
      <c r="O238" t="s">
        <v>970</v>
      </c>
      <c r="P238" s="4">
        <v>1338.99</v>
      </c>
      <c r="Q238" s="4">
        <v>1765.76</v>
      </c>
      <c r="R238" s="4" t="str">
        <f t="shared" si="31"/>
        <v>Profit</v>
      </c>
      <c r="S238">
        <v>0.126</v>
      </c>
      <c r="T238" s="4">
        <v>24</v>
      </c>
      <c r="U238">
        <f t="shared" si="32"/>
        <v>37038.581760000001</v>
      </c>
      <c r="V238">
        <f t="shared" si="33"/>
        <v>32135.760000000002</v>
      </c>
      <c r="W238">
        <f t="shared" si="34"/>
        <v>4902.8217599999989</v>
      </c>
      <c r="X238">
        <f t="shared" si="35"/>
        <v>0.1323706666677725</v>
      </c>
    </row>
    <row r="239" spans="1:24" x14ac:dyDescent="0.25">
      <c r="A239" t="s">
        <v>251</v>
      </c>
      <c r="B239" s="13">
        <v>45855</v>
      </c>
      <c r="C239" s="8">
        <v>45861</v>
      </c>
      <c r="D239" s="8">
        <f t="shared" si="27"/>
        <v>45861</v>
      </c>
      <c r="E239" s="6">
        <f t="shared" si="28"/>
        <v>6</v>
      </c>
      <c r="F239" s="6" t="str">
        <f t="shared" si="29"/>
        <v>Q3-2025</v>
      </c>
      <c r="G239" t="s">
        <v>648</v>
      </c>
      <c r="H239" t="s">
        <v>653</v>
      </c>
      <c r="I239" t="s">
        <v>688</v>
      </c>
      <c r="J239" t="s">
        <v>704</v>
      </c>
      <c r="K239" t="s">
        <v>708</v>
      </c>
      <c r="L239" t="s">
        <v>722</v>
      </c>
      <c r="M239" t="s">
        <v>727</v>
      </c>
      <c r="N239">
        <f t="shared" si="30"/>
        <v>1.274405677716935</v>
      </c>
      <c r="O239" t="s">
        <v>971</v>
      </c>
      <c r="P239" s="4">
        <v>1364.89</v>
      </c>
      <c r="Q239" s="4">
        <v>2757.54</v>
      </c>
      <c r="R239" s="4" t="str">
        <f t="shared" si="31"/>
        <v>Profit</v>
      </c>
      <c r="S239">
        <v>0.17199999999999999</v>
      </c>
      <c r="T239" s="4">
        <v>61</v>
      </c>
      <c r="U239">
        <f t="shared" si="32"/>
        <v>139277.83032000001</v>
      </c>
      <c r="V239">
        <f t="shared" si="33"/>
        <v>83258.290000000008</v>
      </c>
      <c r="W239">
        <f t="shared" si="34"/>
        <v>56019.54032</v>
      </c>
      <c r="X239">
        <f t="shared" si="35"/>
        <v>0.4022143379983118</v>
      </c>
    </row>
    <row r="240" spans="1:24" x14ac:dyDescent="0.25">
      <c r="A240" t="s">
        <v>252</v>
      </c>
      <c r="B240" s="13">
        <v>45258</v>
      </c>
      <c r="C240" s="8">
        <v>45267</v>
      </c>
      <c r="D240" s="8">
        <f t="shared" si="27"/>
        <v>45267</v>
      </c>
      <c r="E240" s="6">
        <f t="shared" si="28"/>
        <v>9</v>
      </c>
      <c r="F240" s="6" t="str">
        <f t="shared" si="29"/>
        <v>Q4-2023</v>
      </c>
      <c r="G240" t="s">
        <v>647</v>
      </c>
      <c r="H240" t="s">
        <v>654</v>
      </c>
      <c r="I240" t="s">
        <v>680</v>
      </c>
      <c r="J240" t="s">
        <v>706</v>
      </c>
      <c r="K240" t="s">
        <v>709</v>
      </c>
      <c r="L240" t="s">
        <v>716</v>
      </c>
      <c r="M240" t="s">
        <v>730</v>
      </c>
      <c r="N240">
        <f t="shared" si="30"/>
        <v>6.1160964967310702E-2</v>
      </c>
      <c r="O240" t="s">
        <v>972</v>
      </c>
      <c r="P240" s="4">
        <v>699.33</v>
      </c>
      <c r="Q240" s="4">
        <v>873.75</v>
      </c>
      <c r="R240" s="4" t="str">
        <f t="shared" si="31"/>
        <v>Profit</v>
      </c>
      <c r="S240">
        <v>0.23499999999999999</v>
      </c>
      <c r="T240" s="4">
        <v>10</v>
      </c>
      <c r="U240">
        <f t="shared" si="32"/>
        <v>6684.1875</v>
      </c>
      <c r="V240">
        <f t="shared" si="33"/>
        <v>6993.3</v>
      </c>
      <c r="W240">
        <f t="shared" si="34"/>
        <v>-309.11250000000018</v>
      </c>
      <c r="X240">
        <f t="shared" si="35"/>
        <v>-4.6245336475076469E-2</v>
      </c>
    </row>
    <row r="241" spans="1:24" x14ac:dyDescent="0.25">
      <c r="A241" t="s">
        <v>253</v>
      </c>
      <c r="B241" s="13">
        <v>45381</v>
      </c>
      <c r="C241" s="8">
        <v>45406</v>
      </c>
      <c r="D241" s="8">
        <f t="shared" si="27"/>
        <v>45406</v>
      </c>
      <c r="E241" s="6">
        <f t="shared" si="28"/>
        <v>25</v>
      </c>
      <c r="F241" s="6" t="str">
        <f t="shared" si="29"/>
        <v>Q1-2024</v>
      </c>
      <c r="G241" t="s">
        <v>648</v>
      </c>
      <c r="H241" t="s">
        <v>660</v>
      </c>
      <c r="I241" t="s">
        <v>697</v>
      </c>
      <c r="J241" t="s">
        <v>703</v>
      </c>
      <c r="K241" t="s">
        <v>708</v>
      </c>
      <c r="L241" t="s">
        <v>715</v>
      </c>
      <c r="M241" t="s">
        <v>731</v>
      </c>
      <c r="N241">
        <f t="shared" si="30"/>
        <v>3.4985495258912785E-2</v>
      </c>
      <c r="O241" t="s">
        <v>973</v>
      </c>
      <c r="P241" s="4">
        <v>160.82</v>
      </c>
      <c r="Q241" s="4">
        <v>258.52</v>
      </c>
      <c r="R241" s="4" t="str">
        <f t="shared" si="31"/>
        <v>Profit</v>
      </c>
      <c r="S241">
        <v>0.13</v>
      </c>
      <c r="T241" s="4">
        <v>17</v>
      </c>
      <c r="U241">
        <f t="shared" si="32"/>
        <v>3823.5108</v>
      </c>
      <c r="V241">
        <f t="shared" si="33"/>
        <v>2733.94</v>
      </c>
      <c r="W241">
        <f t="shared" si="34"/>
        <v>1089.5708</v>
      </c>
      <c r="X241">
        <f t="shared" si="35"/>
        <v>0.28496605789631874</v>
      </c>
    </row>
    <row r="242" spans="1:24" x14ac:dyDescent="0.25">
      <c r="A242" t="s">
        <v>254</v>
      </c>
      <c r="B242" s="13">
        <v>45188</v>
      </c>
      <c r="C242" s="8">
        <v>45207</v>
      </c>
      <c r="D242" s="8">
        <f t="shared" si="27"/>
        <v>45207</v>
      </c>
      <c r="E242" s="6">
        <f t="shared" si="28"/>
        <v>19</v>
      </c>
      <c r="F242" s="6" t="str">
        <f t="shared" si="29"/>
        <v>Q3-2023</v>
      </c>
      <c r="G242" t="s">
        <v>647</v>
      </c>
      <c r="H242" t="s">
        <v>654</v>
      </c>
      <c r="I242" t="s">
        <v>668</v>
      </c>
      <c r="J242" t="s">
        <v>702</v>
      </c>
      <c r="K242" t="s">
        <v>711</v>
      </c>
      <c r="L242" t="s">
        <v>713</v>
      </c>
      <c r="M242" t="s">
        <v>728</v>
      </c>
      <c r="N242">
        <f t="shared" si="30"/>
        <v>4.0595587448926371E-2</v>
      </c>
      <c r="O242" t="s">
        <v>974</v>
      </c>
      <c r="P242" s="4">
        <v>385.32</v>
      </c>
      <c r="Q242" s="4">
        <v>606.76</v>
      </c>
      <c r="R242" s="4" t="str">
        <f t="shared" si="31"/>
        <v>Profit</v>
      </c>
      <c r="S242">
        <v>8.5999999999999993E-2</v>
      </c>
      <c r="T242" s="4">
        <v>8</v>
      </c>
      <c r="U242">
        <f t="shared" si="32"/>
        <v>4436.6291200000005</v>
      </c>
      <c r="V242">
        <f t="shared" si="33"/>
        <v>3082.56</v>
      </c>
      <c r="W242">
        <f t="shared" si="34"/>
        <v>1354.0691200000006</v>
      </c>
      <c r="X242">
        <f t="shared" si="35"/>
        <v>0.30520223425842735</v>
      </c>
    </row>
    <row r="243" spans="1:24" x14ac:dyDescent="0.25">
      <c r="A243" t="s">
        <v>255</v>
      </c>
      <c r="B243" s="13">
        <v>45793</v>
      </c>
      <c r="C243" s="8">
        <v>45804</v>
      </c>
      <c r="D243" s="8">
        <f t="shared" si="27"/>
        <v>45804</v>
      </c>
      <c r="E243" s="6">
        <f t="shared" si="28"/>
        <v>11</v>
      </c>
      <c r="F243" s="6" t="str">
        <f t="shared" si="29"/>
        <v>Q2-2025</v>
      </c>
      <c r="G243" t="s">
        <v>647</v>
      </c>
      <c r="H243" t="s">
        <v>659</v>
      </c>
      <c r="I243" t="s">
        <v>699</v>
      </c>
      <c r="J243" t="s">
        <v>706</v>
      </c>
      <c r="K243" t="s">
        <v>708</v>
      </c>
      <c r="L243" t="s">
        <v>721</v>
      </c>
      <c r="M243" t="s">
        <v>730</v>
      </c>
      <c r="N243">
        <f t="shared" si="30"/>
        <v>8.861755258726095E-2</v>
      </c>
      <c r="O243" t="s">
        <v>975</v>
      </c>
      <c r="P243" s="4">
        <v>918.12</v>
      </c>
      <c r="Q243" s="4">
        <v>1337.69</v>
      </c>
      <c r="R243" s="4" t="str">
        <f t="shared" si="31"/>
        <v>Profit</v>
      </c>
      <c r="S243">
        <v>9.5000000000000001E-2</v>
      </c>
      <c r="T243" s="4">
        <v>8</v>
      </c>
      <c r="U243">
        <f t="shared" si="32"/>
        <v>9684.8756000000012</v>
      </c>
      <c r="V243">
        <f t="shared" si="33"/>
        <v>7344.96</v>
      </c>
      <c r="W243">
        <f t="shared" si="34"/>
        <v>2339.9156000000012</v>
      </c>
      <c r="X243">
        <f t="shared" si="35"/>
        <v>0.24160512707050164</v>
      </c>
    </row>
    <row r="244" spans="1:24" x14ac:dyDescent="0.25">
      <c r="A244" t="s">
        <v>256</v>
      </c>
      <c r="B244" s="13">
        <v>45871</v>
      </c>
      <c r="C244" s="8">
        <v>45877</v>
      </c>
      <c r="D244" s="8">
        <f t="shared" si="27"/>
        <v>45877</v>
      </c>
      <c r="E244" s="6">
        <f t="shared" si="28"/>
        <v>6</v>
      </c>
      <c r="F244" s="6" t="str">
        <f t="shared" si="29"/>
        <v>Q3-2025</v>
      </c>
      <c r="G244" t="s">
        <v>647</v>
      </c>
      <c r="H244" t="s">
        <v>652</v>
      </c>
      <c r="I244" t="s">
        <v>666</v>
      </c>
      <c r="J244" t="s">
        <v>704</v>
      </c>
      <c r="K244" t="s">
        <v>711</v>
      </c>
      <c r="L244" t="s">
        <v>725</v>
      </c>
      <c r="M244" t="s">
        <v>731</v>
      </c>
      <c r="N244">
        <f t="shared" si="30"/>
        <v>0.31186152247115034</v>
      </c>
      <c r="O244" t="s">
        <v>976</v>
      </c>
      <c r="P244" s="4">
        <v>1225.94</v>
      </c>
      <c r="Q244" s="4">
        <v>1793.08</v>
      </c>
      <c r="R244" s="4" t="str">
        <f t="shared" si="31"/>
        <v>Profit</v>
      </c>
      <c r="S244">
        <v>0.13600000000000001</v>
      </c>
      <c r="T244" s="4">
        <v>22</v>
      </c>
      <c r="U244">
        <f t="shared" si="32"/>
        <v>34082.864639999993</v>
      </c>
      <c r="V244">
        <f t="shared" si="33"/>
        <v>26970.68</v>
      </c>
      <c r="W244">
        <f t="shared" si="34"/>
        <v>7112.1846399999922</v>
      </c>
      <c r="X244">
        <f t="shared" si="35"/>
        <v>0.20867332353434462</v>
      </c>
    </row>
    <row r="245" spans="1:24" x14ac:dyDescent="0.25">
      <c r="A245" t="s">
        <v>257</v>
      </c>
      <c r="B245" s="13">
        <v>45630</v>
      </c>
      <c r="C245" s="8">
        <v>45638</v>
      </c>
      <c r="D245" s="8">
        <f t="shared" si="27"/>
        <v>45638</v>
      </c>
      <c r="E245" s="6">
        <f t="shared" si="28"/>
        <v>8</v>
      </c>
      <c r="F245" s="6" t="str">
        <f t="shared" si="29"/>
        <v>Q4-2024</v>
      </c>
      <c r="G245" t="s">
        <v>649</v>
      </c>
      <c r="H245" t="s">
        <v>656</v>
      </c>
      <c r="I245" t="s">
        <v>698</v>
      </c>
      <c r="J245" t="s">
        <v>706</v>
      </c>
      <c r="K245" t="s">
        <v>709</v>
      </c>
      <c r="L245" t="s">
        <v>717</v>
      </c>
      <c r="M245" t="s">
        <v>728</v>
      </c>
      <c r="N245">
        <f t="shared" si="30"/>
        <v>6.8463135029013938E-3</v>
      </c>
      <c r="O245" t="s">
        <v>977</v>
      </c>
      <c r="P245" s="4">
        <v>72.06</v>
      </c>
      <c r="Q245" s="4">
        <v>122.74</v>
      </c>
      <c r="R245" s="4" t="str">
        <f t="shared" si="31"/>
        <v>Profit</v>
      </c>
      <c r="S245">
        <v>0.23799999999999999</v>
      </c>
      <c r="T245" s="4">
        <v>8</v>
      </c>
      <c r="U245">
        <f t="shared" si="32"/>
        <v>748.22303999999997</v>
      </c>
      <c r="V245">
        <f t="shared" si="33"/>
        <v>576.48</v>
      </c>
      <c r="W245">
        <f t="shared" si="34"/>
        <v>171.74303999999995</v>
      </c>
      <c r="X245">
        <f t="shared" si="35"/>
        <v>0.22953455162246802</v>
      </c>
    </row>
    <row r="246" spans="1:24" x14ac:dyDescent="0.25">
      <c r="A246" t="s">
        <v>258</v>
      </c>
      <c r="B246" s="13">
        <v>45035</v>
      </c>
      <c r="C246" s="8">
        <v>45044</v>
      </c>
      <c r="D246" s="8">
        <f t="shared" si="27"/>
        <v>45044</v>
      </c>
      <c r="E246" s="6">
        <f t="shared" si="28"/>
        <v>9</v>
      </c>
      <c r="F246" s="6" t="str">
        <f t="shared" si="29"/>
        <v>Q2-2023</v>
      </c>
      <c r="G246" t="s">
        <v>648</v>
      </c>
      <c r="H246" t="s">
        <v>655</v>
      </c>
      <c r="I246" t="s">
        <v>692</v>
      </c>
      <c r="J246" t="s">
        <v>701</v>
      </c>
      <c r="K246" t="s">
        <v>710</v>
      </c>
      <c r="L246" t="s">
        <v>724</v>
      </c>
      <c r="M246" t="s">
        <v>730</v>
      </c>
      <c r="N246">
        <f t="shared" si="30"/>
        <v>0.11207657531030352</v>
      </c>
      <c r="O246" t="s">
        <v>978</v>
      </c>
      <c r="P246" s="4">
        <v>1013.54</v>
      </c>
      <c r="Q246" s="4">
        <v>927.93</v>
      </c>
      <c r="R246" s="4" t="str">
        <f t="shared" si="31"/>
        <v>Loss</v>
      </c>
      <c r="S246">
        <v>0.17499999999999999</v>
      </c>
      <c r="T246" s="4">
        <v>16</v>
      </c>
      <c r="U246">
        <f t="shared" si="32"/>
        <v>12248.675999999999</v>
      </c>
      <c r="V246">
        <f t="shared" si="33"/>
        <v>16216.64</v>
      </c>
      <c r="W246">
        <f t="shared" si="34"/>
        <v>-3967.9639999999999</v>
      </c>
      <c r="X246">
        <f t="shared" si="35"/>
        <v>-0.32395044166406234</v>
      </c>
    </row>
    <row r="247" spans="1:24" x14ac:dyDescent="0.25">
      <c r="A247" t="s">
        <v>259</v>
      </c>
      <c r="B247" s="13">
        <v>45357</v>
      </c>
      <c r="C247" s="8">
        <v>45377</v>
      </c>
      <c r="D247" s="8">
        <f t="shared" si="27"/>
        <v>45377</v>
      </c>
      <c r="E247" s="6">
        <f t="shared" si="28"/>
        <v>20</v>
      </c>
      <c r="F247" s="6" t="str">
        <f t="shared" si="29"/>
        <v>Q1-2024</v>
      </c>
      <c r="G247" t="s">
        <v>646</v>
      </c>
      <c r="H247" t="s">
        <v>651</v>
      </c>
      <c r="I247" t="s">
        <v>663</v>
      </c>
      <c r="J247" t="s">
        <v>704</v>
      </c>
      <c r="K247" t="s">
        <v>709</v>
      </c>
      <c r="L247" t="s">
        <v>714</v>
      </c>
      <c r="M247" t="s">
        <v>730</v>
      </c>
      <c r="N247">
        <f t="shared" si="30"/>
        <v>2.6625583300227025E-2</v>
      </c>
      <c r="O247" t="s">
        <v>979</v>
      </c>
      <c r="P247" s="4">
        <v>65.64</v>
      </c>
      <c r="Q247" s="4">
        <v>151.88</v>
      </c>
      <c r="R247" s="4" t="str">
        <f t="shared" si="31"/>
        <v>Profit</v>
      </c>
      <c r="S247">
        <v>0.16700000000000001</v>
      </c>
      <c r="T247" s="4">
        <v>23</v>
      </c>
      <c r="U247">
        <f t="shared" si="32"/>
        <v>2909.8689199999999</v>
      </c>
      <c r="V247">
        <f t="shared" si="33"/>
        <v>1509.72</v>
      </c>
      <c r="W247">
        <f t="shared" si="34"/>
        <v>1400.1489199999999</v>
      </c>
      <c r="X247">
        <f t="shared" si="35"/>
        <v>0.48117250587356353</v>
      </c>
    </row>
    <row r="248" spans="1:24" x14ac:dyDescent="0.25">
      <c r="A248" t="s">
        <v>260</v>
      </c>
      <c r="B248" s="13">
        <v>45338</v>
      </c>
      <c r="C248" s="8">
        <v>45355</v>
      </c>
      <c r="D248" s="8">
        <f t="shared" si="27"/>
        <v>45355</v>
      </c>
      <c r="E248" s="6">
        <f t="shared" si="28"/>
        <v>17</v>
      </c>
      <c r="F248" s="6" t="str">
        <f t="shared" si="29"/>
        <v>Q1-2024</v>
      </c>
      <c r="G248" t="s">
        <v>648</v>
      </c>
      <c r="H248" t="s">
        <v>653</v>
      </c>
      <c r="I248" t="s">
        <v>681</v>
      </c>
      <c r="J248" t="s">
        <v>703</v>
      </c>
      <c r="K248" t="s">
        <v>707</v>
      </c>
      <c r="L248" t="s">
        <v>726</v>
      </c>
      <c r="M248" t="s">
        <v>731</v>
      </c>
      <c r="N248">
        <f t="shared" si="30"/>
        <v>8.9436607063113377E-2</v>
      </c>
      <c r="O248" t="s">
        <v>980</v>
      </c>
      <c r="P248" s="4">
        <v>1350.98</v>
      </c>
      <c r="Q248" s="4">
        <v>2210.4</v>
      </c>
      <c r="R248" s="4" t="str">
        <f t="shared" si="31"/>
        <v>Profit</v>
      </c>
      <c r="S248">
        <v>0.26300000000000001</v>
      </c>
      <c r="T248" s="4">
        <v>6</v>
      </c>
      <c r="U248">
        <f t="shared" si="32"/>
        <v>9774.3888000000006</v>
      </c>
      <c r="V248">
        <f t="shared" si="33"/>
        <v>8105.88</v>
      </c>
      <c r="W248">
        <f t="shared" si="34"/>
        <v>1668.5088000000005</v>
      </c>
      <c r="X248">
        <f t="shared" si="35"/>
        <v>0.17070211080615091</v>
      </c>
    </row>
    <row r="249" spans="1:24" x14ac:dyDescent="0.25">
      <c r="A249" t="s">
        <v>261</v>
      </c>
      <c r="B249" s="13">
        <v>45769</v>
      </c>
      <c r="C249" s="8">
        <v>45779</v>
      </c>
      <c r="D249" s="8">
        <f t="shared" si="27"/>
        <v>45779</v>
      </c>
      <c r="E249" s="6">
        <f t="shared" si="28"/>
        <v>10</v>
      </c>
      <c r="F249" s="6" t="str">
        <f t="shared" si="29"/>
        <v>Q2-2025</v>
      </c>
      <c r="G249" t="s">
        <v>649</v>
      </c>
      <c r="H249" t="s">
        <v>656</v>
      </c>
      <c r="I249" t="s">
        <v>671</v>
      </c>
      <c r="J249" t="s">
        <v>701</v>
      </c>
      <c r="K249" t="s">
        <v>709</v>
      </c>
      <c r="L249" t="s">
        <v>712</v>
      </c>
      <c r="M249" t="s">
        <v>732</v>
      </c>
      <c r="N249">
        <f t="shared" si="30"/>
        <v>5.5569151194357989E-3</v>
      </c>
      <c r="O249" t="s">
        <v>981</v>
      </c>
      <c r="P249" s="4">
        <v>20.149999999999999</v>
      </c>
      <c r="Q249" s="4">
        <v>39.74</v>
      </c>
      <c r="R249" s="4" t="str">
        <f t="shared" si="31"/>
        <v>Profit</v>
      </c>
      <c r="S249">
        <v>0.151</v>
      </c>
      <c r="T249" s="4">
        <v>18</v>
      </c>
      <c r="U249">
        <f t="shared" si="32"/>
        <v>607.30668000000003</v>
      </c>
      <c r="V249">
        <f t="shared" si="33"/>
        <v>362.7</v>
      </c>
      <c r="W249">
        <f t="shared" si="34"/>
        <v>244.60668000000004</v>
      </c>
      <c r="X249">
        <f t="shared" si="35"/>
        <v>0.4027729120318585</v>
      </c>
    </row>
    <row r="250" spans="1:24" x14ac:dyDescent="0.25">
      <c r="A250" t="s">
        <v>262</v>
      </c>
      <c r="B250" s="13">
        <v>45604</v>
      </c>
      <c r="C250" s="8">
        <v>45604</v>
      </c>
      <c r="D250" s="8">
        <f t="shared" si="27"/>
        <v>45604</v>
      </c>
      <c r="E250" s="6">
        <f t="shared" si="28"/>
        <v>0</v>
      </c>
      <c r="F250" s="6" t="str">
        <f t="shared" si="29"/>
        <v>Q4-2024</v>
      </c>
      <c r="G250" t="s">
        <v>646</v>
      </c>
      <c r="H250" t="s">
        <v>650</v>
      </c>
      <c r="I250" t="s">
        <v>678</v>
      </c>
      <c r="J250" t="s">
        <v>706</v>
      </c>
      <c r="K250" t="s">
        <v>709</v>
      </c>
      <c r="L250" t="s">
        <v>724</v>
      </c>
      <c r="M250" t="s">
        <v>729</v>
      </c>
      <c r="N250">
        <f t="shared" si="30"/>
        <v>3.2867514952442424E-2</v>
      </c>
      <c r="O250" t="s">
        <v>982</v>
      </c>
      <c r="P250" s="4">
        <v>803.28</v>
      </c>
      <c r="Q250" s="4">
        <v>1009</v>
      </c>
      <c r="R250" s="4" t="str">
        <f t="shared" si="31"/>
        <v>Profit</v>
      </c>
      <c r="S250">
        <v>0.11</v>
      </c>
      <c r="T250" s="4">
        <v>4</v>
      </c>
      <c r="U250">
        <f t="shared" si="32"/>
        <v>3592.04</v>
      </c>
      <c r="V250">
        <f t="shared" si="33"/>
        <v>3213.12</v>
      </c>
      <c r="W250">
        <f t="shared" si="34"/>
        <v>378.92000000000007</v>
      </c>
      <c r="X250">
        <f t="shared" si="35"/>
        <v>0.10548880302001093</v>
      </c>
    </row>
    <row r="251" spans="1:24" x14ac:dyDescent="0.25">
      <c r="A251" t="s">
        <v>263</v>
      </c>
      <c r="B251" s="13">
        <v>45912</v>
      </c>
      <c r="C251" s="8">
        <v>45930</v>
      </c>
      <c r="D251" s="8">
        <f t="shared" si="27"/>
        <v>45930</v>
      </c>
      <c r="E251" s="6">
        <f t="shared" si="28"/>
        <v>18</v>
      </c>
      <c r="F251" s="6" t="str">
        <f t="shared" si="29"/>
        <v>Q3-2025</v>
      </c>
      <c r="G251" t="s">
        <v>647</v>
      </c>
      <c r="H251" t="s">
        <v>652</v>
      </c>
      <c r="I251" t="s">
        <v>694</v>
      </c>
      <c r="J251" t="s">
        <v>703</v>
      </c>
      <c r="K251" t="s">
        <v>709</v>
      </c>
      <c r="L251" t="s">
        <v>721</v>
      </c>
      <c r="M251" t="s">
        <v>732</v>
      </c>
      <c r="N251">
        <f t="shared" si="30"/>
        <v>0.10809562570879946</v>
      </c>
      <c r="O251" t="s">
        <v>983</v>
      </c>
      <c r="P251" s="4">
        <v>1212.99</v>
      </c>
      <c r="Q251" s="4">
        <v>1653.64</v>
      </c>
      <c r="R251" s="4" t="str">
        <f t="shared" si="31"/>
        <v>Profit</v>
      </c>
      <c r="S251">
        <v>0.107</v>
      </c>
      <c r="T251" s="4">
        <v>8</v>
      </c>
      <c r="U251">
        <f t="shared" si="32"/>
        <v>11813.604160000001</v>
      </c>
      <c r="V251">
        <f t="shared" si="33"/>
        <v>9703.92</v>
      </c>
      <c r="W251">
        <f t="shared" si="34"/>
        <v>2109.6841600000007</v>
      </c>
      <c r="X251">
        <f t="shared" si="35"/>
        <v>0.17858090819931455</v>
      </c>
    </row>
    <row r="252" spans="1:24" x14ac:dyDescent="0.25">
      <c r="A252" t="s">
        <v>264</v>
      </c>
      <c r="B252" s="13">
        <v>45537</v>
      </c>
      <c r="C252" s="8">
        <v>45543</v>
      </c>
      <c r="D252" s="8">
        <f t="shared" si="27"/>
        <v>45543</v>
      </c>
      <c r="E252" s="6">
        <f t="shared" si="28"/>
        <v>6</v>
      </c>
      <c r="F252" s="6" t="str">
        <f t="shared" si="29"/>
        <v>Q3-2024</v>
      </c>
      <c r="G252" t="s">
        <v>648</v>
      </c>
      <c r="H252" t="s">
        <v>660</v>
      </c>
      <c r="I252" t="s">
        <v>697</v>
      </c>
      <c r="J252" t="s">
        <v>704</v>
      </c>
      <c r="K252" t="s">
        <v>711</v>
      </c>
      <c r="L252" t="s">
        <v>722</v>
      </c>
      <c r="M252" t="s">
        <v>727</v>
      </c>
      <c r="N252">
        <f t="shared" si="30"/>
        <v>0.1115064565473867</v>
      </c>
      <c r="O252" t="s">
        <v>984</v>
      </c>
      <c r="P252" s="4">
        <v>462.94</v>
      </c>
      <c r="Q252" s="4">
        <v>1015.7</v>
      </c>
      <c r="R252" s="4" t="str">
        <f t="shared" si="31"/>
        <v>Profit</v>
      </c>
      <c r="S252">
        <v>0.14299999999999999</v>
      </c>
      <c r="T252" s="4">
        <v>14</v>
      </c>
      <c r="U252">
        <f t="shared" si="32"/>
        <v>12186.368600000002</v>
      </c>
      <c r="V252">
        <f t="shared" si="33"/>
        <v>6481.16</v>
      </c>
      <c r="W252">
        <f t="shared" si="34"/>
        <v>5705.2086000000018</v>
      </c>
      <c r="X252">
        <f t="shared" si="35"/>
        <v>0.46816314090483041</v>
      </c>
    </row>
    <row r="253" spans="1:24" x14ac:dyDescent="0.25">
      <c r="A253" t="s">
        <v>265</v>
      </c>
      <c r="B253" s="13">
        <v>44989</v>
      </c>
      <c r="C253" s="8">
        <v>45009</v>
      </c>
      <c r="D253" s="8">
        <f t="shared" si="27"/>
        <v>45009</v>
      </c>
      <c r="E253" s="6">
        <f t="shared" si="28"/>
        <v>20</v>
      </c>
      <c r="F253" s="6" t="str">
        <f t="shared" si="29"/>
        <v>Q1-2023</v>
      </c>
      <c r="G253" t="s">
        <v>648</v>
      </c>
      <c r="H253" t="s">
        <v>653</v>
      </c>
      <c r="I253" t="s">
        <v>681</v>
      </c>
      <c r="J253" t="s">
        <v>704</v>
      </c>
      <c r="K253" t="s">
        <v>710</v>
      </c>
      <c r="L253" t="s">
        <v>714</v>
      </c>
      <c r="M253" t="s">
        <v>731</v>
      </c>
      <c r="N253">
        <f t="shared" si="30"/>
        <v>0.15969978946312272</v>
      </c>
      <c r="O253" t="s">
        <v>985</v>
      </c>
      <c r="P253" s="4">
        <v>481.71</v>
      </c>
      <c r="Q253" s="4">
        <v>912.45</v>
      </c>
      <c r="R253" s="4" t="str">
        <f t="shared" si="31"/>
        <v>Profit</v>
      </c>
      <c r="S253">
        <v>0.20300000000000001</v>
      </c>
      <c r="T253" s="4">
        <v>24</v>
      </c>
      <c r="U253">
        <f t="shared" si="32"/>
        <v>17453.3436</v>
      </c>
      <c r="V253">
        <f t="shared" si="33"/>
        <v>11561.039999999999</v>
      </c>
      <c r="W253">
        <f t="shared" si="34"/>
        <v>5892.3036000000011</v>
      </c>
      <c r="X253">
        <f t="shared" si="35"/>
        <v>0.33760313983619739</v>
      </c>
    </row>
    <row r="254" spans="1:24" x14ac:dyDescent="0.25">
      <c r="A254" t="s">
        <v>266</v>
      </c>
      <c r="B254" s="13">
        <v>45366</v>
      </c>
      <c r="C254" s="8">
        <v>45391</v>
      </c>
      <c r="D254" s="8">
        <f t="shared" si="27"/>
        <v>45391</v>
      </c>
      <c r="E254" s="6">
        <f t="shared" si="28"/>
        <v>25</v>
      </c>
      <c r="F254" s="6" t="str">
        <f t="shared" si="29"/>
        <v>Q1-2024</v>
      </c>
      <c r="G254" t="s">
        <v>648</v>
      </c>
      <c r="H254" t="s">
        <v>653</v>
      </c>
      <c r="I254" t="s">
        <v>688</v>
      </c>
      <c r="J254" t="s">
        <v>704</v>
      </c>
      <c r="K254" t="s">
        <v>708</v>
      </c>
      <c r="L254" t="s">
        <v>721</v>
      </c>
      <c r="M254" t="s">
        <v>732</v>
      </c>
      <c r="N254">
        <f t="shared" si="30"/>
        <v>0.16186176892672949</v>
      </c>
      <c r="O254" t="s">
        <v>986</v>
      </c>
      <c r="P254" s="4">
        <v>648.64</v>
      </c>
      <c r="Q254" s="4">
        <v>815.19</v>
      </c>
      <c r="R254" s="4" t="str">
        <f t="shared" si="31"/>
        <v>Profit</v>
      </c>
      <c r="S254">
        <v>0.22500000000000001</v>
      </c>
      <c r="T254" s="4">
        <v>28</v>
      </c>
      <c r="U254">
        <f t="shared" si="32"/>
        <v>17689.623</v>
      </c>
      <c r="V254">
        <f t="shared" si="33"/>
        <v>18161.919999999998</v>
      </c>
      <c r="W254">
        <f t="shared" si="34"/>
        <v>-472.29699999999866</v>
      </c>
      <c r="X254">
        <f t="shared" si="35"/>
        <v>-2.6699099240272032E-2</v>
      </c>
    </row>
    <row r="255" spans="1:24" x14ac:dyDescent="0.25">
      <c r="A255" t="s">
        <v>267</v>
      </c>
      <c r="B255" s="13">
        <v>45502</v>
      </c>
      <c r="C255" s="8">
        <v>45504</v>
      </c>
      <c r="D255" s="8">
        <f t="shared" si="27"/>
        <v>45504</v>
      </c>
      <c r="E255" s="6">
        <f t="shared" si="28"/>
        <v>2</v>
      </c>
      <c r="F255" s="6" t="str">
        <f t="shared" si="29"/>
        <v>Q3-2024</v>
      </c>
      <c r="G255" t="s">
        <v>648</v>
      </c>
      <c r="H255" t="s">
        <v>660</v>
      </c>
      <c r="I255" t="s">
        <v>700</v>
      </c>
      <c r="J255" t="s">
        <v>702</v>
      </c>
      <c r="K255" t="s">
        <v>709</v>
      </c>
      <c r="L255" t="s">
        <v>714</v>
      </c>
      <c r="M255" t="s">
        <v>728</v>
      </c>
      <c r="N255">
        <f t="shared" si="30"/>
        <v>0.23318029681327879</v>
      </c>
      <c r="O255" t="s">
        <v>987</v>
      </c>
      <c r="P255" s="4">
        <v>798.97</v>
      </c>
      <c r="Q255" s="4">
        <v>1814.06</v>
      </c>
      <c r="R255" s="4" t="str">
        <f t="shared" si="31"/>
        <v>Profit</v>
      </c>
      <c r="S255">
        <v>0.122</v>
      </c>
      <c r="T255" s="4">
        <v>16</v>
      </c>
      <c r="U255">
        <f t="shared" si="32"/>
        <v>25483.91488</v>
      </c>
      <c r="V255">
        <f t="shared" si="33"/>
        <v>12783.52</v>
      </c>
      <c r="W255">
        <f t="shared" si="34"/>
        <v>12700.39488</v>
      </c>
      <c r="X255">
        <f t="shared" si="35"/>
        <v>0.49836906691159061</v>
      </c>
    </row>
    <row r="256" spans="1:24" x14ac:dyDescent="0.25">
      <c r="A256" t="s">
        <v>268</v>
      </c>
      <c r="B256" s="13">
        <v>45592</v>
      </c>
      <c r="C256" s="8">
        <v>45616</v>
      </c>
      <c r="D256" s="8">
        <f t="shared" si="27"/>
        <v>45616</v>
      </c>
      <c r="E256" s="6">
        <f t="shared" si="28"/>
        <v>24</v>
      </c>
      <c r="F256" s="6" t="str">
        <f t="shared" si="29"/>
        <v>Q4-2024</v>
      </c>
      <c r="G256" t="s">
        <v>647</v>
      </c>
      <c r="H256" t="s">
        <v>652</v>
      </c>
      <c r="I256" t="s">
        <v>694</v>
      </c>
      <c r="J256" t="s">
        <v>703</v>
      </c>
      <c r="K256" t="s">
        <v>708</v>
      </c>
      <c r="L256" t="s">
        <v>722</v>
      </c>
      <c r="M256" t="s">
        <v>732</v>
      </c>
      <c r="N256">
        <f t="shared" si="30"/>
        <v>5.9185346081283029E-2</v>
      </c>
      <c r="O256" t="s">
        <v>988</v>
      </c>
      <c r="P256" s="4">
        <v>317.25</v>
      </c>
      <c r="Q256" s="4">
        <v>758.92</v>
      </c>
      <c r="R256" s="4" t="str">
        <f t="shared" si="31"/>
        <v>Profit</v>
      </c>
      <c r="S256">
        <v>5.2999999999999999E-2</v>
      </c>
      <c r="T256" s="4">
        <v>9</v>
      </c>
      <c r="U256">
        <f t="shared" si="32"/>
        <v>6468.2751599999992</v>
      </c>
      <c r="V256">
        <f t="shared" si="33"/>
        <v>2855.25</v>
      </c>
      <c r="W256">
        <f t="shared" si="34"/>
        <v>3613.0251599999992</v>
      </c>
      <c r="X256">
        <f t="shared" si="35"/>
        <v>0.5585762928489888</v>
      </c>
    </row>
    <row r="257" spans="1:24" x14ac:dyDescent="0.25">
      <c r="A257" t="s">
        <v>269</v>
      </c>
      <c r="B257" s="13">
        <v>45411</v>
      </c>
      <c r="C257" s="8">
        <v>45431</v>
      </c>
      <c r="D257" s="8">
        <f t="shared" si="27"/>
        <v>45431</v>
      </c>
      <c r="E257" s="6">
        <f t="shared" si="28"/>
        <v>20</v>
      </c>
      <c r="F257" s="6" t="str">
        <f t="shared" si="29"/>
        <v>Q2-2024</v>
      </c>
      <c r="G257" t="s">
        <v>649</v>
      </c>
      <c r="H257" t="s">
        <v>656</v>
      </c>
      <c r="I257" t="s">
        <v>698</v>
      </c>
      <c r="J257" t="s">
        <v>706</v>
      </c>
      <c r="K257" t="s">
        <v>709</v>
      </c>
      <c r="L257" t="s">
        <v>712</v>
      </c>
      <c r="M257" t="s">
        <v>731</v>
      </c>
      <c r="N257">
        <f t="shared" si="30"/>
        <v>0.22107737840531722</v>
      </c>
      <c r="O257" t="s">
        <v>989</v>
      </c>
      <c r="P257" s="4">
        <v>668.97</v>
      </c>
      <c r="Q257" s="4">
        <v>1667.44</v>
      </c>
      <c r="R257" s="4" t="str">
        <f t="shared" si="31"/>
        <v>Profit</v>
      </c>
      <c r="S257">
        <v>3.4000000000000002E-2</v>
      </c>
      <c r="T257" s="4">
        <v>15</v>
      </c>
      <c r="U257">
        <f t="shared" si="32"/>
        <v>24161.205600000001</v>
      </c>
      <c r="V257">
        <f t="shared" si="33"/>
        <v>10034.550000000001</v>
      </c>
      <c r="W257">
        <f t="shared" si="34"/>
        <v>14126.6556</v>
      </c>
      <c r="X257">
        <f t="shared" si="35"/>
        <v>0.58468339013679016</v>
      </c>
    </row>
    <row r="258" spans="1:24" x14ac:dyDescent="0.25">
      <c r="A258" t="s">
        <v>270</v>
      </c>
      <c r="B258" s="13">
        <v>45204</v>
      </c>
      <c r="C258" s="8">
        <v>45205</v>
      </c>
      <c r="D258" s="8">
        <f t="shared" si="27"/>
        <v>45205</v>
      </c>
      <c r="E258" s="6">
        <f t="shared" si="28"/>
        <v>1</v>
      </c>
      <c r="F258" s="6" t="str">
        <f t="shared" si="29"/>
        <v>Q4-2023</v>
      </c>
      <c r="G258" t="s">
        <v>647</v>
      </c>
      <c r="H258" t="s">
        <v>654</v>
      </c>
      <c r="I258" t="s">
        <v>668</v>
      </c>
      <c r="J258" t="s">
        <v>703</v>
      </c>
      <c r="K258" t="s">
        <v>708</v>
      </c>
      <c r="L258" t="s">
        <v>714</v>
      </c>
      <c r="M258" t="s">
        <v>727</v>
      </c>
      <c r="N258">
        <f t="shared" si="30"/>
        <v>0.17452034866961427</v>
      </c>
      <c r="O258" t="s">
        <v>990</v>
      </c>
      <c r="P258" s="4">
        <v>1470.26</v>
      </c>
      <c r="Q258" s="4">
        <v>2562.5500000000002</v>
      </c>
      <c r="R258" s="4" t="str">
        <f t="shared" si="31"/>
        <v>Profit</v>
      </c>
      <c r="S258">
        <v>0.17299999999999999</v>
      </c>
      <c r="T258" s="4">
        <v>9</v>
      </c>
      <c r="U258">
        <f t="shared" si="32"/>
        <v>19073.059649999999</v>
      </c>
      <c r="V258">
        <f t="shared" si="33"/>
        <v>13232.34</v>
      </c>
      <c r="W258">
        <f t="shared" si="34"/>
        <v>5840.7196499999991</v>
      </c>
      <c r="X258">
        <f t="shared" si="35"/>
        <v>0.30622877279157462</v>
      </c>
    </row>
    <row r="259" spans="1:24" x14ac:dyDescent="0.25">
      <c r="A259" t="s">
        <v>271</v>
      </c>
      <c r="B259" s="13">
        <v>45035</v>
      </c>
      <c r="C259" s="8">
        <v>45053</v>
      </c>
      <c r="D259" s="8">
        <f t="shared" ref="D259:D322" si="36">IF(B259&gt;C259, B259+7, C259)</f>
        <v>45053</v>
      </c>
      <c r="E259" s="6">
        <f t="shared" ref="E259:E322" si="37">(D259-B259)</f>
        <v>18</v>
      </c>
      <c r="F259" s="6" t="str">
        <f t="shared" ref="F259:F322" si="38">"Q"&amp;ROUNDUP(MONTH(B259)/3,0)&amp;"-"&amp;YEAR(B259)</f>
        <v>Q2-2023</v>
      </c>
      <c r="G259" t="s">
        <v>649</v>
      </c>
      <c r="H259" t="s">
        <v>658</v>
      </c>
      <c r="I259" t="s">
        <v>683</v>
      </c>
      <c r="J259" t="s">
        <v>703</v>
      </c>
      <c r="K259" t="s">
        <v>711</v>
      </c>
      <c r="L259" t="s">
        <v>722</v>
      </c>
      <c r="M259" t="s">
        <v>729</v>
      </c>
      <c r="N259">
        <f t="shared" ref="N259:N322" si="39">(U259/$U$634)*100</f>
        <v>2.1906801707204798E-2</v>
      </c>
      <c r="O259" t="s">
        <v>991</v>
      </c>
      <c r="P259" s="4">
        <v>516.96</v>
      </c>
      <c r="Q259" s="4">
        <v>745.38</v>
      </c>
      <c r="R259" s="4" t="str">
        <f t="shared" ref="R259:R322" si="40">IF(Q259&gt;P259, "Profit", IF(Q259&lt;P259, "Loss"))</f>
        <v>Profit</v>
      </c>
      <c r="S259">
        <v>0.19700000000000001</v>
      </c>
      <c r="T259" s="4">
        <v>4</v>
      </c>
      <c r="U259">
        <f t="shared" ref="U259:U322" si="41">Q259*T259*(1-S259)</f>
        <v>2394.1605599999998</v>
      </c>
      <c r="V259">
        <f t="shared" ref="V259:V322" si="42">P259*T259</f>
        <v>2067.84</v>
      </c>
      <c r="W259">
        <f t="shared" ref="W259:W322" si="43">U259-V259</f>
        <v>326.32055999999966</v>
      </c>
      <c r="X259">
        <f t="shared" ref="X259:X322" si="44">IF(U259=0, 0, W259/U259)</f>
        <v>0.13629852794835101</v>
      </c>
    </row>
    <row r="260" spans="1:24" x14ac:dyDescent="0.25">
      <c r="A260" t="s">
        <v>272</v>
      </c>
      <c r="B260" s="13">
        <v>45835</v>
      </c>
      <c r="C260" s="8">
        <v>45843</v>
      </c>
      <c r="D260" s="8">
        <f t="shared" si="36"/>
        <v>45843</v>
      </c>
      <c r="E260" s="6">
        <f t="shared" si="37"/>
        <v>8</v>
      </c>
      <c r="F260" s="6" t="str">
        <f t="shared" si="38"/>
        <v>Q2-2025</v>
      </c>
      <c r="G260" t="s">
        <v>649</v>
      </c>
      <c r="H260" t="s">
        <v>656</v>
      </c>
      <c r="I260" t="s">
        <v>684</v>
      </c>
      <c r="J260" t="s">
        <v>705</v>
      </c>
      <c r="K260" t="s">
        <v>711</v>
      </c>
      <c r="L260" t="s">
        <v>715</v>
      </c>
      <c r="M260" t="s">
        <v>732</v>
      </c>
      <c r="N260">
        <f t="shared" si="39"/>
        <v>4.0034987349068608E-2</v>
      </c>
      <c r="O260" t="s">
        <v>992</v>
      </c>
      <c r="P260" s="4">
        <v>314.93</v>
      </c>
      <c r="Q260" s="4">
        <v>687.95</v>
      </c>
      <c r="R260" s="4" t="str">
        <f t="shared" si="40"/>
        <v>Profit</v>
      </c>
      <c r="S260">
        <v>0.20499999999999999</v>
      </c>
      <c r="T260" s="4">
        <v>8</v>
      </c>
      <c r="U260">
        <f t="shared" si="41"/>
        <v>4375.3620000000001</v>
      </c>
      <c r="V260">
        <f t="shared" si="42"/>
        <v>2519.44</v>
      </c>
      <c r="W260">
        <f t="shared" si="43"/>
        <v>1855.922</v>
      </c>
      <c r="X260">
        <f t="shared" si="44"/>
        <v>0.424175645352316</v>
      </c>
    </row>
    <row r="261" spans="1:24" x14ac:dyDescent="0.25">
      <c r="A261" t="s">
        <v>273</v>
      </c>
      <c r="B261" s="13">
        <v>45210</v>
      </c>
      <c r="C261" s="8">
        <v>45212</v>
      </c>
      <c r="D261" s="8">
        <f t="shared" si="36"/>
        <v>45212</v>
      </c>
      <c r="E261" s="6">
        <f t="shared" si="37"/>
        <v>2</v>
      </c>
      <c r="F261" s="6" t="str">
        <f t="shared" si="38"/>
        <v>Q4-2023</v>
      </c>
      <c r="G261" t="s">
        <v>648</v>
      </c>
      <c r="H261" t="s">
        <v>655</v>
      </c>
      <c r="I261" t="s">
        <v>672</v>
      </c>
      <c r="J261" t="s">
        <v>704</v>
      </c>
      <c r="K261" t="s">
        <v>710</v>
      </c>
      <c r="L261" t="s">
        <v>1422</v>
      </c>
      <c r="M261" t="s">
        <v>733</v>
      </c>
      <c r="N261">
        <f t="shared" si="39"/>
        <v>6.9256748574761551E-2</v>
      </c>
      <c r="O261" t="s">
        <v>993</v>
      </c>
      <c r="P261" s="4">
        <v>715.94</v>
      </c>
      <c r="Q261" s="4">
        <v>550.07000000000005</v>
      </c>
      <c r="R261" s="4" t="str">
        <f t="shared" si="40"/>
        <v>Loss</v>
      </c>
      <c r="S261">
        <v>0.14000000000000001</v>
      </c>
      <c r="T261" s="4">
        <v>16</v>
      </c>
      <c r="U261">
        <f t="shared" si="41"/>
        <v>7568.9632000000001</v>
      </c>
      <c r="V261">
        <f t="shared" si="42"/>
        <v>11455.04</v>
      </c>
      <c r="W261">
        <f t="shared" si="43"/>
        <v>-3886.0768000000007</v>
      </c>
      <c r="X261">
        <f t="shared" si="44"/>
        <v>-0.51342260456491595</v>
      </c>
    </row>
    <row r="262" spans="1:24" x14ac:dyDescent="0.25">
      <c r="A262" t="s">
        <v>274</v>
      </c>
      <c r="B262" s="13">
        <v>45066</v>
      </c>
      <c r="C262" s="8">
        <v>45084</v>
      </c>
      <c r="D262" s="8">
        <f t="shared" si="36"/>
        <v>45084</v>
      </c>
      <c r="E262" s="6">
        <f t="shared" si="37"/>
        <v>18</v>
      </c>
      <c r="F262" s="6" t="str">
        <f t="shared" si="38"/>
        <v>Q2-2023</v>
      </c>
      <c r="G262" t="s">
        <v>646</v>
      </c>
      <c r="H262" t="s">
        <v>651</v>
      </c>
      <c r="I262" t="s">
        <v>663</v>
      </c>
      <c r="J262" t="s">
        <v>706</v>
      </c>
      <c r="K262" t="s">
        <v>710</v>
      </c>
      <c r="L262" t="s">
        <v>718</v>
      </c>
      <c r="M262" t="s">
        <v>727</v>
      </c>
      <c r="N262">
        <f t="shared" si="39"/>
        <v>0.20937870323718197</v>
      </c>
      <c r="O262" t="s">
        <v>994</v>
      </c>
      <c r="P262" s="4">
        <v>1120.06</v>
      </c>
      <c r="Q262" s="4">
        <v>2068.21</v>
      </c>
      <c r="R262" s="4" t="str">
        <f t="shared" si="40"/>
        <v>Profit</v>
      </c>
      <c r="S262">
        <v>7.8E-2</v>
      </c>
      <c r="T262" s="4">
        <v>12</v>
      </c>
      <c r="U262">
        <f t="shared" si="41"/>
        <v>22882.675440000003</v>
      </c>
      <c r="V262">
        <f t="shared" si="42"/>
        <v>13440.72</v>
      </c>
      <c r="W262">
        <f t="shared" si="43"/>
        <v>9441.9554400000034</v>
      </c>
      <c r="X262">
        <f t="shared" si="44"/>
        <v>0.41262462795303284</v>
      </c>
    </row>
    <row r="263" spans="1:24" x14ac:dyDescent="0.25">
      <c r="A263" t="s">
        <v>275</v>
      </c>
      <c r="B263" s="13">
        <v>45073</v>
      </c>
      <c r="C263" s="8">
        <v>45096</v>
      </c>
      <c r="D263" s="8">
        <f t="shared" si="36"/>
        <v>45096</v>
      </c>
      <c r="E263" s="6">
        <f t="shared" si="37"/>
        <v>23</v>
      </c>
      <c r="F263" s="6" t="str">
        <f t="shared" si="38"/>
        <v>Q2-2023</v>
      </c>
      <c r="G263" t="s">
        <v>649</v>
      </c>
      <c r="H263" t="s">
        <v>656</v>
      </c>
      <c r="I263" t="s">
        <v>671</v>
      </c>
      <c r="J263" t="s">
        <v>702</v>
      </c>
      <c r="K263" t="s">
        <v>707</v>
      </c>
      <c r="L263" t="s">
        <v>719</v>
      </c>
      <c r="M263" t="s">
        <v>733</v>
      </c>
      <c r="N263">
        <f t="shared" si="39"/>
        <v>0.16437603994059463</v>
      </c>
      <c r="O263" t="s">
        <v>995</v>
      </c>
      <c r="P263" s="4">
        <v>1471.58</v>
      </c>
      <c r="Q263" s="4">
        <v>2576.65</v>
      </c>
      <c r="R263" s="4" t="str">
        <f t="shared" si="40"/>
        <v>Profit</v>
      </c>
      <c r="S263">
        <v>4.0000000000000001E-3</v>
      </c>
      <c r="T263" s="4">
        <v>7</v>
      </c>
      <c r="U263">
        <f t="shared" si="41"/>
        <v>17964.4038</v>
      </c>
      <c r="V263">
        <f t="shared" si="42"/>
        <v>10301.06</v>
      </c>
      <c r="W263">
        <f t="shared" si="43"/>
        <v>7663.3438000000006</v>
      </c>
      <c r="X263">
        <f t="shared" si="44"/>
        <v>0.4265849223451546</v>
      </c>
    </row>
    <row r="264" spans="1:24" x14ac:dyDescent="0.25">
      <c r="A264" t="s">
        <v>276</v>
      </c>
      <c r="B264" s="13">
        <v>45142</v>
      </c>
      <c r="C264" s="8">
        <v>45162</v>
      </c>
      <c r="D264" s="8">
        <f t="shared" si="36"/>
        <v>45162</v>
      </c>
      <c r="E264" s="6">
        <f t="shared" si="37"/>
        <v>20</v>
      </c>
      <c r="F264" s="6" t="str">
        <f t="shared" si="38"/>
        <v>Q3-2023</v>
      </c>
      <c r="G264" t="s">
        <v>648</v>
      </c>
      <c r="H264" t="s">
        <v>655</v>
      </c>
      <c r="I264" t="s">
        <v>672</v>
      </c>
      <c r="J264" t="s">
        <v>703</v>
      </c>
      <c r="K264" t="s">
        <v>711</v>
      </c>
      <c r="L264" t="s">
        <v>1422</v>
      </c>
      <c r="M264" t="s">
        <v>729</v>
      </c>
      <c r="N264">
        <f t="shared" si="39"/>
        <v>7.4903222283035531E-2</v>
      </c>
      <c r="O264" t="s">
        <v>996</v>
      </c>
      <c r="P264" s="4">
        <v>582.88</v>
      </c>
      <c r="Q264" s="4">
        <v>1044.1400000000001</v>
      </c>
      <c r="R264" s="4" t="str">
        <f t="shared" si="40"/>
        <v>Profit</v>
      </c>
      <c r="S264">
        <v>0.216</v>
      </c>
      <c r="T264" s="4">
        <v>10</v>
      </c>
      <c r="U264">
        <f t="shared" si="41"/>
        <v>8186.057600000001</v>
      </c>
      <c r="V264">
        <f t="shared" si="42"/>
        <v>5828.8</v>
      </c>
      <c r="W264">
        <f t="shared" si="43"/>
        <v>2357.2576000000008</v>
      </c>
      <c r="X264">
        <f t="shared" si="44"/>
        <v>0.28796005539956138</v>
      </c>
    </row>
    <row r="265" spans="1:24" x14ac:dyDescent="0.25">
      <c r="A265" t="s">
        <v>277</v>
      </c>
      <c r="B265" s="13">
        <v>45829</v>
      </c>
      <c r="C265" s="8">
        <v>45835</v>
      </c>
      <c r="D265" s="8">
        <f t="shared" si="36"/>
        <v>45835</v>
      </c>
      <c r="E265" s="6">
        <f t="shared" si="37"/>
        <v>6</v>
      </c>
      <c r="F265" s="6" t="str">
        <f t="shared" si="38"/>
        <v>Q2-2025</v>
      </c>
      <c r="G265" t="s">
        <v>646</v>
      </c>
      <c r="H265" t="s">
        <v>661</v>
      </c>
      <c r="I265" t="s">
        <v>687</v>
      </c>
      <c r="J265" t="s">
        <v>706</v>
      </c>
      <c r="K265" t="s">
        <v>710</v>
      </c>
      <c r="L265" t="s">
        <v>725</v>
      </c>
      <c r="M265" t="s">
        <v>730</v>
      </c>
      <c r="N265">
        <f t="shared" si="39"/>
        <v>5.127424565560249E-3</v>
      </c>
      <c r="O265" t="s">
        <v>997</v>
      </c>
      <c r="P265" s="4">
        <v>93.91</v>
      </c>
      <c r="Q265" s="4">
        <v>99.04</v>
      </c>
      <c r="R265" s="4" t="str">
        <f t="shared" si="40"/>
        <v>Profit</v>
      </c>
      <c r="S265">
        <v>5.7000000000000002E-2</v>
      </c>
      <c r="T265" s="4">
        <v>6</v>
      </c>
      <c r="U265">
        <f t="shared" si="41"/>
        <v>560.36831999999993</v>
      </c>
      <c r="V265">
        <f t="shared" si="42"/>
        <v>563.46</v>
      </c>
      <c r="W265">
        <f t="shared" si="43"/>
        <v>-3.0916800000001103</v>
      </c>
      <c r="X265">
        <f t="shared" si="44"/>
        <v>-5.5172283829323376E-3</v>
      </c>
    </row>
    <row r="266" spans="1:24" x14ac:dyDescent="0.25">
      <c r="A266" t="s">
        <v>278</v>
      </c>
      <c r="B266" s="13">
        <v>45763</v>
      </c>
      <c r="C266" s="8">
        <v>45773</v>
      </c>
      <c r="D266" s="8">
        <f t="shared" si="36"/>
        <v>45773</v>
      </c>
      <c r="E266" s="6">
        <f t="shared" si="37"/>
        <v>10</v>
      </c>
      <c r="F266" s="6" t="str">
        <f t="shared" si="38"/>
        <v>Q2-2025</v>
      </c>
      <c r="G266" t="s">
        <v>646</v>
      </c>
      <c r="H266" t="s">
        <v>651</v>
      </c>
      <c r="I266" t="s">
        <v>663</v>
      </c>
      <c r="J266" t="s">
        <v>706</v>
      </c>
      <c r="K266" t="s">
        <v>709</v>
      </c>
      <c r="L266" t="s">
        <v>721</v>
      </c>
      <c r="M266" t="s">
        <v>731</v>
      </c>
      <c r="N266">
        <f t="shared" si="39"/>
        <v>0.36728375220265197</v>
      </c>
      <c r="O266" t="s">
        <v>998</v>
      </c>
      <c r="P266" s="4">
        <v>1457.44</v>
      </c>
      <c r="Q266" s="4">
        <v>1996.81</v>
      </c>
      <c r="R266" s="4" t="str">
        <f t="shared" si="40"/>
        <v>Profit</v>
      </c>
      <c r="S266">
        <v>0.126</v>
      </c>
      <c r="T266" s="4">
        <v>23</v>
      </c>
      <c r="U266">
        <f t="shared" si="41"/>
        <v>40139.874619999995</v>
      </c>
      <c r="V266">
        <f t="shared" si="42"/>
        <v>33521.120000000003</v>
      </c>
      <c r="W266">
        <f t="shared" si="43"/>
        <v>6618.7546199999924</v>
      </c>
      <c r="X266">
        <f t="shared" si="44"/>
        <v>0.16489225944672353</v>
      </c>
    </row>
    <row r="267" spans="1:24" x14ac:dyDescent="0.25">
      <c r="A267" t="s">
        <v>279</v>
      </c>
      <c r="B267" s="13">
        <v>45902</v>
      </c>
      <c r="C267" s="8">
        <v>45911</v>
      </c>
      <c r="D267" s="8">
        <f t="shared" si="36"/>
        <v>45911</v>
      </c>
      <c r="E267" s="6">
        <f t="shared" si="37"/>
        <v>9</v>
      </c>
      <c r="F267" s="6" t="str">
        <f t="shared" si="38"/>
        <v>Q3-2025</v>
      </c>
      <c r="G267" t="s">
        <v>648</v>
      </c>
      <c r="H267" t="s">
        <v>653</v>
      </c>
      <c r="I267" t="s">
        <v>667</v>
      </c>
      <c r="J267" t="s">
        <v>701</v>
      </c>
      <c r="K267" t="s">
        <v>710</v>
      </c>
      <c r="L267" t="s">
        <v>724</v>
      </c>
      <c r="M267" t="s">
        <v>728</v>
      </c>
      <c r="N267">
        <f t="shared" si="39"/>
        <v>0.11526855229533246</v>
      </c>
      <c r="O267" t="s">
        <v>999</v>
      </c>
      <c r="P267" s="4">
        <v>1207.6300000000001</v>
      </c>
      <c r="Q267" s="4">
        <v>921.68</v>
      </c>
      <c r="R267" s="4" t="str">
        <f t="shared" si="40"/>
        <v>Loss</v>
      </c>
      <c r="S267">
        <v>0.19600000000000001</v>
      </c>
      <c r="T267" s="4">
        <v>17</v>
      </c>
      <c r="U267">
        <f t="shared" si="41"/>
        <v>12597.52224</v>
      </c>
      <c r="V267">
        <f t="shared" si="42"/>
        <v>20529.710000000003</v>
      </c>
      <c r="W267">
        <f t="shared" si="43"/>
        <v>-7932.1877600000025</v>
      </c>
      <c r="X267">
        <f t="shared" si="44"/>
        <v>-0.62966253274897988</v>
      </c>
    </row>
    <row r="268" spans="1:24" x14ac:dyDescent="0.25">
      <c r="A268" t="s">
        <v>280</v>
      </c>
      <c r="B268" s="13">
        <v>45573</v>
      </c>
      <c r="C268" s="8">
        <v>45573</v>
      </c>
      <c r="D268" s="8">
        <f t="shared" si="36"/>
        <v>45573</v>
      </c>
      <c r="E268" s="6">
        <f t="shared" si="37"/>
        <v>0</v>
      </c>
      <c r="F268" s="6" t="str">
        <f t="shared" si="38"/>
        <v>Q4-2024</v>
      </c>
      <c r="G268" t="s">
        <v>649</v>
      </c>
      <c r="H268" t="s">
        <v>658</v>
      </c>
      <c r="I268" t="s">
        <v>683</v>
      </c>
      <c r="J268" t="s">
        <v>701</v>
      </c>
      <c r="K268" t="s">
        <v>708</v>
      </c>
      <c r="L268" t="s">
        <v>718</v>
      </c>
      <c r="M268" t="s">
        <v>732</v>
      </c>
      <c r="N268">
        <f t="shared" si="39"/>
        <v>0.35519542655262093</v>
      </c>
      <c r="O268" t="s">
        <v>1000</v>
      </c>
      <c r="P268" s="4">
        <v>1108.1099999999999</v>
      </c>
      <c r="Q268" s="4">
        <v>2503.79</v>
      </c>
      <c r="R268" s="4" t="str">
        <f t="shared" si="40"/>
        <v>Profit</v>
      </c>
      <c r="S268">
        <v>0.184</v>
      </c>
      <c r="T268" s="4">
        <v>19</v>
      </c>
      <c r="U268">
        <f t="shared" si="41"/>
        <v>38818.760160000005</v>
      </c>
      <c r="V268">
        <f t="shared" si="42"/>
        <v>21054.089999999997</v>
      </c>
      <c r="W268">
        <f t="shared" si="43"/>
        <v>17764.670160000009</v>
      </c>
      <c r="X268">
        <f t="shared" si="44"/>
        <v>0.45763105485025896</v>
      </c>
    </row>
    <row r="269" spans="1:24" x14ac:dyDescent="0.25">
      <c r="A269" t="s">
        <v>281</v>
      </c>
      <c r="B269" s="13">
        <v>45053</v>
      </c>
      <c r="C269" s="8">
        <v>45051</v>
      </c>
      <c r="D269" s="8">
        <f t="shared" si="36"/>
        <v>45060</v>
      </c>
      <c r="E269" s="6">
        <f t="shared" si="37"/>
        <v>7</v>
      </c>
      <c r="F269" s="6" t="str">
        <f t="shared" si="38"/>
        <v>Q2-2023</v>
      </c>
      <c r="G269" t="s">
        <v>646</v>
      </c>
      <c r="H269" t="s">
        <v>651</v>
      </c>
      <c r="I269" t="s">
        <v>663</v>
      </c>
      <c r="J269" t="s">
        <v>703</v>
      </c>
      <c r="K269" t="s">
        <v>709</v>
      </c>
      <c r="L269" t="s">
        <v>720</v>
      </c>
      <c r="M269" t="s">
        <v>727</v>
      </c>
      <c r="N269">
        <f t="shared" si="39"/>
        <v>0.16098707344213981</v>
      </c>
      <c r="O269" t="s">
        <v>1001</v>
      </c>
      <c r="P269" s="4">
        <v>1269.6500000000001</v>
      </c>
      <c r="Q269" s="4">
        <v>2462.77</v>
      </c>
      <c r="R269" s="4" t="str">
        <f t="shared" si="40"/>
        <v>Profit</v>
      </c>
      <c r="S269">
        <v>0.107</v>
      </c>
      <c r="T269" s="4">
        <v>8</v>
      </c>
      <c r="U269">
        <f t="shared" si="41"/>
        <v>17594.028880000002</v>
      </c>
      <c r="V269">
        <f t="shared" si="42"/>
        <v>10157.200000000001</v>
      </c>
      <c r="W269">
        <f t="shared" si="43"/>
        <v>7436.8288800000009</v>
      </c>
      <c r="X269">
        <f t="shared" si="44"/>
        <v>0.42269050089225502</v>
      </c>
    </row>
    <row r="270" spans="1:24" x14ac:dyDescent="0.25">
      <c r="A270" t="s">
        <v>282</v>
      </c>
      <c r="B270" s="13">
        <v>45284</v>
      </c>
      <c r="C270" s="8">
        <v>45292</v>
      </c>
      <c r="D270" s="8">
        <f t="shared" si="36"/>
        <v>45292</v>
      </c>
      <c r="E270" s="6">
        <f t="shared" si="37"/>
        <v>8</v>
      </c>
      <c r="F270" s="6" t="str">
        <f t="shared" si="38"/>
        <v>Q4-2023</v>
      </c>
      <c r="G270" t="s">
        <v>648</v>
      </c>
      <c r="H270" t="s">
        <v>655</v>
      </c>
      <c r="I270" t="s">
        <v>670</v>
      </c>
      <c r="J270" t="s">
        <v>702</v>
      </c>
      <c r="K270" t="s">
        <v>711</v>
      </c>
      <c r="L270" t="s">
        <v>712</v>
      </c>
      <c r="M270" t="s">
        <v>730</v>
      </c>
      <c r="N270">
        <f t="shared" si="39"/>
        <v>6.3563894854073738E-2</v>
      </c>
      <c r="O270" t="s">
        <v>1002</v>
      </c>
      <c r="P270" s="4">
        <v>526.49</v>
      </c>
      <c r="Q270" s="4">
        <v>496.2</v>
      </c>
      <c r="R270" s="4" t="str">
        <f t="shared" si="40"/>
        <v>Loss</v>
      </c>
      <c r="S270">
        <v>0</v>
      </c>
      <c r="T270" s="4">
        <v>14</v>
      </c>
      <c r="U270">
        <f t="shared" si="41"/>
        <v>6946.8</v>
      </c>
      <c r="V270">
        <f t="shared" si="42"/>
        <v>7370.8600000000006</v>
      </c>
      <c r="W270">
        <f t="shared" si="43"/>
        <v>-424.0600000000004</v>
      </c>
      <c r="X270">
        <f t="shared" si="44"/>
        <v>-6.1043933897621985E-2</v>
      </c>
    </row>
    <row r="271" spans="1:24" x14ac:dyDescent="0.25">
      <c r="A271" t="s">
        <v>283</v>
      </c>
      <c r="B271" s="13">
        <v>45301</v>
      </c>
      <c r="C271" s="8">
        <v>45314</v>
      </c>
      <c r="D271" s="8">
        <f t="shared" si="36"/>
        <v>45314</v>
      </c>
      <c r="E271" s="6">
        <f t="shared" si="37"/>
        <v>13</v>
      </c>
      <c r="F271" s="6" t="str">
        <f t="shared" si="38"/>
        <v>Q1-2024</v>
      </c>
      <c r="G271" t="s">
        <v>649</v>
      </c>
      <c r="H271" t="s">
        <v>657</v>
      </c>
      <c r="I271" t="s">
        <v>673</v>
      </c>
      <c r="J271" t="s">
        <v>701</v>
      </c>
      <c r="K271" t="s">
        <v>711</v>
      </c>
      <c r="L271" t="s">
        <v>720</v>
      </c>
      <c r="M271" t="s">
        <v>728</v>
      </c>
      <c r="N271">
        <f t="shared" si="39"/>
        <v>7.0256380217790959E-2</v>
      </c>
      <c r="O271" t="s">
        <v>1003</v>
      </c>
      <c r="P271" s="4">
        <v>720</v>
      </c>
      <c r="Q271" s="4">
        <v>907.59</v>
      </c>
      <c r="R271" s="4" t="str">
        <f t="shared" si="40"/>
        <v>Profit</v>
      </c>
      <c r="S271">
        <v>0.154</v>
      </c>
      <c r="T271" s="4">
        <v>10</v>
      </c>
      <c r="U271">
        <f t="shared" si="41"/>
        <v>7678.2113999999992</v>
      </c>
      <c r="V271">
        <f t="shared" si="42"/>
        <v>7200</v>
      </c>
      <c r="W271">
        <f t="shared" si="43"/>
        <v>478.21139999999923</v>
      </c>
      <c r="X271">
        <f t="shared" si="44"/>
        <v>6.2281614179052078E-2</v>
      </c>
    </row>
    <row r="272" spans="1:24" x14ac:dyDescent="0.25">
      <c r="A272" t="s">
        <v>284</v>
      </c>
      <c r="B272" s="13">
        <v>45141</v>
      </c>
      <c r="C272" s="8">
        <v>45152</v>
      </c>
      <c r="D272" s="8">
        <f t="shared" si="36"/>
        <v>45152</v>
      </c>
      <c r="E272" s="6">
        <f t="shared" si="37"/>
        <v>11</v>
      </c>
      <c r="F272" s="6" t="str">
        <f t="shared" si="38"/>
        <v>Q3-2023</v>
      </c>
      <c r="G272" t="s">
        <v>648</v>
      </c>
      <c r="H272" t="s">
        <v>655</v>
      </c>
      <c r="I272" t="s">
        <v>672</v>
      </c>
      <c r="J272" t="s">
        <v>701</v>
      </c>
      <c r="K272" t="s">
        <v>711</v>
      </c>
      <c r="L272" t="s">
        <v>713</v>
      </c>
      <c r="M272" t="s">
        <v>733</v>
      </c>
      <c r="N272">
        <f t="shared" si="39"/>
        <v>6.6202906397301614E-2</v>
      </c>
      <c r="O272" t="s">
        <v>1004</v>
      </c>
      <c r="P272" s="4">
        <v>232.73</v>
      </c>
      <c r="Q272" s="4">
        <v>334.19</v>
      </c>
      <c r="R272" s="4" t="str">
        <f t="shared" si="40"/>
        <v>Profit</v>
      </c>
      <c r="S272">
        <v>0.13400000000000001</v>
      </c>
      <c r="T272" s="4">
        <v>25</v>
      </c>
      <c r="U272">
        <f t="shared" si="41"/>
        <v>7235.2134999999998</v>
      </c>
      <c r="V272">
        <f t="shared" si="42"/>
        <v>5818.25</v>
      </c>
      <c r="W272">
        <f t="shared" si="43"/>
        <v>1416.9634999999998</v>
      </c>
      <c r="X272">
        <f t="shared" si="44"/>
        <v>0.1958426658729559</v>
      </c>
    </row>
    <row r="273" spans="1:24" x14ac:dyDescent="0.25">
      <c r="A273" t="s">
        <v>285</v>
      </c>
      <c r="B273" s="13">
        <v>45707</v>
      </c>
      <c r="C273" s="8">
        <v>45725</v>
      </c>
      <c r="D273" s="8">
        <f t="shared" si="36"/>
        <v>45725</v>
      </c>
      <c r="E273" s="6">
        <f t="shared" si="37"/>
        <v>18</v>
      </c>
      <c r="F273" s="6" t="str">
        <f t="shared" si="38"/>
        <v>Q1-2025</v>
      </c>
      <c r="G273" t="s">
        <v>647</v>
      </c>
      <c r="H273" t="s">
        <v>654</v>
      </c>
      <c r="I273" t="s">
        <v>680</v>
      </c>
      <c r="J273" t="s">
        <v>705</v>
      </c>
      <c r="K273" t="s">
        <v>711</v>
      </c>
      <c r="L273" t="s">
        <v>719</v>
      </c>
      <c r="M273" t="s">
        <v>732</v>
      </c>
      <c r="N273">
        <f t="shared" si="39"/>
        <v>6.5154626798779758E-2</v>
      </c>
      <c r="O273" t="s">
        <v>1005</v>
      </c>
      <c r="P273" s="4">
        <v>325.87</v>
      </c>
      <c r="Q273" s="4">
        <v>538.79</v>
      </c>
      <c r="R273" s="4" t="str">
        <f t="shared" si="40"/>
        <v>Profit</v>
      </c>
      <c r="S273">
        <v>0.17399999999999999</v>
      </c>
      <c r="T273" s="4">
        <v>16</v>
      </c>
      <c r="U273">
        <f t="shared" si="41"/>
        <v>7120.6486400000003</v>
      </c>
      <c r="V273">
        <f t="shared" si="42"/>
        <v>5213.92</v>
      </c>
      <c r="W273">
        <f t="shared" si="43"/>
        <v>1906.7286400000003</v>
      </c>
      <c r="X273">
        <f t="shared" si="44"/>
        <v>0.26777457172778013</v>
      </c>
    </row>
    <row r="274" spans="1:24" x14ac:dyDescent="0.25">
      <c r="A274" t="s">
        <v>286</v>
      </c>
      <c r="B274" s="13">
        <v>45382</v>
      </c>
      <c r="C274" s="8">
        <v>45399</v>
      </c>
      <c r="D274" s="8">
        <f t="shared" si="36"/>
        <v>45399</v>
      </c>
      <c r="E274" s="6">
        <f t="shared" si="37"/>
        <v>17</v>
      </c>
      <c r="F274" s="6" t="str">
        <f t="shared" si="38"/>
        <v>Q1-2024</v>
      </c>
      <c r="G274" t="s">
        <v>649</v>
      </c>
      <c r="H274" t="s">
        <v>656</v>
      </c>
      <c r="I274" t="s">
        <v>698</v>
      </c>
      <c r="J274" t="s">
        <v>702</v>
      </c>
      <c r="K274" t="s">
        <v>711</v>
      </c>
      <c r="L274" t="s">
        <v>722</v>
      </c>
      <c r="M274" t="s">
        <v>732</v>
      </c>
      <c r="N274">
        <f t="shared" si="39"/>
        <v>0.31688713719980172</v>
      </c>
      <c r="O274" t="s">
        <v>1006</v>
      </c>
      <c r="P274" s="4">
        <v>1025.51</v>
      </c>
      <c r="Q274" s="4">
        <v>1436.54</v>
      </c>
      <c r="R274" s="4" t="str">
        <f t="shared" si="40"/>
        <v>Profit</v>
      </c>
      <c r="S274">
        <v>0.13900000000000001</v>
      </c>
      <c r="T274" s="4">
        <v>28</v>
      </c>
      <c r="U274">
        <f t="shared" si="41"/>
        <v>34632.106319999999</v>
      </c>
      <c r="V274">
        <f t="shared" si="42"/>
        <v>28714.28</v>
      </c>
      <c r="W274">
        <f t="shared" si="43"/>
        <v>5917.8263200000001</v>
      </c>
      <c r="X274">
        <f t="shared" si="44"/>
        <v>0.17087688127656453</v>
      </c>
    </row>
    <row r="275" spans="1:24" x14ac:dyDescent="0.25">
      <c r="A275" t="s">
        <v>287</v>
      </c>
      <c r="B275" s="13">
        <v>45131</v>
      </c>
      <c r="C275" s="8">
        <v>45151</v>
      </c>
      <c r="D275" s="8">
        <f t="shared" si="36"/>
        <v>45151</v>
      </c>
      <c r="E275" s="6">
        <f t="shared" si="37"/>
        <v>20</v>
      </c>
      <c r="F275" s="6" t="str">
        <f t="shared" si="38"/>
        <v>Q3-2023</v>
      </c>
      <c r="G275" t="s">
        <v>648</v>
      </c>
      <c r="H275" t="s">
        <v>653</v>
      </c>
      <c r="I275" t="s">
        <v>681</v>
      </c>
      <c r="J275" t="s">
        <v>702</v>
      </c>
      <c r="K275" t="s">
        <v>711</v>
      </c>
      <c r="L275" t="s">
        <v>712</v>
      </c>
      <c r="M275" t="s">
        <v>732</v>
      </c>
      <c r="N275">
        <f t="shared" si="39"/>
        <v>0.27026382077483696</v>
      </c>
      <c r="O275" t="s">
        <v>1007</v>
      </c>
      <c r="P275" s="4">
        <v>1082.3800000000001</v>
      </c>
      <c r="Q275" s="4">
        <v>1766.55</v>
      </c>
      <c r="R275" s="4" t="str">
        <f t="shared" si="40"/>
        <v>Profit</v>
      </c>
      <c r="S275">
        <v>0.16400000000000001</v>
      </c>
      <c r="T275" s="4">
        <v>20</v>
      </c>
      <c r="U275">
        <f t="shared" si="41"/>
        <v>29536.716</v>
      </c>
      <c r="V275">
        <f t="shared" si="42"/>
        <v>21647.600000000002</v>
      </c>
      <c r="W275">
        <f t="shared" si="43"/>
        <v>7889.1159999999982</v>
      </c>
      <c r="X275">
        <f t="shared" si="44"/>
        <v>0.26709523157550752</v>
      </c>
    </row>
    <row r="276" spans="1:24" x14ac:dyDescent="0.25">
      <c r="A276" t="s">
        <v>288</v>
      </c>
      <c r="B276" s="13">
        <v>45367</v>
      </c>
      <c r="C276" s="8">
        <v>45395</v>
      </c>
      <c r="D276" s="8">
        <f t="shared" si="36"/>
        <v>45395</v>
      </c>
      <c r="E276" s="6">
        <f t="shared" si="37"/>
        <v>28</v>
      </c>
      <c r="F276" s="6" t="str">
        <f t="shared" si="38"/>
        <v>Q1-2024</v>
      </c>
      <c r="G276" t="s">
        <v>649</v>
      </c>
      <c r="H276" t="s">
        <v>657</v>
      </c>
      <c r="I276" t="s">
        <v>690</v>
      </c>
      <c r="J276" t="s">
        <v>705</v>
      </c>
      <c r="K276" t="s">
        <v>708</v>
      </c>
      <c r="L276" t="s">
        <v>723</v>
      </c>
      <c r="M276" t="s">
        <v>728</v>
      </c>
      <c r="N276">
        <f t="shared" si="39"/>
        <v>0.10447058542296334</v>
      </c>
      <c r="O276" t="s">
        <v>1008</v>
      </c>
      <c r="P276" s="4">
        <v>287.61</v>
      </c>
      <c r="Q276" s="4">
        <v>628.54</v>
      </c>
      <c r="R276" s="4" t="str">
        <f t="shared" si="40"/>
        <v>Profit</v>
      </c>
      <c r="S276">
        <v>0.13500000000000001</v>
      </c>
      <c r="T276" s="4">
        <v>21</v>
      </c>
      <c r="U276">
        <f t="shared" si="41"/>
        <v>11417.429099999999</v>
      </c>
      <c r="V276">
        <f t="shared" si="42"/>
        <v>6039.81</v>
      </c>
      <c r="W276">
        <f t="shared" si="43"/>
        <v>5377.619099999999</v>
      </c>
      <c r="X276">
        <f t="shared" si="44"/>
        <v>0.47100087531964613</v>
      </c>
    </row>
    <row r="277" spans="1:24" x14ac:dyDescent="0.25">
      <c r="A277" t="s">
        <v>289</v>
      </c>
      <c r="B277" s="13">
        <v>45316</v>
      </c>
      <c r="C277" s="8">
        <v>45318</v>
      </c>
      <c r="D277" s="8">
        <f t="shared" si="36"/>
        <v>45318</v>
      </c>
      <c r="E277" s="6">
        <f t="shared" si="37"/>
        <v>2</v>
      </c>
      <c r="F277" s="6" t="str">
        <f t="shared" si="38"/>
        <v>Q1-2024</v>
      </c>
      <c r="G277" t="s">
        <v>648</v>
      </c>
      <c r="H277" t="s">
        <v>655</v>
      </c>
      <c r="I277" t="s">
        <v>670</v>
      </c>
      <c r="J277" t="s">
        <v>703</v>
      </c>
      <c r="K277" t="s">
        <v>709</v>
      </c>
      <c r="L277" t="s">
        <v>725</v>
      </c>
      <c r="M277" t="s">
        <v>731</v>
      </c>
      <c r="N277">
        <f t="shared" si="39"/>
        <v>7.839247366320895E-2</v>
      </c>
      <c r="O277" t="s">
        <v>1009</v>
      </c>
      <c r="P277" s="4">
        <v>1410.97</v>
      </c>
      <c r="Q277" s="4">
        <v>1650.75</v>
      </c>
      <c r="R277" s="4" t="str">
        <f t="shared" si="40"/>
        <v>Profit</v>
      </c>
      <c r="S277">
        <v>0.13500000000000001</v>
      </c>
      <c r="T277" s="4">
        <v>6</v>
      </c>
      <c r="U277">
        <f t="shared" si="41"/>
        <v>8567.3924999999999</v>
      </c>
      <c r="V277">
        <f t="shared" si="42"/>
        <v>8465.82</v>
      </c>
      <c r="W277">
        <f t="shared" si="43"/>
        <v>101.57250000000022</v>
      </c>
      <c r="X277">
        <f t="shared" si="44"/>
        <v>1.1855707556295596E-2</v>
      </c>
    </row>
    <row r="278" spans="1:24" x14ac:dyDescent="0.25">
      <c r="A278" t="s">
        <v>290</v>
      </c>
      <c r="B278" s="13">
        <v>45378</v>
      </c>
      <c r="C278" s="8">
        <v>45393</v>
      </c>
      <c r="D278" s="8">
        <f t="shared" si="36"/>
        <v>45393</v>
      </c>
      <c r="E278" s="6">
        <f t="shared" si="37"/>
        <v>15</v>
      </c>
      <c r="F278" s="6" t="str">
        <f t="shared" si="38"/>
        <v>Q1-2024</v>
      </c>
      <c r="G278" t="s">
        <v>648</v>
      </c>
      <c r="H278" t="s">
        <v>660</v>
      </c>
      <c r="I278" t="s">
        <v>686</v>
      </c>
      <c r="J278" t="s">
        <v>705</v>
      </c>
      <c r="K278" t="s">
        <v>711</v>
      </c>
      <c r="L278" t="s">
        <v>719</v>
      </c>
      <c r="M278" t="s">
        <v>729</v>
      </c>
      <c r="N278">
        <f t="shared" si="39"/>
        <v>0.72787884524620938</v>
      </c>
      <c r="O278" t="s">
        <v>1010</v>
      </c>
      <c r="P278" s="4">
        <v>1338.35</v>
      </c>
      <c r="Q278" s="4">
        <v>2247.14</v>
      </c>
      <c r="R278" s="4" t="str">
        <f t="shared" si="40"/>
        <v>Profit</v>
      </c>
      <c r="S278">
        <v>0.115</v>
      </c>
      <c r="T278" s="4">
        <v>40</v>
      </c>
      <c r="U278">
        <f t="shared" si="41"/>
        <v>79548.755999999994</v>
      </c>
      <c r="V278">
        <f t="shared" si="42"/>
        <v>53534</v>
      </c>
      <c r="W278">
        <f t="shared" si="43"/>
        <v>26014.755999999994</v>
      </c>
      <c r="X278">
        <f t="shared" si="44"/>
        <v>0.32702907384246205</v>
      </c>
    </row>
    <row r="279" spans="1:24" x14ac:dyDescent="0.25">
      <c r="A279" t="s">
        <v>291</v>
      </c>
      <c r="B279" s="13">
        <v>45832</v>
      </c>
      <c r="C279" s="8">
        <v>45852</v>
      </c>
      <c r="D279" s="8">
        <f t="shared" si="36"/>
        <v>45852</v>
      </c>
      <c r="E279" s="6">
        <f t="shared" si="37"/>
        <v>20</v>
      </c>
      <c r="F279" s="6" t="str">
        <f t="shared" si="38"/>
        <v>Q2-2025</v>
      </c>
      <c r="G279" t="s">
        <v>649</v>
      </c>
      <c r="H279" t="s">
        <v>656</v>
      </c>
      <c r="I279" t="s">
        <v>671</v>
      </c>
      <c r="J279" t="s">
        <v>701</v>
      </c>
      <c r="K279" t="s">
        <v>711</v>
      </c>
      <c r="L279" t="s">
        <v>719</v>
      </c>
      <c r="M279" t="s">
        <v>733</v>
      </c>
      <c r="N279">
        <f t="shared" si="39"/>
        <v>5.5509489632934755E-2</v>
      </c>
      <c r="O279" t="s">
        <v>1011</v>
      </c>
      <c r="P279" s="4">
        <v>385.08</v>
      </c>
      <c r="Q279" s="4">
        <v>893.19</v>
      </c>
      <c r="R279" s="4" t="str">
        <f t="shared" si="40"/>
        <v>Profit</v>
      </c>
      <c r="S279">
        <v>0.151</v>
      </c>
      <c r="T279" s="4">
        <v>8</v>
      </c>
      <c r="U279">
        <f t="shared" si="41"/>
        <v>6066.54648</v>
      </c>
      <c r="V279">
        <f t="shared" si="42"/>
        <v>3080.64</v>
      </c>
      <c r="W279">
        <f t="shared" si="43"/>
        <v>2985.9064800000001</v>
      </c>
      <c r="X279">
        <f t="shared" si="44"/>
        <v>0.49219213762621666</v>
      </c>
    </row>
    <row r="280" spans="1:24" x14ac:dyDescent="0.25">
      <c r="A280" t="s">
        <v>292</v>
      </c>
      <c r="B280" s="13">
        <v>45459</v>
      </c>
      <c r="C280" s="8">
        <v>45476</v>
      </c>
      <c r="D280" s="8">
        <f t="shared" si="36"/>
        <v>45476</v>
      </c>
      <c r="E280" s="6">
        <f t="shared" si="37"/>
        <v>17</v>
      </c>
      <c r="F280" s="6" t="str">
        <f t="shared" si="38"/>
        <v>Q2-2024</v>
      </c>
      <c r="G280" t="s">
        <v>646</v>
      </c>
      <c r="H280" t="s">
        <v>661</v>
      </c>
      <c r="I280" t="s">
        <v>682</v>
      </c>
      <c r="J280" t="s">
        <v>706</v>
      </c>
      <c r="K280" t="s">
        <v>709</v>
      </c>
      <c r="L280" t="s">
        <v>721</v>
      </c>
      <c r="M280" t="s">
        <v>730</v>
      </c>
      <c r="N280">
        <f t="shared" si="39"/>
        <v>0.31879253220126663</v>
      </c>
      <c r="O280" t="s">
        <v>1012</v>
      </c>
      <c r="P280" s="4">
        <v>1173.83</v>
      </c>
      <c r="Q280" s="4">
        <v>2328.9</v>
      </c>
      <c r="R280" s="4" t="str">
        <f t="shared" si="40"/>
        <v>Profit</v>
      </c>
      <c r="S280">
        <v>0.12</v>
      </c>
      <c r="T280" s="4">
        <v>17</v>
      </c>
      <c r="U280">
        <f t="shared" si="41"/>
        <v>34840.344000000005</v>
      </c>
      <c r="V280">
        <f t="shared" si="42"/>
        <v>19955.11</v>
      </c>
      <c r="W280">
        <f t="shared" si="43"/>
        <v>14885.234000000004</v>
      </c>
      <c r="X280">
        <f t="shared" si="44"/>
        <v>0.42724130393201637</v>
      </c>
    </row>
    <row r="281" spans="1:24" x14ac:dyDescent="0.25">
      <c r="A281" t="s">
        <v>293</v>
      </c>
      <c r="B281" s="13">
        <v>45229</v>
      </c>
      <c r="C281" s="8">
        <v>45244</v>
      </c>
      <c r="D281" s="8">
        <f t="shared" si="36"/>
        <v>45244</v>
      </c>
      <c r="E281" s="6">
        <f t="shared" si="37"/>
        <v>15</v>
      </c>
      <c r="F281" s="6" t="str">
        <f t="shared" si="38"/>
        <v>Q4-2023</v>
      </c>
      <c r="G281" t="s">
        <v>647</v>
      </c>
      <c r="H281" t="s">
        <v>654</v>
      </c>
      <c r="I281" t="s">
        <v>668</v>
      </c>
      <c r="J281" t="s">
        <v>701</v>
      </c>
      <c r="K281" t="s">
        <v>708</v>
      </c>
      <c r="L281" t="s">
        <v>721</v>
      </c>
      <c r="M281" t="s">
        <v>731</v>
      </c>
      <c r="N281">
        <f t="shared" si="39"/>
        <v>8.1506251722004555E-2</v>
      </c>
      <c r="O281" t="s">
        <v>1013</v>
      </c>
      <c r="P281" s="4">
        <v>953.46</v>
      </c>
      <c r="Q281" s="4">
        <v>2066.75</v>
      </c>
      <c r="R281" s="4" t="str">
        <f t="shared" si="40"/>
        <v>Profit</v>
      </c>
      <c r="S281">
        <v>0.13800000000000001</v>
      </c>
      <c r="T281" s="4">
        <v>5</v>
      </c>
      <c r="U281">
        <f t="shared" si="41"/>
        <v>8907.6924999999992</v>
      </c>
      <c r="V281">
        <f t="shared" si="42"/>
        <v>4767.3</v>
      </c>
      <c r="W281">
        <f t="shared" si="43"/>
        <v>4140.392499999999</v>
      </c>
      <c r="X281">
        <f t="shared" si="44"/>
        <v>0.46481089238318446</v>
      </c>
    </row>
    <row r="282" spans="1:24" x14ac:dyDescent="0.25">
      <c r="A282" t="s">
        <v>294</v>
      </c>
      <c r="B282" s="13">
        <v>45092</v>
      </c>
      <c r="C282" s="8">
        <v>45100</v>
      </c>
      <c r="D282" s="8">
        <f t="shared" si="36"/>
        <v>45100</v>
      </c>
      <c r="E282" s="6">
        <f t="shared" si="37"/>
        <v>8</v>
      </c>
      <c r="F282" s="6" t="str">
        <f t="shared" si="38"/>
        <v>Q2-2023</v>
      </c>
      <c r="G282" t="s">
        <v>648</v>
      </c>
      <c r="H282" t="s">
        <v>660</v>
      </c>
      <c r="I282" t="s">
        <v>686</v>
      </c>
      <c r="J282" t="s">
        <v>704</v>
      </c>
      <c r="K282" t="s">
        <v>710</v>
      </c>
      <c r="L282" t="s">
        <v>719</v>
      </c>
      <c r="M282" t="s">
        <v>732</v>
      </c>
      <c r="N282">
        <f t="shared" si="39"/>
        <v>0.15958704123408152</v>
      </c>
      <c r="O282" t="s">
        <v>1014</v>
      </c>
      <c r="P282" s="4">
        <v>1097.0899999999999</v>
      </c>
      <c r="Q282" s="4">
        <v>2182.31</v>
      </c>
      <c r="R282" s="4" t="str">
        <f t="shared" si="40"/>
        <v>Profit</v>
      </c>
      <c r="S282">
        <v>0.112</v>
      </c>
      <c r="T282" s="4">
        <v>9</v>
      </c>
      <c r="U282">
        <f t="shared" si="41"/>
        <v>17441.021520000002</v>
      </c>
      <c r="V282">
        <f t="shared" si="42"/>
        <v>9873.81</v>
      </c>
      <c r="W282">
        <f t="shared" si="43"/>
        <v>7567.2115200000026</v>
      </c>
      <c r="X282">
        <f t="shared" si="44"/>
        <v>0.43387432962699546</v>
      </c>
    </row>
    <row r="283" spans="1:24" x14ac:dyDescent="0.25">
      <c r="A283" t="s">
        <v>295</v>
      </c>
      <c r="B283" s="13">
        <v>45730</v>
      </c>
      <c r="C283" s="8">
        <v>45745</v>
      </c>
      <c r="D283" s="8">
        <f t="shared" si="36"/>
        <v>45745</v>
      </c>
      <c r="E283" s="6">
        <f t="shared" si="37"/>
        <v>15</v>
      </c>
      <c r="F283" s="6" t="str">
        <f t="shared" si="38"/>
        <v>Q1-2025</v>
      </c>
      <c r="G283" t="s">
        <v>647</v>
      </c>
      <c r="H283" t="s">
        <v>652</v>
      </c>
      <c r="I283" t="s">
        <v>689</v>
      </c>
      <c r="J283" t="s">
        <v>703</v>
      </c>
      <c r="K283" t="s">
        <v>711</v>
      </c>
      <c r="L283" t="s">
        <v>722</v>
      </c>
      <c r="M283" t="s">
        <v>729</v>
      </c>
      <c r="N283">
        <f t="shared" si="39"/>
        <v>0.11928039390581514</v>
      </c>
      <c r="O283" t="s">
        <v>1015</v>
      </c>
      <c r="P283" s="4">
        <v>1106.96</v>
      </c>
      <c r="Q283" s="4">
        <v>2726.62</v>
      </c>
      <c r="R283" s="4" t="str">
        <f t="shared" si="40"/>
        <v>Profit</v>
      </c>
      <c r="S283">
        <v>0.317</v>
      </c>
      <c r="T283" s="4">
        <v>7</v>
      </c>
      <c r="U283">
        <f t="shared" si="41"/>
        <v>13035.970220000001</v>
      </c>
      <c r="V283">
        <f t="shared" si="42"/>
        <v>7748.72</v>
      </c>
      <c r="W283">
        <f t="shared" si="43"/>
        <v>5287.2502200000008</v>
      </c>
      <c r="X283">
        <f t="shared" si="44"/>
        <v>0.40558931408789306</v>
      </c>
    </row>
    <row r="284" spans="1:24" x14ac:dyDescent="0.25">
      <c r="A284" t="s">
        <v>296</v>
      </c>
      <c r="B284" s="13">
        <v>45153</v>
      </c>
      <c r="C284" s="8">
        <v>45163</v>
      </c>
      <c r="D284" s="8">
        <f t="shared" si="36"/>
        <v>45163</v>
      </c>
      <c r="E284" s="6">
        <f t="shared" si="37"/>
        <v>10</v>
      </c>
      <c r="F284" s="6" t="str">
        <f t="shared" si="38"/>
        <v>Q3-2023</v>
      </c>
      <c r="G284" t="s">
        <v>646</v>
      </c>
      <c r="H284" t="s">
        <v>650</v>
      </c>
      <c r="I284" t="s">
        <v>664</v>
      </c>
      <c r="J284" t="s">
        <v>705</v>
      </c>
      <c r="K284" t="s">
        <v>707</v>
      </c>
      <c r="L284" t="s">
        <v>725</v>
      </c>
      <c r="M284" t="s">
        <v>730</v>
      </c>
      <c r="N284">
        <f t="shared" si="39"/>
        <v>6.1098858682932002E-3</v>
      </c>
      <c r="O284" t="s">
        <v>1016</v>
      </c>
      <c r="P284" s="4">
        <v>91.85</v>
      </c>
      <c r="Q284" s="4">
        <v>111.29</v>
      </c>
      <c r="R284" s="4" t="str">
        <f t="shared" si="40"/>
        <v>Profit</v>
      </c>
      <c r="S284">
        <v>0</v>
      </c>
      <c r="T284" s="4">
        <v>6</v>
      </c>
      <c r="U284">
        <f t="shared" si="41"/>
        <v>667.74</v>
      </c>
      <c r="V284">
        <f t="shared" si="42"/>
        <v>551.09999999999991</v>
      </c>
      <c r="W284">
        <f t="shared" si="43"/>
        <v>116.6400000000001</v>
      </c>
      <c r="X284">
        <f t="shared" si="44"/>
        <v>0.17467876718483258</v>
      </c>
    </row>
    <row r="285" spans="1:24" x14ac:dyDescent="0.25">
      <c r="A285" t="s">
        <v>297</v>
      </c>
      <c r="B285" s="13">
        <v>45794</v>
      </c>
      <c r="C285" s="8">
        <v>45805</v>
      </c>
      <c r="D285" s="8">
        <f t="shared" si="36"/>
        <v>45805</v>
      </c>
      <c r="E285" s="6">
        <f t="shared" si="37"/>
        <v>11</v>
      </c>
      <c r="F285" s="6" t="str">
        <f t="shared" si="38"/>
        <v>Q2-2025</v>
      </c>
      <c r="G285" t="s">
        <v>647</v>
      </c>
      <c r="H285" t="s">
        <v>654</v>
      </c>
      <c r="I285" t="s">
        <v>668</v>
      </c>
      <c r="J285" t="s">
        <v>701</v>
      </c>
      <c r="K285" t="s">
        <v>710</v>
      </c>
      <c r="L285" t="s">
        <v>717</v>
      </c>
      <c r="M285" t="s">
        <v>731</v>
      </c>
      <c r="N285">
        <f t="shared" si="39"/>
        <v>0.10702097168726191</v>
      </c>
      <c r="O285" t="s">
        <v>1017</v>
      </c>
      <c r="P285" s="4">
        <v>623.4</v>
      </c>
      <c r="Q285" s="4">
        <v>1100.0899999999999</v>
      </c>
      <c r="R285" s="4" t="str">
        <f t="shared" si="40"/>
        <v>Profit</v>
      </c>
      <c r="S285">
        <v>0.114</v>
      </c>
      <c r="T285" s="4">
        <v>12</v>
      </c>
      <c r="U285">
        <f t="shared" si="41"/>
        <v>11696.156879999999</v>
      </c>
      <c r="V285">
        <f t="shared" si="42"/>
        <v>7480.7999999999993</v>
      </c>
      <c r="W285">
        <f t="shared" si="43"/>
        <v>4215.3568799999994</v>
      </c>
      <c r="X285">
        <f t="shared" si="44"/>
        <v>0.36040529579490388</v>
      </c>
    </row>
    <row r="286" spans="1:24" x14ac:dyDescent="0.25">
      <c r="A286" t="s">
        <v>298</v>
      </c>
      <c r="B286" s="13">
        <v>45304</v>
      </c>
      <c r="C286" s="8">
        <v>45327</v>
      </c>
      <c r="D286" s="8">
        <f t="shared" si="36"/>
        <v>45327</v>
      </c>
      <c r="E286" s="6">
        <f t="shared" si="37"/>
        <v>23</v>
      </c>
      <c r="F286" s="6" t="str">
        <f t="shared" si="38"/>
        <v>Q1-2024</v>
      </c>
      <c r="G286" t="s">
        <v>649</v>
      </c>
      <c r="H286" t="s">
        <v>656</v>
      </c>
      <c r="I286" t="s">
        <v>698</v>
      </c>
      <c r="J286" t="s">
        <v>702</v>
      </c>
      <c r="K286" t="s">
        <v>711</v>
      </c>
      <c r="L286" t="s">
        <v>717</v>
      </c>
      <c r="M286" t="s">
        <v>731</v>
      </c>
      <c r="N286">
        <f t="shared" si="39"/>
        <v>0.14187664463585903</v>
      </c>
      <c r="O286" t="s">
        <v>1018</v>
      </c>
      <c r="P286" s="4">
        <v>1017.93</v>
      </c>
      <c r="Q286" s="4">
        <v>1529.14</v>
      </c>
      <c r="R286" s="4" t="str">
        <f t="shared" si="40"/>
        <v>Profit</v>
      </c>
      <c r="S286">
        <v>0.155</v>
      </c>
      <c r="T286" s="4">
        <v>12</v>
      </c>
      <c r="U286">
        <f t="shared" si="41"/>
        <v>15505.479600000001</v>
      </c>
      <c r="V286">
        <f t="shared" si="42"/>
        <v>12215.16</v>
      </c>
      <c r="W286">
        <f t="shared" si="43"/>
        <v>3290.3196000000007</v>
      </c>
      <c r="X286">
        <f t="shared" si="44"/>
        <v>0.21220366508366503</v>
      </c>
    </row>
    <row r="287" spans="1:24" x14ac:dyDescent="0.25">
      <c r="A287" t="s">
        <v>299</v>
      </c>
      <c r="B287" s="13">
        <v>45101</v>
      </c>
      <c r="C287" s="8">
        <v>45128</v>
      </c>
      <c r="D287" s="8">
        <f t="shared" si="36"/>
        <v>45128</v>
      </c>
      <c r="E287" s="6">
        <f t="shared" si="37"/>
        <v>27</v>
      </c>
      <c r="F287" s="6" t="str">
        <f t="shared" si="38"/>
        <v>Q2-2023</v>
      </c>
      <c r="G287" t="s">
        <v>647</v>
      </c>
      <c r="H287" t="s">
        <v>652</v>
      </c>
      <c r="I287" t="s">
        <v>694</v>
      </c>
      <c r="J287" t="s">
        <v>704</v>
      </c>
      <c r="K287" t="s">
        <v>709</v>
      </c>
      <c r="L287" t="s">
        <v>713</v>
      </c>
      <c r="M287" t="s">
        <v>730</v>
      </c>
      <c r="N287">
        <f t="shared" si="39"/>
        <v>3.6405010219818318E-2</v>
      </c>
      <c r="O287" t="s">
        <v>1019</v>
      </c>
      <c r="P287" s="4">
        <v>554.76</v>
      </c>
      <c r="Q287" s="4">
        <v>728.69</v>
      </c>
      <c r="R287" s="4" t="str">
        <f t="shared" si="40"/>
        <v>Profit</v>
      </c>
      <c r="S287">
        <v>0.22</v>
      </c>
      <c r="T287" s="4">
        <v>7</v>
      </c>
      <c r="U287">
        <f t="shared" si="41"/>
        <v>3978.6474000000003</v>
      </c>
      <c r="V287">
        <f t="shared" si="42"/>
        <v>3883.3199999999997</v>
      </c>
      <c r="W287">
        <f t="shared" si="43"/>
        <v>95.32740000000058</v>
      </c>
      <c r="X287">
        <f t="shared" si="44"/>
        <v>2.395975074343119E-2</v>
      </c>
    </row>
    <row r="288" spans="1:24" x14ac:dyDescent="0.25">
      <c r="A288" t="s">
        <v>300</v>
      </c>
      <c r="B288" s="13">
        <v>45751</v>
      </c>
      <c r="C288" s="8">
        <v>45760</v>
      </c>
      <c r="D288" s="8">
        <f t="shared" si="36"/>
        <v>45760</v>
      </c>
      <c r="E288" s="6">
        <f t="shared" si="37"/>
        <v>9</v>
      </c>
      <c r="F288" s="6" t="str">
        <f t="shared" si="38"/>
        <v>Q2-2025</v>
      </c>
      <c r="G288" t="s">
        <v>649</v>
      </c>
      <c r="H288" t="s">
        <v>656</v>
      </c>
      <c r="I288" t="s">
        <v>684</v>
      </c>
      <c r="J288" t="s">
        <v>704</v>
      </c>
      <c r="K288" t="s">
        <v>709</v>
      </c>
      <c r="L288" t="s">
        <v>721</v>
      </c>
      <c r="M288" t="s">
        <v>730</v>
      </c>
      <c r="N288">
        <f t="shared" si="39"/>
        <v>6.9667668457473395E-4</v>
      </c>
      <c r="O288" t="s">
        <v>1020</v>
      </c>
      <c r="P288" s="4">
        <v>7.02</v>
      </c>
      <c r="Q288" s="4">
        <v>6.28</v>
      </c>
      <c r="R288" s="4" t="str">
        <f t="shared" si="40"/>
        <v>Loss</v>
      </c>
      <c r="S288">
        <v>0.13400000000000001</v>
      </c>
      <c r="T288" s="4">
        <v>14</v>
      </c>
      <c r="U288">
        <f t="shared" si="41"/>
        <v>76.138720000000006</v>
      </c>
      <c r="V288">
        <f t="shared" si="42"/>
        <v>98.28</v>
      </c>
      <c r="W288">
        <f t="shared" si="43"/>
        <v>-22.141279999999995</v>
      </c>
      <c r="X288">
        <f t="shared" si="44"/>
        <v>-0.29080184169106066</v>
      </c>
    </row>
    <row r="289" spans="1:24" x14ac:dyDescent="0.25">
      <c r="A289" t="s">
        <v>301</v>
      </c>
      <c r="B289" s="13">
        <v>45542</v>
      </c>
      <c r="C289" s="8">
        <v>45542</v>
      </c>
      <c r="D289" s="8">
        <f t="shared" si="36"/>
        <v>45542</v>
      </c>
      <c r="E289" s="6">
        <f t="shared" si="37"/>
        <v>0</v>
      </c>
      <c r="F289" s="6" t="str">
        <f t="shared" si="38"/>
        <v>Q3-2024</v>
      </c>
      <c r="G289" t="s">
        <v>647</v>
      </c>
      <c r="H289" t="s">
        <v>654</v>
      </c>
      <c r="I289" t="s">
        <v>691</v>
      </c>
      <c r="J289" t="s">
        <v>702</v>
      </c>
      <c r="K289" t="s">
        <v>710</v>
      </c>
      <c r="L289" t="s">
        <v>717</v>
      </c>
      <c r="M289" t="s">
        <v>729</v>
      </c>
      <c r="N289">
        <f t="shared" si="39"/>
        <v>0.18326535024427351</v>
      </c>
      <c r="O289" t="s">
        <v>1021</v>
      </c>
      <c r="P289" s="4">
        <v>1066.6500000000001</v>
      </c>
      <c r="Q289" s="4">
        <v>2569.77</v>
      </c>
      <c r="R289" s="4" t="str">
        <f t="shared" si="40"/>
        <v>Profit</v>
      </c>
      <c r="S289">
        <v>0.13400000000000001</v>
      </c>
      <c r="T289" s="4">
        <v>9</v>
      </c>
      <c r="U289">
        <f t="shared" si="41"/>
        <v>20028.787380000002</v>
      </c>
      <c r="V289">
        <f t="shared" si="42"/>
        <v>9599.85</v>
      </c>
      <c r="W289">
        <f t="shared" si="43"/>
        <v>10428.937380000001</v>
      </c>
      <c r="X289">
        <f t="shared" si="44"/>
        <v>0.52069739331368348</v>
      </c>
    </row>
    <row r="290" spans="1:24" x14ac:dyDescent="0.25">
      <c r="A290" t="s">
        <v>302</v>
      </c>
      <c r="B290" s="13">
        <v>45319</v>
      </c>
      <c r="C290" s="8">
        <v>45321</v>
      </c>
      <c r="D290" s="8">
        <f t="shared" si="36"/>
        <v>45321</v>
      </c>
      <c r="E290" s="6">
        <f t="shared" si="37"/>
        <v>2</v>
      </c>
      <c r="F290" s="6" t="str">
        <f t="shared" si="38"/>
        <v>Q1-2024</v>
      </c>
      <c r="G290" t="s">
        <v>646</v>
      </c>
      <c r="H290" t="s">
        <v>661</v>
      </c>
      <c r="I290" t="s">
        <v>695</v>
      </c>
      <c r="J290" t="s">
        <v>704</v>
      </c>
      <c r="K290" t="s">
        <v>711</v>
      </c>
      <c r="L290" t="s">
        <v>721</v>
      </c>
      <c r="M290" t="s">
        <v>733</v>
      </c>
      <c r="N290">
        <f t="shared" si="39"/>
        <v>0.24490271831352747</v>
      </c>
      <c r="O290" t="s">
        <v>1022</v>
      </c>
      <c r="P290" s="4">
        <v>798.45</v>
      </c>
      <c r="Q290" s="4">
        <v>1592.02</v>
      </c>
      <c r="R290" s="4" t="str">
        <f t="shared" si="40"/>
        <v>Profit</v>
      </c>
      <c r="S290">
        <v>6.6000000000000003E-2</v>
      </c>
      <c r="T290" s="4">
        <v>18</v>
      </c>
      <c r="U290">
        <f t="shared" si="41"/>
        <v>26765.040239999998</v>
      </c>
      <c r="V290">
        <f t="shared" si="42"/>
        <v>14372.1</v>
      </c>
      <c r="W290">
        <f t="shared" si="43"/>
        <v>12392.940239999998</v>
      </c>
      <c r="X290">
        <f t="shared" si="44"/>
        <v>0.46302714768494585</v>
      </c>
    </row>
    <row r="291" spans="1:24" x14ac:dyDescent="0.25">
      <c r="A291" t="s">
        <v>303</v>
      </c>
      <c r="B291" s="13">
        <v>45125</v>
      </c>
      <c r="C291" s="8">
        <v>45148</v>
      </c>
      <c r="D291" s="8">
        <f t="shared" si="36"/>
        <v>45148</v>
      </c>
      <c r="E291" s="6">
        <f t="shared" si="37"/>
        <v>23</v>
      </c>
      <c r="F291" s="6" t="str">
        <f t="shared" si="38"/>
        <v>Q3-2023</v>
      </c>
      <c r="G291" t="s">
        <v>646</v>
      </c>
      <c r="H291" t="s">
        <v>661</v>
      </c>
      <c r="I291" t="s">
        <v>682</v>
      </c>
      <c r="J291" t="s">
        <v>705</v>
      </c>
      <c r="K291" t="s">
        <v>707</v>
      </c>
      <c r="L291" t="s">
        <v>716</v>
      </c>
      <c r="M291" t="s">
        <v>727</v>
      </c>
      <c r="N291">
        <f t="shared" si="39"/>
        <v>9.5677230251436901E-2</v>
      </c>
      <c r="O291" t="s">
        <v>1023</v>
      </c>
      <c r="P291" s="4">
        <v>1271.56</v>
      </c>
      <c r="Q291" s="4">
        <v>995.47</v>
      </c>
      <c r="R291" s="4" t="str">
        <f t="shared" si="40"/>
        <v>Loss</v>
      </c>
      <c r="S291">
        <v>0.192</v>
      </c>
      <c r="T291" s="4">
        <v>13</v>
      </c>
      <c r="U291">
        <f t="shared" si="41"/>
        <v>10456.416880000001</v>
      </c>
      <c r="V291">
        <f t="shared" si="42"/>
        <v>16530.28</v>
      </c>
      <c r="W291">
        <f t="shared" si="43"/>
        <v>-6073.8631199999982</v>
      </c>
      <c r="X291">
        <f t="shared" si="44"/>
        <v>-0.58087423155607754</v>
      </c>
    </row>
    <row r="292" spans="1:24" x14ac:dyDescent="0.25">
      <c r="A292" t="s">
        <v>304</v>
      </c>
      <c r="B292" s="13">
        <v>45897</v>
      </c>
      <c r="C292" s="8">
        <v>45895</v>
      </c>
      <c r="D292" s="8">
        <f t="shared" si="36"/>
        <v>45904</v>
      </c>
      <c r="E292" s="6">
        <f t="shared" si="37"/>
        <v>7</v>
      </c>
      <c r="F292" s="6" t="str">
        <f t="shared" si="38"/>
        <v>Q3-2025</v>
      </c>
      <c r="G292" t="s">
        <v>646</v>
      </c>
      <c r="H292" t="s">
        <v>651</v>
      </c>
      <c r="I292" t="s">
        <v>663</v>
      </c>
      <c r="J292" t="s">
        <v>705</v>
      </c>
      <c r="K292" t="s">
        <v>707</v>
      </c>
      <c r="L292" t="s">
        <v>720</v>
      </c>
      <c r="M292" t="s">
        <v>733</v>
      </c>
      <c r="N292">
        <f t="shared" si="39"/>
        <v>0.17445616686869991</v>
      </c>
      <c r="O292" t="s">
        <v>1024</v>
      </c>
      <c r="P292" s="4">
        <v>521.05999999999995</v>
      </c>
      <c r="Q292" s="4">
        <v>1240.31</v>
      </c>
      <c r="R292" s="4" t="str">
        <f t="shared" si="40"/>
        <v>Profit</v>
      </c>
      <c r="S292">
        <v>0.14599999999999999</v>
      </c>
      <c r="T292" s="4">
        <v>18</v>
      </c>
      <c r="U292">
        <f t="shared" si="41"/>
        <v>19066.045319999997</v>
      </c>
      <c r="V292">
        <f t="shared" si="42"/>
        <v>9379.0799999999981</v>
      </c>
      <c r="W292">
        <f t="shared" si="43"/>
        <v>9686.9653199999993</v>
      </c>
      <c r="X292">
        <f t="shared" si="44"/>
        <v>0.50807417885650974</v>
      </c>
    </row>
    <row r="293" spans="1:24" x14ac:dyDescent="0.25">
      <c r="A293" t="s">
        <v>305</v>
      </c>
      <c r="B293" s="13">
        <v>45746</v>
      </c>
      <c r="C293" s="8">
        <v>45754</v>
      </c>
      <c r="D293" s="8">
        <f t="shared" si="36"/>
        <v>45754</v>
      </c>
      <c r="E293" s="6">
        <f t="shared" si="37"/>
        <v>8</v>
      </c>
      <c r="F293" s="6" t="str">
        <f t="shared" si="38"/>
        <v>Q1-2025</v>
      </c>
      <c r="G293" t="s">
        <v>648</v>
      </c>
      <c r="H293" t="s">
        <v>655</v>
      </c>
      <c r="I293" t="s">
        <v>670</v>
      </c>
      <c r="J293" t="s">
        <v>703</v>
      </c>
      <c r="K293" t="s">
        <v>711</v>
      </c>
      <c r="L293" t="s">
        <v>716</v>
      </c>
      <c r="M293" t="s">
        <v>728</v>
      </c>
      <c r="N293">
        <f t="shared" si="39"/>
        <v>1.005547254035115E-2</v>
      </c>
      <c r="O293" t="s">
        <v>1025</v>
      </c>
      <c r="P293" s="4">
        <v>71.62</v>
      </c>
      <c r="Q293" s="4">
        <v>118.37</v>
      </c>
      <c r="R293" s="4" t="str">
        <f t="shared" si="40"/>
        <v>Profit</v>
      </c>
      <c r="S293">
        <v>0.156</v>
      </c>
      <c r="T293" s="4">
        <v>11</v>
      </c>
      <c r="U293">
        <f t="shared" si="41"/>
        <v>1098.9470800000001</v>
      </c>
      <c r="V293">
        <f t="shared" si="42"/>
        <v>787.82</v>
      </c>
      <c r="W293">
        <f t="shared" si="43"/>
        <v>311.12708000000009</v>
      </c>
      <c r="X293">
        <f t="shared" si="44"/>
        <v>0.28311379652603474</v>
      </c>
    </row>
    <row r="294" spans="1:24" x14ac:dyDescent="0.25">
      <c r="A294" t="s">
        <v>306</v>
      </c>
      <c r="B294" s="13">
        <v>45220</v>
      </c>
      <c r="C294" s="8">
        <v>45239</v>
      </c>
      <c r="D294" s="8">
        <f t="shared" si="36"/>
        <v>45239</v>
      </c>
      <c r="E294" s="6">
        <f t="shared" si="37"/>
        <v>19</v>
      </c>
      <c r="F294" s="6" t="str">
        <f t="shared" si="38"/>
        <v>Q4-2023</v>
      </c>
      <c r="G294" t="s">
        <v>649</v>
      </c>
      <c r="H294" t="s">
        <v>658</v>
      </c>
      <c r="I294" t="s">
        <v>683</v>
      </c>
      <c r="J294" t="s">
        <v>703</v>
      </c>
      <c r="K294" t="s">
        <v>711</v>
      </c>
      <c r="L294" t="s">
        <v>720</v>
      </c>
      <c r="M294" t="s">
        <v>733</v>
      </c>
      <c r="N294">
        <f t="shared" si="39"/>
        <v>0.21388895649527132</v>
      </c>
      <c r="O294" t="s">
        <v>1026</v>
      </c>
      <c r="P294" s="4">
        <v>1142.48</v>
      </c>
      <c r="Q294" s="4">
        <v>2105.5300000000002</v>
      </c>
      <c r="R294" s="4" t="str">
        <f t="shared" si="40"/>
        <v>Profit</v>
      </c>
      <c r="S294">
        <v>0.20699999999999999</v>
      </c>
      <c r="T294" s="4">
        <v>14</v>
      </c>
      <c r="U294">
        <f t="shared" si="41"/>
        <v>23375.594060000003</v>
      </c>
      <c r="V294">
        <f t="shared" si="42"/>
        <v>15994.720000000001</v>
      </c>
      <c r="W294">
        <f t="shared" si="43"/>
        <v>7380.8740600000019</v>
      </c>
      <c r="X294">
        <f t="shared" si="44"/>
        <v>0.31575129346680658</v>
      </c>
    </row>
    <row r="295" spans="1:24" x14ac:dyDescent="0.25">
      <c r="A295" t="s">
        <v>307</v>
      </c>
      <c r="B295" s="13">
        <v>45161</v>
      </c>
      <c r="C295" s="8">
        <v>45191</v>
      </c>
      <c r="D295" s="8">
        <f t="shared" si="36"/>
        <v>45191</v>
      </c>
      <c r="E295" s="6">
        <f t="shared" si="37"/>
        <v>30</v>
      </c>
      <c r="F295" s="6" t="str">
        <f t="shared" si="38"/>
        <v>Q3-2023</v>
      </c>
      <c r="G295" t="s">
        <v>649</v>
      </c>
      <c r="H295" t="s">
        <v>658</v>
      </c>
      <c r="I295" t="s">
        <v>683</v>
      </c>
      <c r="J295" t="s">
        <v>704</v>
      </c>
      <c r="K295" t="s">
        <v>710</v>
      </c>
      <c r="L295" t="s">
        <v>719</v>
      </c>
      <c r="M295" t="s">
        <v>733</v>
      </c>
      <c r="N295">
        <f t="shared" si="39"/>
        <v>6.7547343896114206E-2</v>
      </c>
      <c r="O295" t="s">
        <v>1027</v>
      </c>
      <c r="P295" s="4">
        <v>209.81</v>
      </c>
      <c r="Q295" s="4">
        <v>523</v>
      </c>
      <c r="R295" s="4" t="str">
        <f t="shared" si="40"/>
        <v>Profit</v>
      </c>
      <c r="S295">
        <v>5.8999999999999997E-2</v>
      </c>
      <c r="T295" s="4">
        <v>15</v>
      </c>
      <c r="U295">
        <f t="shared" si="41"/>
        <v>7382.1450000000004</v>
      </c>
      <c r="V295">
        <f t="shared" si="42"/>
        <v>3147.15</v>
      </c>
      <c r="W295">
        <f t="shared" si="43"/>
        <v>4234.9950000000008</v>
      </c>
      <c r="X295">
        <f t="shared" si="44"/>
        <v>0.57368082041195356</v>
      </c>
    </row>
    <row r="296" spans="1:24" x14ac:dyDescent="0.25">
      <c r="A296" t="s">
        <v>308</v>
      </c>
      <c r="B296" s="13">
        <v>45758</v>
      </c>
      <c r="C296" s="8">
        <v>45781</v>
      </c>
      <c r="D296" s="8">
        <f t="shared" si="36"/>
        <v>45781</v>
      </c>
      <c r="E296" s="6">
        <f t="shared" si="37"/>
        <v>23</v>
      </c>
      <c r="F296" s="6" t="str">
        <f t="shared" si="38"/>
        <v>Q2-2025</v>
      </c>
      <c r="G296" t="s">
        <v>647</v>
      </c>
      <c r="H296" t="s">
        <v>652</v>
      </c>
      <c r="I296" t="s">
        <v>666</v>
      </c>
      <c r="J296" t="s">
        <v>705</v>
      </c>
      <c r="K296" t="s">
        <v>708</v>
      </c>
      <c r="L296" t="s">
        <v>724</v>
      </c>
      <c r="M296" t="s">
        <v>727</v>
      </c>
      <c r="N296">
        <f t="shared" si="39"/>
        <v>8.1467743538165452E-2</v>
      </c>
      <c r="O296" t="s">
        <v>1028</v>
      </c>
      <c r="P296" s="4">
        <v>786.2</v>
      </c>
      <c r="Q296" s="4">
        <v>1075.3</v>
      </c>
      <c r="R296" s="4" t="str">
        <f t="shared" si="40"/>
        <v>Profit</v>
      </c>
      <c r="S296">
        <v>0.08</v>
      </c>
      <c r="T296" s="4">
        <v>9</v>
      </c>
      <c r="U296">
        <f t="shared" si="41"/>
        <v>8903.4839999999986</v>
      </c>
      <c r="V296">
        <f t="shared" si="42"/>
        <v>7075.8</v>
      </c>
      <c r="W296">
        <f t="shared" si="43"/>
        <v>1827.6839999999984</v>
      </c>
      <c r="X296">
        <f t="shared" si="44"/>
        <v>0.20527739478163815</v>
      </c>
    </row>
    <row r="297" spans="1:24" x14ac:dyDescent="0.25">
      <c r="A297" t="s">
        <v>309</v>
      </c>
      <c r="B297" s="13">
        <v>45809</v>
      </c>
      <c r="C297" s="8">
        <v>45835</v>
      </c>
      <c r="D297" s="8">
        <f t="shared" si="36"/>
        <v>45835</v>
      </c>
      <c r="E297" s="6">
        <f t="shared" si="37"/>
        <v>26</v>
      </c>
      <c r="F297" s="6" t="str">
        <f t="shared" si="38"/>
        <v>Q2-2025</v>
      </c>
      <c r="G297" t="s">
        <v>649</v>
      </c>
      <c r="H297" t="s">
        <v>656</v>
      </c>
      <c r="I297" t="s">
        <v>684</v>
      </c>
      <c r="J297" t="s">
        <v>704</v>
      </c>
      <c r="K297" t="s">
        <v>710</v>
      </c>
      <c r="L297" t="s">
        <v>718</v>
      </c>
      <c r="M297" t="s">
        <v>731</v>
      </c>
      <c r="N297">
        <f t="shared" si="39"/>
        <v>0.18717425115734093</v>
      </c>
      <c r="O297" t="s">
        <v>1029</v>
      </c>
      <c r="P297" s="4">
        <v>1362.31</v>
      </c>
      <c r="Q297" s="4">
        <v>3294.57</v>
      </c>
      <c r="R297" s="4" t="str">
        <f t="shared" si="40"/>
        <v>Profit</v>
      </c>
      <c r="S297">
        <v>0.113</v>
      </c>
      <c r="T297" s="4">
        <v>7</v>
      </c>
      <c r="U297">
        <f t="shared" si="41"/>
        <v>20455.985130000001</v>
      </c>
      <c r="V297">
        <f t="shared" si="42"/>
        <v>9536.17</v>
      </c>
      <c r="W297">
        <f t="shared" si="43"/>
        <v>10919.815130000001</v>
      </c>
      <c r="X297">
        <f t="shared" si="44"/>
        <v>0.5338200561157721</v>
      </c>
    </row>
    <row r="298" spans="1:24" x14ac:dyDescent="0.25">
      <c r="A298" t="s">
        <v>310</v>
      </c>
      <c r="B298" s="13">
        <v>45353</v>
      </c>
      <c r="C298" s="8">
        <v>45367</v>
      </c>
      <c r="D298" s="8">
        <f t="shared" si="36"/>
        <v>45367</v>
      </c>
      <c r="E298" s="6">
        <f t="shared" si="37"/>
        <v>14</v>
      </c>
      <c r="F298" s="6" t="str">
        <f t="shared" si="38"/>
        <v>Q1-2024</v>
      </c>
      <c r="G298" t="s">
        <v>648</v>
      </c>
      <c r="H298" t="s">
        <v>653</v>
      </c>
      <c r="I298" t="s">
        <v>688</v>
      </c>
      <c r="J298" t="s">
        <v>703</v>
      </c>
      <c r="K298" t="s">
        <v>711</v>
      </c>
      <c r="L298" t="s">
        <v>719</v>
      </c>
      <c r="M298" t="s">
        <v>728</v>
      </c>
      <c r="N298">
        <f t="shared" si="39"/>
        <v>3.8813623689423607E-2</v>
      </c>
      <c r="O298" t="s">
        <v>1030</v>
      </c>
      <c r="P298" s="4">
        <v>248.24</v>
      </c>
      <c r="Q298" s="4">
        <v>464.05</v>
      </c>
      <c r="R298" s="4" t="str">
        <f t="shared" si="40"/>
        <v>Profit</v>
      </c>
      <c r="S298">
        <v>0.16900000000000001</v>
      </c>
      <c r="T298" s="4">
        <v>11</v>
      </c>
      <c r="U298">
        <f t="shared" si="41"/>
        <v>4241.88105</v>
      </c>
      <c r="V298">
        <f t="shared" si="42"/>
        <v>2730.6400000000003</v>
      </c>
      <c r="W298">
        <f t="shared" si="43"/>
        <v>1511.2410499999996</v>
      </c>
      <c r="X298">
        <f t="shared" si="44"/>
        <v>0.3562667203975462</v>
      </c>
    </row>
    <row r="299" spans="1:24" x14ac:dyDescent="0.25">
      <c r="A299" t="s">
        <v>311</v>
      </c>
      <c r="B299" s="13">
        <v>45097</v>
      </c>
      <c r="C299" s="8">
        <v>45115</v>
      </c>
      <c r="D299" s="8">
        <f t="shared" si="36"/>
        <v>45115</v>
      </c>
      <c r="E299" s="6">
        <f t="shared" si="37"/>
        <v>18</v>
      </c>
      <c r="F299" s="6" t="str">
        <f t="shared" si="38"/>
        <v>Q2-2023</v>
      </c>
      <c r="G299" t="s">
        <v>648</v>
      </c>
      <c r="H299" t="s">
        <v>660</v>
      </c>
      <c r="I299" t="s">
        <v>697</v>
      </c>
      <c r="J299" t="s">
        <v>703</v>
      </c>
      <c r="K299" t="s">
        <v>711</v>
      </c>
      <c r="L299" t="s">
        <v>721</v>
      </c>
      <c r="M299" t="s">
        <v>732</v>
      </c>
      <c r="N299">
        <f t="shared" si="39"/>
        <v>2.9196782558495924E-2</v>
      </c>
      <c r="O299" t="s">
        <v>1031</v>
      </c>
      <c r="P299" s="4">
        <v>337</v>
      </c>
      <c r="Q299" s="4">
        <v>511.03</v>
      </c>
      <c r="R299" s="4" t="str">
        <f t="shared" si="40"/>
        <v>Profit</v>
      </c>
      <c r="S299">
        <v>0.108</v>
      </c>
      <c r="T299" s="4">
        <v>7</v>
      </c>
      <c r="U299">
        <f t="shared" si="41"/>
        <v>3190.8713200000002</v>
      </c>
      <c r="V299">
        <f t="shared" si="42"/>
        <v>2359</v>
      </c>
      <c r="W299">
        <f t="shared" si="43"/>
        <v>831.8713200000002</v>
      </c>
      <c r="X299">
        <f t="shared" si="44"/>
        <v>0.26070349963219458</v>
      </c>
    </row>
    <row r="300" spans="1:24" x14ac:dyDescent="0.25">
      <c r="A300" t="s">
        <v>312</v>
      </c>
      <c r="B300" s="13">
        <v>45377</v>
      </c>
      <c r="C300" s="8">
        <v>45387</v>
      </c>
      <c r="D300" s="8">
        <f t="shared" si="36"/>
        <v>45387</v>
      </c>
      <c r="E300" s="6">
        <f t="shared" si="37"/>
        <v>10</v>
      </c>
      <c r="F300" s="6" t="str">
        <f t="shared" si="38"/>
        <v>Q1-2024</v>
      </c>
      <c r="G300" t="s">
        <v>648</v>
      </c>
      <c r="H300" t="s">
        <v>660</v>
      </c>
      <c r="I300" t="s">
        <v>697</v>
      </c>
      <c r="J300" t="s">
        <v>704</v>
      </c>
      <c r="K300" t="s">
        <v>711</v>
      </c>
      <c r="L300" t="s">
        <v>713</v>
      </c>
      <c r="M300" t="s">
        <v>732</v>
      </c>
      <c r="N300">
        <f t="shared" si="39"/>
        <v>6.1233145508647201E-4</v>
      </c>
      <c r="O300" t="s">
        <v>1032</v>
      </c>
      <c r="P300" s="4">
        <v>5.66</v>
      </c>
      <c r="Q300" s="4">
        <v>4.22</v>
      </c>
      <c r="R300" s="4" t="str">
        <f t="shared" si="40"/>
        <v>Loss</v>
      </c>
      <c r="S300">
        <v>0.11899999999999999</v>
      </c>
      <c r="T300" s="4">
        <v>18</v>
      </c>
      <c r="U300">
        <f t="shared" si="41"/>
        <v>66.920760000000001</v>
      </c>
      <c r="V300">
        <f t="shared" si="42"/>
        <v>101.88</v>
      </c>
      <c r="W300">
        <f t="shared" si="43"/>
        <v>-34.959239999999994</v>
      </c>
      <c r="X300">
        <f t="shared" si="44"/>
        <v>-0.52239753403876454</v>
      </c>
    </row>
    <row r="301" spans="1:24" x14ac:dyDescent="0.25">
      <c r="A301" t="s">
        <v>313</v>
      </c>
      <c r="B301" s="13">
        <v>45679</v>
      </c>
      <c r="C301" s="8">
        <v>45679</v>
      </c>
      <c r="D301" s="8">
        <f t="shared" si="36"/>
        <v>45679</v>
      </c>
      <c r="E301" s="6">
        <f t="shared" si="37"/>
        <v>0</v>
      </c>
      <c r="F301" s="6" t="str">
        <f t="shared" si="38"/>
        <v>Q1-2025</v>
      </c>
      <c r="G301" t="s">
        <v>649</v>
      </c>
      <c r="H301" t="s">
        <v>657</v>
      </c>
      <c r="I301" t="s">
        <v>679</v>
      </c>
      <c r="J301" t="s">
        <v>705</v>
      </c>
      <c r="K301" t="s">
        <v>708</v>
      </c>
      <c r="L301" t="s">
        <v>717</v>
      </c>
      <c r="M301" t="s">
        <v>733</v>
      </c>
      <c r="N301">
        <f t="shared" si="39"/>
        <v>0.11619964568469535</v>
      </c>
      <c r="O301" t="s">
        <v>1033</v>
      </c>
      <c r="P301" s="4">
        <v>591.72</v>
      </c>
      <c r="Q301" s="4">
        <v>577.24</v>
      </c>
      <c r="R301" s="4" t="str">
        <f t="shared" si="40"/>
        <v>Loss</v>
      </c>
      <c r="S301">
        <v>0</v>
      </c>
      <c r="T301" s="4">
        <v>22</v>
      </c>
      <c r="U301">
        <f t="shared" si="41"/>
        <v>12699.28</v>
      </c>
      <c r="V301">
        <f t="shared" si="42"/>
        <v>13017.84</v>
      </c>
      <c r="W301">
        <f t="shared" si="43"/>
        <v>-318.55999999999949</v>
      </c>
      <c r="X301">
        <f t="shared" si="44"/>
        <v>-2.5084886702238195E-2</v>
      </c>
    </row>
    <row r="302" spans="1:24" x14ac:dyDescent="0.25">
      <c r="A302" t="s">
        <v>314</v>
      </c>
      <c r="B302" s="13">
        <v>45787</v>
      </c>
      <c r="C302" s="8">
        <v>45804</v>
      </c>
      <c r="D302" s="8">
        <f t="shared" si="36"/>
        <v>45804</v>
      </c>
      <c r="E302" s="6">
        <f t="shared" si="37"/>
        <v>17</v>
      </c>
      <c r="F302" s="6" t="str">
        <f t="shared" si="38"/>
        <v>Q2-2025</v>
      </c>
      <c r="G302" t="s">
        <v>648</v>
      </c>
      <c r="H302" t="s">
        <v>653</v>
      </c>
      <c r="I302" t="s">
        <v>688</v>
      </c>
      <c r="J302" t="s">
        <v>702</v>
      </c>
      <c r="K302" t="s">
        <v>711</v>
      </c>
      <c r="L302" t="s">
        <v>712</v>
      </c>
      <c r="M302" t="s">
        <v>727</v>
      </c>
      <c r="N302">
        <f t="shared" si="39"/>
        <v>0.23403454256275485</v>
      </c>
      <c r="O302" t="s">
        <v>1034</v>
      </c>
      <c r="P302" s="4">
        <v>862.89</v>
      </c>
      <c r="Q302" s="4">
        <v>1426.03</v>
      </c>
      <c r="R302" s="4" t="str">
        <f t="shared" si="40"/>
        <v>Profit</v>
      </c>
      <c r="S302">
        <v>5.6000000000000001E-2</v>
      </c>
      <c r="T302" s="4">
        <v>19</v>
      </c>
      <c r="U302">
        <f t="shared" si="41"/>
        <v>25577.274079999999</v>
      </c>
      <c r="V302">
        <f t="shared" si="42"/>
        <v>16394.91</v>
      </c>
      <c r="W302">
        <f t="shared" si="43"/>
        <v>9182.3640799999994</v>
      </c>
      <c r="X302">
        <f t="shared" si="44"/>
        <v>0.35900479665188778</v>
      </c>
    </row>
    <row r="303" spans="1:24" x14ac:dyDescent="0.25">
      <c r="A303" t="s">
        <v>315</v>
      </c>
      <c r="B303" s="13">
        <v>45204</v>
      </c>
      <c r="C303" s="8">
        <v>45230</v>
      </c>
      <c r="D303" s="8">
        <f t="shared" si="36"/>
        <v>45230</v>
      </c>
      <c r="E303" s="6">
        <f t="shared" si="37"/>
        <v>26</v>
      </c>
      <c r="F303" s="6" t="str">
        <f t="shared" si="38"/>
        <v>Q4-2023</v>
      </c>
      <c r="G303" t="s">
        <v>647</v>
      </c>
      <c r="H303" t="s">
        <v>659</v>
      </c>
      <c r="I303" t="s">
        <v>685</v>
      </c>
      <c r="J303" t="s">
        <v>704</v>
      </c>
      <c r="K303" t="s">
        <v>1422</v>
      </c>
      <c r="L303" t="s">
        <v>713</v>
      </c>
      <c r="M303" t="s">
        <v>728</v>
      </c>
      <c r="N303">
        <f t="shared" si="39"/>
        <v>9.0277699364940067E-2</v>
      </c>
      <c r="O303" t="s">
        <v>1035</v>
      </c>
      <c r="P303" s="4">
        <v>649.91</v>
      </c>
      <c r="Q303" s="4">
        <v>1360.12</v>
      </c>
      <c r="R303" s="4" t="str">
        <f t="shared" si="40"/>
        <v>Profit</v>
      </c>
      <c r="S303">
        <v>0.19400000000000001</v>
      </c>
      <c r="T303" s="4">
        <v>9</v>
      </c>
      <c r="U303">
        <f t="shared" si="41"/>
        <v>9866.3104799999983</v>
      </c>
      <c r="V303">
        <f t="shared" si="42"/>
        <v>5849.19</v>
      </c>
      <c r="W303">
        <f t="shared" si="43"/>
        <v>4017.1204799999987</v>
      </c>
      <c r="X303">
        <f t="shared" si="44"/>
        <v>0.40715528749506769</v>
      </c>
    </row>
    <row r="304" spans="1:24" x14ac:dyDescent="0.25">
      <c r="A304" t="s">
        <v>316</v>
      </c>
      <c r="B304" s="13">
        <v>45125</v>
      </c>
      <c r="C304" s="8">
        <v>45129</v>
      </c>
      <c r="D304" s="8">
        <f t="shared" si="36"/>
        <v>45129</v>
      </c>
      <c r="E304" s="6">
        <f t="shared" si="37"/>
        <v>4</v>
      </c>
      <c r="F304" s="6" t="str">
        <f t="shared" si="38"/>
        <v>Q3-2023</v>
      </c>
      <c r="G304" t="s">
        <v>648</v>
      </c>
      <c r="H304" t="s">
        <v>655</v>
      </c>
      <c r="I304" t="s">
        <v>670</v>
      </c>
      <c r="J304" t="s">
        <v>704</v>
      </c>
      <c r="K304" t="s">
        <v>711</v>
      </c>
      <c r="L304" t="s">
        <v>721</v>
      </c>
      <c r="M304" t="s">
        <v>729</v>
      </c>
      <c r="N304">
        <f t="shared" si="39"/>
        <v>0.36313458190815895</v>
      </c>
      <c r="O304" t="s">
        <v>1036</v>
      </c>
      <c r="P304" s="4">
        <v>1269.55</v>
      </c>
      <c r="Q304" s="4">
        <v>2071.1</v>
      </c>
      <c r="R304" s="4" t="str">
        <f t="shared" si="40"/>
        <v>Profit</v>
      </c>
      <c r="S304">
        <v>0.129</v>
      </c>
      <c r="T304" s="4">
        <v>22</v>
      </c>
      <c r="U304">
        <f t="shared" si="41"/>
        <v>39686.4182</v>
      </c>
      <c r="V304">
        <f t="shared" si="42"/>
        <v>27930.1</v>
      </c>
      <c r="W304">
        <f t="shared" si="43"/>
        <v>11756.318200000002</v>
      </c>
      <c r="X304">
        <f t="shared" si="44"/>
        <v>0.29623026549672354</v>
      </c>
    </row>
    <row r="305" spans="1:24" x14ac:dyDescent="0.25">
      <c r="A305" t="s">
        <v>317</v>
      </c>
      <c r="B305" s="13">
        <v>45830</v>
      </c>
      <c r="C305" s="8">
        <v>45846</v>
      </c>
      <c r="D305" s="8">
        <f t="shared" si="36"/>
        <v>45846</v>
      </c>
      <c r="E305" s="6">
        <f t="shared" si="37"/>
        <v>16</v>
      </c>
      <c r="F305" s="6" t="str">
        <f t="shared" si="38"/>
        <v>Q2-2025</v>
      </c>
      <c r="G305" t="s">
        <v>649</v>
      </c>
      <c r="H305" t="s">
        <v>658</v>
      </c>
      <c r="I305" t="s">
        <v>683</v>
      </c>
      <c r="J305" t="s">
        <v>702</v>
      </c>
      <c r="K305" t="s">
        <v>711</v>
      </c>
      <c r="L305" t="s">
        <v>720</v>
      </c>
      <c r="M305" t="s">
        <v>730</v>
      </c>
      <c r="N305">
        <f t="shared" si="39"/>
        <v>7.4056113609333354E-2</v>
      </c>
      <c r="O305" t="s">
        <v>1037</v>
      </c>
      <c r="P305" s="4">
        <v>892.73</v>
      </c>
      <c r="Q305" s="4">
        <v>979.84</v>
      </c>
      <c r="R305" s="4" t="str">
        <f t="shared" si="40"/>
        <v>Profit</v>
      </c>
      <c r="S305">
        <v>0.17399999999999999</v>
      </c>
      <c r="T305" s="4">
        <v>10</v>
      </c>
      <c r="U305">
        <f t="shared" si="41"/>
        <v>8093.4784</v>
      </c>
      <c r="V305">
        <f t="shared" si="42"/>
        <v>8927.2999999999993</v>
      </c>
      <c r="W305">
        <f t="shared" si="43"/>
        <v>-833.82159999999931</v>
      </c>
      <c r="X305">
        <f t="shared" si="44"/>
        <v>-0.10302388649112838</v>
      </c>
    </row>
    <row r="306" spans="1:24" x14ac:dyDescent="0.25">
      <c r="A306" t="s">
        <v>318</v>
      </c>
      <c r="B306" s="13">
        <v>45462</v>
      </c>
      <c r="C306" s="8">
        <v>45463</v>
      </c>
      <c r="D306" s="8">
        <f t="shared" si="36"/>
        <v>45463</v>
      </c>
      <c r="E306" s="6">
        <f t="shared" si="37"/>
        <v>1</v>
      </c>
      <c r="F306" s="6" t="str">
        <f t="shared" si="38"/>
        <v>Q2-2024</v>
      </c>
      <c r="G306" t="s">
        <v>646</v>
      </c>
      <c r="H306" t="s">
        <v>650</v>
      </c>
      <c r="I306" t="s">
        <v>662</v>
      </c>
      <c r="J306" t="s">
        <v>705</v>
      </c>
      <c r="K306" t="s">
        <v>711</v>
      </c>
      <c r="L306" t="s">
        <v>713</v>
      </c>
      <c r="M306" t="s">
        <v>731</v>
      </c>
      <c r="N306">
        <f t="shared" si="39"/>
        <v>5.4285564586595669E-2</v>
      </c>
      <c r="O306" t="s">
        <v>1038</v>
      </c>
      <c r="P306" s="4">
        <v>231.63</v>
      </c>
      <c r="Q306" s="4">
        <v>537.39</v>
      </c>
      <c r="R306" s="4" t="str">
        <f t="shared" si="40"/>
        <v>Profit</v>
      </c>
      <c r="S306">
        <v>0.08</v>
      </c>
      <c r="T306" s="4">
        <v>12</v>
      </c>
      <c r="U306">
        <f t="shared" si="41"/>
        <v>5932.7856000000002</v>
      </c>
      <c r="V306">
        <f t="shared" si="42"/>
        <v>2779.56</v>
      </c>
      <c r="W306">
        <f t="shared" si="43"/>
        <v>3153.2256000000002</v>
      </c>
      <c r="X306">
        <f t="shared" si="44"/>
        <v>0.53149158129024587</v>
      </c>
    </row>
    <row r="307" spans="1:24" x14ac:dyDescent="0.25">
      <c r="A307" t="s">
        <v>319</v>
      </c>
      <c r="B307" s="13">
        <v>45756</v>
      </c>
      <c r="C307" s="8">
        <v>45759</v>
      </c>
      <c r="D307" s="8">
        <f t="shared" si="36"/>
        <v>45759</v>
      </c>
      <c r="E307" s="6">
        <f t="shared" si="37"/>
        <v>3</v>
      </c>
      <c r="F307" s="6" t="str">
        <f t="shared" si="38"/>
        <v>Q2-2025</v>
      </c>
      <c r="G307" t="s">
        <v>649</v>
      </c>
      <c r="H307" t="s">
        <v>657</v>
      </c>
      <c r="I307" t="s">
        <v>679</v>
      </c>
      <c r="J307" t="s">
        <v>705</v>
      </c>
      <c r="K307" t="s">
        <v>710</v>
      </c>
      <c r="L307" t="s">
        <v>722</v>
      </c>
      <c r="M307" t="s">
        <v>732</v>
      </c>
      <c r="N307">
        <f t="shared" si="39"/>
        <v>1.5021812573686542E-2</v>
      </c>
      <c r="O307" t="s">
        <v>1039</v>
      </c>
      <c r="P307" s="4">
        <v>86.68</v>
      </c>
      <c r="Q307" s="4">
        <v>213.32</v>
      </c>
      <c r="R307" s="4" t="str">
        <f t="shared" si="40"/>
        <v>Profit</v>
      </c>
      <c r="S307">
        <v>3.7999999999999999E-2</v>
      </c>
      <c r="T307" s="4">
        <v>8</v>
      </c>
      <c r="U307">
        <f t="shared" si="41"/>
        <v>1641.7107199999998</v>
      </c>
      <c r="V307">
        <f t="shared" si="42"/>
        <v>693.44</v>
      </c>
      <c r="W307">
        <f t="shared" si="43"/>
        <v>948.27071999999976</v>
      </c>
      <c r="X307">
        <f t="shared" si="44"/>
        <v>0.57761133459614611</v>
      </c>
    </row>
    <row r="308" spans="1:24" x14ac:dyDescent="0.25">
      <c r="A308" t="s">
        <v>320</v>
      </c>
      <c r="B308" s="13">
        <v>45741</v>
      </c>
      <c r="C308" s="8">
        <v>45742</v>
      </c>
      <c r="D308" s="8">
        <f t="shared" si="36"/>
        <v>45742</v>
      </c>
      <c r="E308" s="6">
        <f t="shared" si="37"/>
        <v>1</v>
      </c>
      <c r="F308" s="6" t="str">
        <f t="shared" si="38"/>
        <v>Q1-2025</v>
      </c>
      <c r="G308" t="s">
        <v>646</v>
      </c>
      <c r="H308" t="s">
        <v>651</v>
      </c>
      <c r="I308" t="s">
        <v>665</v>
      </c>
      <c r="J308" t="s">
        <v>702</v>
      </c>
      <c r="K308" t="s">
        <v>710</v>
      </c>
      <c r="L308" t="s">
        <v>715</v>
      </c>
      <c r="M308" t="s">
        <v>733</v>
      </c>
      <c r="N308">
        <f t="shared" si="39"/>
        <v>0.39423076432446968</v>
      </c>
      <c r="O308" t="s">
        <v>1040</v>
      </c>
      <c r="P308" s="4">
        <v>1450.43</v>
      </c>
      <c r="Q308" s="4">
        <v>1994.67</v>
      </c>
      <c r="R308" s="4" t="str">
        <f t="shared" si="40"/>
        <v>Profit</v>
      </c>
      <c r="S308">
        <v>0.1</v>
      </c>
      <c r="T308" s="4">
        <v>24</v>
      </c>
      <c r="U308">
        <f t="shared" si="41"/>
        <v>43084.872000000003</v>
      </c>
      <c r="V308">
        <f t="shared" si="42"/>
        <v>34810.32</v>
      </c>
      <c r="W308">
        <f t="shared" si="43"/>
        <v>8274.5520000000033</v>
      </c>
      <c r="X308">
        <f t="shared" si="44"/>
        <v>0.19205237513529116</v>
      </c>
    </row>
    <row r="309" spans="1:24" x14ac:dyDescent="0.25">
      <c r="A309" t="s">
        <v>321</v>
      </c>
      <c r="B309" s="13">
        <v>45795</v>
      </c>
      <c r="C309" s="8">
        <v>45817</v>
      </c>
      <c r="D309" s="8">
        <f t="shared" si="36"/>
        <v>45817</v>
      </c>
      <c r="E309" s="6">
        <f t="shared" si="37"/>
        <v>22</v>
      </c>
      <c r="F309" s="6" t="str">
        <f t="shared" si="38"/>
        <v>Q2-2025</v>
      </c>
      <c r="G309" t="s">
        <v>648</v>
      </c>
      <c r="H309" t="s">
        <v>660</v>
      </c>
      <c r="I309" t="s">
        <v>700</v>
      </c>
      <c r="J309" t="s">
        <v>704</v>
      </c>
      <c r="K309" t="s">
        <v>707</v>
      </c>
      <c r="L309" t="s">
        <v>722</v>
      </c>
      <c r="M309" t="s">
        <v>729</v>
      </c>
      <c r="N309">
        <f t="shared" si="39"/>
        <v>3.3345893743361471E-2</v>
      </c>
      <c r="O309" t="s">
        <v>1041</v>
      </c>
      <c r="P309" s="4">
        <v>382.96</v>
      </c>
      <c r="Q309" s="4">
        <v>552.84</v>
      </c>
      <c r="R309" s="4" t="str">
        <f t="shared" si="40"/>
        <v>Profit</v>
      </c>
      <c r="S309">
        <v>0.17599999999999999</v>
      </c>
      <c r="T309" s="4">
        <v>8</v>
      </c>
      <c r="U309">
        <f t="shared" si="41"/>
        <v>3644.3212800000006</v>
      </c>
      <c r="V309">
        <f t="shared" si="42"/>
        <v>3063.68</v>
      </c>
      <c r="W309">
        <f t="shared" si="43"/>
        <v>580.64128000000073</v>
      </c>
      <c r="X309">
        <f t="shared" si="44"/>
        <v>0.15932768693763483</v>
      </c>
    </row>
    <row r="310" spans="1:24" x14ac:dyDescent="0.25">
      <c r="A310" t="s">
        <v>322</v>
      </c>
      <c r="B310" s="13">
        <v>45679</v>
      </c>
      <c r="C310" s="8">
        <v>45692</v>
      </c>
      <c r="D310" s="8">
        <f t="shared" si="36"/>
        <v>45692</v>
      </c>
      <c r="E310" s="6">
        <f t="shared" si="37"/>
        <v>13</v>
      </c>
      <c r="F310" s="6" t="str">
        <f t="shared" si="38"/>
        <v>Q1-2025</v>
      </c>
      <c r="G310" t="s">
        <v>647</v>
      </c>
      <c r="H310" t="s">
        <v>652</v>
      </c>
      <c r="I310" t="s">
        <v>689</v>
      </c>
      <c r="J310" t="s">
        <v>705</v>
      </c>
      <c r="K310" t="s">
        <v>710</v>
      </c>
      <c r="L310" t="s">
        <v>716</v>
      </c>
      <c r="M310" t="s">
        <v>728</v>
      </c>
      <c r="N310">
        <f t="shared" si="39"/>
        <v>4.8814983195759901E-2</v>
      </c>
      <c r="O310" t="s">
        <v>1042</v>
      </c>
      <c r="P310" s="4">
        <v>122.29</v>
      </c>
      <c r="Q310" s="4">
        <v>224.95</v>
      </c>
      <c r="R310" s="4" t="str">
        <f t="shared" si="40"/>
        <v>Profit</v>
      </c>
      <c r="S310">
        <v>0.153</v>
      </c>
      <c r="T310" s="4">
        <v>28</v>
      </c>
      <c r="U310">
        <f t="shared" si="41"/>
        <v>5334.9141999999993</v>
      </c>
      <c r="V310">
        <f t="shared" si="42"/>
        <v>3424.1200000000003</v>
      </c>
      <c r="W310">
        <f t="shared" si="43"/>
        <v>1910.7941999999989</v>
      </c>
      <c r="X310">
        <f t="shared" si="44"/>
        <v>0.3581677471026618</v>
      </c>
    </row>
    <row r="311" spans="1:24" x14ac:dyDescent="0.25">
      <c r="A311" t="s">
        <v>323</v>
      </c>
      <c r="B311" s="13">
        <v>44936</v>
      </c>
      <c r="C311" s="8">
        <v>44955</v>
      </c>
      <c r="D311" s="8">
        <f t="shared" si="36"/>
        <v>44955</v>
      </c>
      <c r="E311" s="6">
        <f t="shared" si="37"/>
        <v>19</v>
      </c>
      <c r="F311" s="6" t="str">
        <f t="shared" si="38"/>
        <v>Q1-2023</v>
      </c>
      <c r="G311" t="s">
        <v>649</v>
      </c>
      <c r="H311" t="s">
        <v>657</v>
      </c>
      <c r="I311" t="s">
        <v>679</v>
      </c>
      <c r="J311" t="s">
        <v>703</v>
      </c>
      <c r="K311" t="s">
        <v>711</v>
      </c>
      <c r="L311" t="s">
        <v>726</v>
      </c>
      <c r="M311" t="s">
        <v>731</v>
      </c>
      <c r="N311">
        <f t="shared" si="39"/>
        <v>9.0103164738916386E-2</v>
      </c>
      <c r="O311" t="s">
        <v>1043</v>
      </c>
      <c r="P311" s="4">
        <v>401.66</v>
      </c>
      <c r="Q311" s="4">
        <v>772.09</v>
      </c>
      <c r="R311" s="4" t="str">
        <f t="shared" si="40"/>
        <v>Profit</v>
      </c>
      <c r="S311">
        <v>8.8999999999999996E-2</v>
      </c>
      <c r="T311" s="4">
        <v>14</v>
      </c>
      <c r="U311">
        <f t="shared" si="41"/>
        <v>9847.2358600000007</v>
      </c>
      <c r="V311">
        <f t="shared" si="42"/>
        <v>5623.2400000000007</v>
      </c>
      <c r="W311">
        <f t="shared" si="43"/>
        <v>4223.99586</v>
      </c>
      <c r="X311">
        <f t="shared" si="44"/>
        <v>0.42895244107619046</v>
      </c>
    </row>
    <row r="312" spans="1:24" x14ac:dyDescent="0.25">
      <c r="A312" t="s">
        <v>324</v>
      </c>
      <c r="B312" s="13">
        <v>45655</v>
      </c>
      <c r="C312" s="8">
        <v>45669</v>
      </c>
      <c r="D312" s="8">
        <f t="shared" si="36"/>
        <v>45669</v>
      </c>
      <c r="E312" s="6">
        <f t="shared" si="37"/>
        <v>14</v>
      </c>
      <c r="F312" s="6" t="str">
        <f t="shared" si="38"/>
        <v>Q4-2024</v>
      </c>
      <c r="G312" t="s">
        <v>649</v>
      </c>
      <c r="H312" t="s">
        <v>658</v>
      </c>
      <c r="I312" t="s">
        <v>693</v>
      </c>
      <c r="J312" t="s">
        <v>701</v>
      </c>
      <c r="K312" t="s">
        <v>711</v>
      </c>
      <c r="L312" t="s">
        <v>717</v>
      </c>
      <c r="M312" t="s">
        <v>732</v>
      </c>
      <c r="N312">
        <f t="shared" si="39"/>
        <v>0.2818163472973208</v>
      </c>
      <c r="O312" t="s">
        <v>1044</v>
      </c>
      <c r="P312" s="4">
        <v>1399.72</v>
      </c>
      <c r="Q312" s="4">
        <v>3149.21</v>
      </c>
      <c r="R312" s="4" t="str">
        <f t="shared" si="40"/>
        <v>Profit</v>
      </c>
      <c r="S312">
        <v>0.185</v>
      </c>
      <c r="T312" s="4">
        <v>12</v>
      </c>
      <c r="U312">
        <f t="shared" si="41"/>
        <v>30799.273800000003</v>
      </c>
      <c r="V312">
        <f t="shared" si="42"/>
        <v>16796.64</v>
      </c>
      <c r="W312">
        <f t="shared" si="43"/>
        <v>14002.633800000003</v>
      </c>
      <c r="X312">
        <f t="shared" si="44"/>
        <v>0.45464168703873797</v>
      </c>
    </row>
    <row r="313" spans="1:24" x14ac:dyDescent="0.25">
      <c r="A313" t="s">
        <v>325</v>
      </c>
      <c r="B313" s="13">
        <v>45435</v>
      </c>
      <c r="C313" s="8">
        <v>45449</v>
      </c>
      <c r="D313" s="8">
        <f t="shared" si="36"/>
        <v>45449</v>
      </c>
      <c r="E313" s="6">
        <f t="shared" si="37"/>
        <v>14</v>
      </c>
      <c r="F313" s="6" t="str">
        <f t="shared" si="38"/>
        <v>Q2-2024</v>
      </c>
      <c r="G313" t="s">
        <v>648</v>
      </c>
      <c r="H313" t="s">
        <v>655</v>
      </c>
      <c r="I313" t="s">
        <v>692</v>
      </c>
      <c r="J313" t="s">
        <v>703</v>
      </c>
      <c r="K313" t="s">
        <v>708</v>
      </c>
      <c r="L313" t="s">
        <v>714</v>
      </c>
      <c r="M313" t="s">
        <v>729</v>
      </c>
      <c r="N313">
        <f t="shared" si="39"/>
        <v>8.0434697570378154E-3</v>
      </c>
      <c r="O313" t="s">
        <v>1045</v>
      </c>
      <c r="P313" s="4">
        <v>51.13</v>
      </c>
      <c r="Q313" s="4">
        <v>57.53</v>
      </c>
      <c r="R313" s="4" t="str">
        <f t="shared" si="40"/>
        <v>Profit</v>
      </c>
      <c r="S313">
        <v>4.4999999999999998E-2</v>
      </c>
      <c r="T313" s="4">
        <v>16</v>
      </c>
      <c r="U313">
        <f t="shared" si="41"/>
        <v>879.05840000000001</v>
      </c>
      <c r="V313">
        <f t="shared" si="42"/>
        <v>818.08</v>
      </c>
      <c r="W313">
        <f t="shared" si="43"/>
        <v>60.978399999999965</v>
      </c>
      <c r="X313">
        <f t="shared" si="44"/>
        <v>6.9367859973808302E-2</v>
      </c>
    </row>
    <row r="314" spans="1:24" x14ac:dyDescent="0.25">
      <c r="A314" t="s">
        <v>326</v>
      </c>
      <c r="B314" s="13">
        <v>45101</v>
      </c>
      <c r="C314" s="8">
        <v>45099</v>
      </c>
      <c r="D314" s="8">
        <f t="shared" si="36"/>
        <v>45108</v>
      </c>
      <c r="E314" s="6">
        <f t="shared" si="37"/>
        <v>7</v>
      </c>
      <c r="F314" s="6" t="str">
        <f t="shared" si="38"/>
        <v>Q2-2023</v>
      </c>
      <c r="G314" t="s">
        <v>648</v>
      </c>
      <c r="H314" t="s">
        <v>653</v>
      </c>
      <c r="I314" t="s">
        <v>667</v>
      </c>
      <c r="J314" t="s">
        <v>703</v>
      </c>
      <c r="K314" t="s">
        <v>707</v>
      </c>
      <c r="L314" t="s">
        <v>724</v>
      </c>
      <c r="M314" t="s">
        <v>733</v>
      </c>
      <c r="N314">
        <f t="shared" si="39"/>
        <v>0.10324421345764545</v>
      </c>
      <c r="O314" t="s">
        <v>1046</v>
      </c>
      <c r="P314" s="4">
        <v>471.42</v>
      </c>
      <c r="Q314" s="4">
        <v>824.81</v>
      </c>
      <c r="R314" s="4" t="str">
        <f t="shared" si="40"/>
        <v>Profit</v>
      </c>
      <c r="S314">
        <v>8.7999999999999995E-2</v>
      </c>
      <c r="T314" s="4">
        <v>15</v>
      </c>
      <c r="U314">
        <f t="shared" si="41"/>
        <v>11283.400799999999</v>
      </c>
      <c r="V314">
        <f t="shared" si="42"/>
        <v>7071.3</v>
      </c>
      <c r="W314">
        <f t="shared" si="43"/>
        <v>4212.1007999999993</v>
      </c>
      <c r="X314">
        <f t="shared" si="44"/>
        <v>0.37330064531608231</v>
      </c>
    </row>
    <row r="315" spans="1:24" x14ac:dyDescent="0.25">
      <c r="A315" t="s">
        <v>327</v>
      </c>
      <c r="B315" s="13">
        <v>45600</v>
      </c>
      <c r="C315" s="8">
        <v>45601</v>
      </c>
      <c r="D315" s="8">
        <f t="shared" si="36"/>
        <v>45601</v>
      </c>
      <c r="E315" s="6">
        <f t="shared" si="37"/>
        <v>1</v>
      </c>
      <c r="F315" s="6" t="str">
        <f t="shared" si="38"/>
        <v>Q4-2024</v>
      </c>
      <c r="G315" t="s">
        <v>649</v>
      </c>
      <c r="H315" t="s">
        <v>658</v>
      </c>
      <c r="I315" t="s">
        <v>683</v>
      </c>
      <c r="J315" t="s">
        <v>701</v>
      </c>
      <c r="K315" t="s">
        <v>707</v>
      </c>
      <c r="L315" t="s">
        <v>724</v>
      </c>
      <c r="M315" t="s">
        <v>728</v>
      </c>
      <c r="N315">
        <f t="shared" si="39"/>
        <v>0.36898050394396387</v>
      </c>
      <c r="O315" t="s">
        <v>1047</v>
      </c>
      <c r="P315" s="4">
        <v>840.68</v>
      </c>
      <c r="Q315" s="4">
        <v>1493.53</v>
      </c>
      <c r="R315" s="4" t="str">
        <f t="shared" si="40"/>
        <v>Profit</v>
      </c>
      <c r="S315">
        <v>0</v>
      </c>
      <c r="T315" s="4">
        <v>27</v>
      </c>
      <c r="U315">
        <f t="shared" si="41"/>
        <v>40325.31</v>
      </c>
      <c r="V315">
        <f t="shared" si="42"/>
        <v>22698.359999999997</v>
      </c>
      <c r="W315">
        <f t="shared" si="43"/>
        <v>17626.95</v>
      </c>
      <c r="X315">
        <f t="shared" si="44"/>
        <v>0.43711877230454027</v>
      </c>
    </row>
    <row r="316" spans="1:24" x14ac:dyDescent="0.25">
      <c r="A316" t="s">
        <v>328</v>
      </c>
      <c r="B316" s="13">
        <v>45451</v>
      </c>
      <c r="C316" s="8">
        <v>45467</v>
      </c>
      <c r="D316" s="8">
        <f t="shared" si="36"/>
        <v>45467</v>
      </c>
      <c r="E316" s="6">
        <f t="shared" si="37"/>
        <v>16</v>
      </c>
      <c r="F316" s="6" t="str">
        <f t="shared" si="38"/>
        <v>Q2-2024</v>
      </c>
      <c r="G316" t="s">
        <v>646</v>
      </c>
      <c r="H316" t="s">
        <v>661</v>
      </c>
      <c r="I316" t="s">
        <v>687</v>
      </c>
      <c r="J316" t="s">
        <v>702</v>
      </c>
      <c r="K316" t="s">
        <v>710</v>
      </c>
      <c r="L316" t="s">
        <v>722</v>
      </c>
      <c r="M316" t="s">
        <v>732</v>
      </c>
      <c r="N316">
        <f t="shared" si="39"/>
        <v>4.604734562591719E-2</v>
      </c>
      <c r="O316" t="s">
        <v>1048</v>
      </c>
      <c r="P316" s="4">
        <v>597.85</v>
      </c>
      <c r="Q316" s="4">
        <v>741.92</v>
      </c>
      <c r="R316" s="4" t="str">
        <f t="shared" si="40"/>
        <v>Profit</v>
      </c>
      <c r="S316">
        <v>3.1E-2</v>
      </c>
      <c r="T316" s="4">
        <v>7</v>
      </c>
      <c r="U316">
        <f t="shared" si="41"/>
        <v>5032.4433599999993</v>
      </c>
      <c r="V316">
        <f t="shared" si="42"/>
        <v>4184.95</v>
      </c>
      <c r="W316">
        <f t="shared" si="43"/>
        <v>847.49335999999948</v>
      </c>
      <c r="X316">
        <f t="shared" si="44"/>
        <v>0.16840594108544515</v>
      </c>
    </row>
    <row r="317" spans="1:24" x14ac:dyDescent="0.25">
      <c r="A317" t="s">
        <v>329</v>
      </c>
      <c r="B317" s="13">
        <v>45809</v>
      </c>
      <c r="C317" s="8">
        <v>45814</v>
      </c>
      <c r="D317" s="8">
        <f t="shared" si="36"/>
        <v>45814</v>
      </c>
      <c r="E317" s="6">
        <f t="shared" si="37"/>
        <v>5</v>
      </c>
      <c r="F317" s="6" t="str">
        <f t="shared" si="38"/>
        <v>Q2-2025</v>
      </c>
      <c r="G317" t="s">
        <v>649</v>
      </c>
      <c r="H317" t="s">
        <v>657</v>
      </c>
      <c r="I317" t="s">
        <v>690</v>
      </c>
      <c r="J317" t="s">
        <v>704</v>
      </c>
      <c r="K317" t="s">
        <v>710</v>
      </c>
      <c r="L317" t="s">
        <v>715</v>
      </c>
      <c r="M317" t="s">
        <v>727</v>
      </c>
      <c r="N317">
        <f t="shared" si="39"/>
        <v>8.034316823361666E-2</v>
      </c>
      <c r="O317" t="s">
        <v>1049</v>
      </c>
      <c r="P317" s="4">
        <v>379.45</v>
      </c>
      <c r="Q317" s="4">
        <v>742.23</v>
      </c>
      <c r="R317" s="4" t="str">
        <f t="shared" si="40"/>
        <v>Profit</v>
      </c>
      <c r="S317">
        <v>0.09</v>
      </c>
      <c r="T317" s="4">
        <v>13</v>
      </c>
      <c r="U317">
        <f t="shared" si="41"/>
        <v>8780.5809000000008</v>
      </c>
      <c r="V317">
        <f t="shared" si="42"/>
        <v>4932.8499999999995</v>
      </c>
      <c r="W317">
        <f t="shared" si="43"/>
        <v>3847.7309000000014</v>
      </c>
      <c r="X317">
        <f t="shared" si="44"/>
        <v>0.43820915083192286</v>
      </c>
    </row>
    <row r="318" spans="1:24" x14ac:dyDescent="0.25">
      <c r="A318" t="s">
        <v>330</v>
      </c>
      <c r="B318" s="13">
        <v>45052</v>
      </c>
      <c r="C318" s="8">
        <v>45060</v>
      </c>
      <c r="D318" s="8">
        <f t="shared" si="36"/>
        <v>45060</v>
      </c>
      <c r="E318" s="6">
        <f t="shared" si="37"/>
        <v>8</v>
      </c>
      <c r="F318" s="6" t="str">
        <f t="shared" si="38"/>
        <v>Q2-2023</v>
      </c>
      <c r="G318" t="s">
        <v>647</v>
      </c>
      <c r="H318" t="s">
        <v>652</v>
      </c>
      <c r="I318" t="s">
        <v>666</v>
      </c>
      <c r="J318" t="s">
        <v>706</v>
      </c>
      <c r="K318" t="s">
        <v>709</v>
      </c>
      <c r="L318" t="s">
        <v>717</v>
      </c>
      <c r="M318" t="s">
        <v>730</v>
      </c>
      <c r="N318">
        <f t="shared" si="39"/>
        <v>8.2921354689068208E-2</v>
      </c>
      <c r="O318" t="s">
        <v>1050</v>
      </c>
      <c r="P318" s="4">
        <v>291.18</v>
      </c>
      <c r="Q318" s="4">
        <v>479.54</v>
      </c>
      <c r="R318" s="4" t="str">
        <f t="shared" si="40"/>
        <v>Profit</v>
      </c>
      <c r="S318">
        <v>0.14099999999999999</v>
      </c>
      <c r="T318" s="4">
        <v>22</v>
      </c>
      <c r="U318">
        <f t="shared" si="41"/>
        <v>9062.34692</v>
      </c>
      <c r="V318">
        <f t="shared" si="42"/>
        <v>6405.96</v>
      </c>
      <c r="W318">
        <f t="shared" si="43"/>
        <v>2656.3869199999999</v>
      </c>
      <c r="X318">
        <f t="shared" si="44"/>
        <v>0.29312350801066001</v>
      </c>
    </row>
    <row r="319" spans="1:24" x14ac:dyDescent="0.25">
      <c r="A319" t="s">
        <v>331</v>
      </c>
      <c r="B319" s="13">
        <v>45244</v>
      </c>
      <c r="C319" s="8">
        <v>45260</v>
      </c>
      <c r="D319" s="8">
        <f t="shared" si="36"/>
        <v>45260</v>
      </c>
      <c r="E319" s="6">
        <f t="shared" si="37"/>
        <v>16</v>
      </c>
      <c r="F319" s="6" t="str">
        <f t="shared" si="38"/>
        <v>Q4-2023</v>
      </c>
      <c r="G319" t="s">
        <v>648</v>
      </c>
      <c r="H319" t="s">
        <v>655</v>
      </c>
      <c r="I319" t="s">
        <v>670</v>
      </c>
      <c r="J319" t="s">
        <v>706</v>
      </c>
      <c r="K319" t="s">
        <v>711</v>
      </c>
      <c r="L319" t="s">
        <v>723</v>
      </c>
      <c r="M319" t="s">
        <v>729</v>
      </c>
      <c r="N319">
        <f t="shared" si="39"/>
        <v>0.149206916933422</v>
      </c>
      <c r="O319" t="s">
        <v>1051</v>
      </c>
      <c r="P319" s="4">
        <v>1017.92</v>
      </c>
      <c r="Q319" s="4">
        <v>1175.25</v>
      </c>
      <c r="R319" s="4" t="str">
        <f t="shared" si="40"/>
        <v>Profit</v>
      </c>
      <c r="S319">
        <v>7.4999999999999997E-2</v>
      </c>
      <c r="T319" s="4">
        <v>15</v>
      </c>
      <c r="U319">
        <f t="shared" si="41"/>
        <v>16306.59375</v>
      </c>
      <c r="V319">
        <f t="shared" si="42"/>
        <v>15268.8</v>
      </c>
      <c r="W319">
        <f t="shared" si="43"/>
        <v>1037.7937500000007</v>
      </c>
      <c r="X319">
        <f t="shared" si="44"/>
        <v>6.3642583234159542E-2</v>
      </c>
    </row>
    <row r="320" spans="1:24" x14ac:dyDescent="0.25">
      <c r="A320" t="s">
        <v>332</v>
      </c>
      <c r="B320" s="13">
        <v>45748</v>
      </c>
      <c r="C320" s="8">
        <v>45774</v>
      </c>
      <c r="D320" s="8">
        <f t="shared" si="36"/>
        <v>45774</v>
      </c>
      <c r="E320" s="6">
        <f t="shared" si="37"/>
        <v>26</v>
      </c>
      <c r="F320" s="6" t="str">
        <f t="shared" si="38"/>
        <v>Q2-2025</v>
      </c>
      <c r="G320" t="s">
        <v>648</v>
      </c>
      <c r="H320" t="s">
        <v>660</v>
      </c>
      <c r="I320" t="s">
        <v>686</v>
      </c>
      <c r="J320" t="s">
        <v>701</v>
      </c>
      <c r="K320" t="s">
        <v>711</v>
      </c>
      <c r="L320" t="s">
        <v>714</v>
      </c>
      <c r="M320" t="s">
        <v>732</v>
      </c>
      <c r="N320">
        <f t="shared" si="39"/>
        <v>2.6676688239805114E-2</v>
      </c>
      <c r="O320" t="s">
        <v>1052</v>
      </c>
      <c r="P320" s="4">
        <v>156.55000000000001</v>
      </c>
      <c r="Q320" s="4">
        <v>227.45</v>
      </c>
      <c r="R320" s="4" t="str">
        <f t="shared" si="40"/>
        <v>Profit</v>
      </c>
      <c r="S320">
        <v>1.4E-2</v>
      </c>
      <c r="T320" s="4">
        <v>13</v>
      </c>
      <c r="U320">
        <f t="shared" si="41"/>
        <v>2915.4540999999999</v>
      </c>
      <c r="V320">
        <f t="shared" si="42"/>
        <v>2035.15</v>
      </c>
      <c r="W320">
        <f t="shared" si="43"/>
        <v>880.30409999999983</v>
      </c>
      <c r="X320">
        <f t="shared" si="44"/>
        <v>0.3019440779396938</v>
      </c>
    </row>
    <row r="321" spans="1:24" x14ac:dyDescent="0.25">
      <c r="A321" t="s">
        <v>333</v>
      </c>
      <c r="B321" s="13">
        <v>45008</v>
      </c>
      <c r="C321" s="8">
        <v>45031</v>
      </c>
      <c r="D321" s="8">
        <f t="shared" si="36"/>
        <v>45031</v>
      </c>
      <c r="E321" s="6">
        <f t="shared" si="37"/>
        <v>23</v>
      </c>
      <c r="F321" s="6" t="str">
        <f t="shared" si="38"/>
        <v>Q1-2023</v>
      </c>
      <c r="G321" t="s">
        <v>646</v>
      </c>
      <c r="H321" t="s">
        <v>650</v>
      </c>
      <c r="I321" t="s">
        <v>675</v>
      </c>
      <c r="J321" t="s">
        <v>705</v>
      </c>
      <c r="K321" t="s">
        <v>707</v>
      </c>
      <c r="L321" t="s">
        <v>712</v>
      </c>
      <c r="M321" t="s">
        <v>733</v>
      </c>
      <c r="N321">
        <f t="shared" si="39"/>
        <v>0.48526958395917802</v>
      </c>
      <c r="O321" t="s">
        <v>1053</v>
      </c>
      <c r="P321" s="4">
        <v>875.36</v>
      </c>
      <c r="Q321" s="4">
        <v>1178.6199999999999</v>
      </c>
      <c r="R321" s="4" t="str">
        <f t="shared" si="40"/>
        <v>Profit</v>
      </c>
      <c r="S321">
        <v>0.151</v>
      </c>
      <c r="T321" s="4">
        <v>53</v>
      </c>
      <c r="U321">
        <f t="shared" si="41"/>
        <v>53034.364139999991</v>
      </c>
      <c r="V321">
        <f t="shared" si="42"/>
        <v>46394.080000000002</v>
      </c>
      <c r="W321">
        <f t="shared" si="43"/>
        <v>6640.2841399999888</v>
      </c>
      <c r="X321">
        <f t="shared" si="44"/>
        <v>0.12520719815685888</v>
      </c>
    </row>
    <row r="322" spans="1:24" x14ac:dyDescent="0.25">
      <c r="A322" t="s">
        <v>334</v>
      </c>
      <c r="B322" s="13">
        <v>45440</v>
      </c>
      <c r="C322" s="8">
        <v>45461</v>
      </c>
      <c r="D322" s="8">
        <f t="shared" si="36"/>
        <v>45461</v>
      </c>
      <c r="E322" s="6">
        <f t="shared" si="37"/>
        <v>21</v>
      </c>
      <c r="F322" s="6" t="str">
        <f t="shared" si="38"/>
        <v>Q2-2024</v>
      </c>
      <c r="G322" t="s">
        <v>649</v>
      </c>
      <c r="H322" t="s">
        <v>656</v>
      </c>
      <c r="I322" t="s">
        <v>698</v>
      </c>
      <c r="J322" t="s">
        <v>705</v>
      </c>
      <c r="K322" t="s">
        <v>708</v>
      </c>
      <c r="L322" t="s">
        <v>718</v>
      </c>
      <c r="M322" t="s">
        <v>730</v>
      </c>
      <c r="N322">
        <f t="shared" si="39"/>
        <v>0.20478104074807402</v>
      </c>
      <c r="O322" t="s">
        <v>1054</v>
      </c>
      <c r="P322" s="4">
        <v>986.85</v>
      </c>
      <c r="Q322" s="4">
        <v>2422.1</v>
      </c>
      <c r="R322" s="4" t="str">
        <f t="shared" si="40"/>
        <v>Profit</v>
      </c>
      <c r="S322">
        <v>7.5999999999999998E-2</v>
      </c>
      <c r="T322" s="4">
        <v>10</v>
      </c>
      <c r="U322">
        <f t="shared" si="41"/>
        <v>22380.204000000002</v>
      </c>
      <c r="V322">
        <f t="shared" si="42"/>
        <v>9868.5</v>
      </c>
      <c r="W322">
        <f t="shared" si="43"/>
        <v>12511.704000000002</v>
      </c>
      <c r="X322">
        <f t="shared" si="44"/>
        <v>0.55905227673527913</v>
      </c>
    </row>
    <row r="323" spans="1:24" x14ac:dyDescent="0.25">
      <c r="A323" t="s">
        <v>335</v>
      </c>
      <c r="B323" s="13">
        <v>45293</v>
      </c>
      <c r="C323" s="8">
        <v>45292</v>
      </c>
      <c r="D323" s="8">
        <f t="shared" ref="D323:D386" si="45">IF(B323&gt;C323, B323+7, C323)</f>
        <v>45300</v>
      </c>
      <c r="E323" s="6">
        <f t="shared" ref="E323:E386" si="46">(D323-B323)</f>
        <v>7</v>
      </c>
      <c r="F323" s="6" t="str">
        <f t="shared" ref="F323:F386" si="47">"Q"&amp;ROUNDUP(MONTH(B323)/3,0)&amp;"-"&amp;YEAR(B323)</f>
        <v>Q1-2024</v>
      </c>
      <c r="G323" t="s">
        <v>648</v>
      </c>
      <c r="H323" t="s">
        <v>660</v>
      </c>
      <c r="I323" t="s">
        <v>677</v>
      </c>
      <c r="J323" t="s">
        <v>702</v>
      </c>
      <c r="K323" t="s">
        <v>709</v>
      </c>
      <c r="L323" t="s">
        <v>717</v>
      </c>
      <c r="M323" t="s">
        <v>729</v>
      </c>
      <c r="N323">
        <f t="shared" ref="N323:N386" si="48">(U323/$U$634)*100</f>
        <v>6.8562662465690802E-2</v>
      </c>
      <c r="O323" t="s">
        <v>1055</v>
      </c>
      <c r="P323" s="4">
        <v>404.77</v>
      </c>
      <c r="Q323" s="4">
        <v>433.88</v>
      </c>
      <c r="R323" s="4" t="str">
        <f t="shared" ref="R323:R386" si="49">IF(Q323&gt;P323, "Profit", IF(Q323&lt;P323, "Loss"))</f>
        <v>Profit</v>
      </c>
      <c r="S323">
        <v>0.215</v>
      </c>
      <c r="T323" s="4">
        <v>22</v>
      </c>
      <c r="U323">
        <f t="shared" ref="U323:U386" si="50">Q323*T323*(1-S323)</f>
        <v>7493.1076000000012</v>
      </c>
      <c r="V323">
        <f t="shared" ref="V323:V386" si="51">P323*T323</f>
        <v>8904.9399999999987</v>
      </c>
      <c r="W323">
        <f t="shared" ref="W323:W386" si="52">U323-V323</f>
        <v>-1411.8323999999975</v>
      </c>
      <c r="X323">
        <f t="shared" ref="X323:X386" si="53">IF(U323=0, 0, W323/U323)</f>
        <v>-0.18841747314558746</v>
      </c>
    </row>
    <row r="324" spans="1:24" x14ac:dyDescent="0.25">
      <c r="A324" t="s">
        <v>336</v>
      </c>
      <c r="B324" s="13">
        <v>44985</v>
      </c>
      <c r="C324" s="8">
        <v>44984</v>
      </c>
      <c r="D324" s="8">
        <f t="shared" si="45"/>
        <v>44992</v>
      </c>
      <c r="E324" s="6">
        <f t="shared" si="46"/>
        <v>7</v>
      </c>
      <c r="F324" s="6" t="str">
        <f t="shared" si="47"/>
        <v>Q1-2023</v>
      </c>
      <c r="G324" t="s">
        <v>649</v>
      </c>
      <c r="H324" t="s">
        <v>657</v>
      </c>
      <c r="I324" t="s">
        <v>673</v>
      </c>
      <c r="J324" t="s">
        <v>701</v>
      </c>
      <c r="K324" t="s">
        <v>707</v>
      </c>
      <c r="L324" t="s">
        <v>723</v>
      </c>
      <c r="M324" t="s">
        <v>729</v>
      </c>
      <c r="N324">
        <f t="shared" si="48"/>
        <v>0.36185682885333104</v>
      </c>
      <c r="O324" t="s">
        <v>1056</v>
      </c>
      <c r="P324" s="4">
        <v>1299.81</v>
      </c>
      <c r="Q324" s="4">
        <v>3149.13</v>
      </c>
      <c r="R324" s="4" t="str">
        <f t="shared" si="49"/>
        <v>Profit</v>
      </c>
      <c r="S324">
        <v>0.10299999999999999</v>
      </c>
      <c r="T324" s="4">
        <v>14</v>
      </c>
      <c r="U324">
        <f t="shared" si="50"/>
        <v>39546.774539999999</v>
      </c>
      <c r="V324">
        <f t="shared" si="51"/>
        <v>18197.34</v>
      </c>
      <c r="W324">
        <f t="shared" si="52"/>
        <v>21349.434539999998</v>
      </c>
      <c r="X324">
        <f t="shared" si="53"/>
        <v>0.53985273864511729</v>
      </c>
    </row>
    <row r="325" spans="1:24" x14ac:dyDescent="0.25">
      <c r="A325" t="s">
        <v>337</v>
      </c>
      <c r="B325" s="13">
        <v>45340</v>
      </c>
      <c r="C325" s="8">
        <v>45362</v>
      </c>
      <c r="D325" s="8">
        <f t="shared" si="45"/>
        <v>45362</v>
      </c>
      <c r="E325" s="6">
        <f t="shared" si="46"/>
        <v>22</v>
      </c>
      <c r="F325" s="6" t="str">
        <f t="shared" si="47"/>
        <v>Q1-2024</v>
      </c>
      <c r="G325" t="s">
        <v>648</v>
      </c>
      <c r="H325" t="s">
        <v>655</v>
      </c>
      <c r="I325" t="s">
        <v>670</v>
      </c>
      <c r="J325" t="s">
        <v>704</v>
      </c>
      <c r="K325" t="s">
        <v>708</v>
      </c>
      <c r="L325" t="s">
        <v>720</v>
      </c>
      <c r="M325" t="s">
        <v>727</v>
      </c>
      <c r="N325">
        <f t="shared" si="48"/>
        <v>6.4347399372494413E-3</v>
      </c>
      <c r="O325" t="s">
        <v>1057</v>
      </c>
      <c r="P325" s="4">
        <v>80.48</v>
      </c>
      <c r="Q325" s="4">
        <v>65.650000000000006</v>
      </c>
      <c r="R325" s="4" t="str">
        <f t="shared" si="49"/>
        <v>Loss</v>
      </c>
      <c r="S325">
        <v>0.17599999999999999</v>
      </c>
      <c r="T325" s="4">
        <v>13</v>
      </c>
      <c r="U325">
        <f t="shared" si="50"/>
        <v>703.2428000000001</v>
      </c>
      <c r="V325">
        <f t="shared" si="51"/>
        <v>1046.24</v>
      </c>
      <c r="W325">
        <f t="shared" si="52"/>
        <v>-342.99719999999991</v>
      </c>
      <c r="X325">
        <f t="shared" si="53"/>
        <v>-0.48773652570634191</v>
      </c>
    </row>
    <row r="326" spans="1:24" x14ac:dyDescent="0.25">
      <c r="A326" t="s">
        <v>338</v>
      </c>
      <c r="B326" s="13">
        <v>45544</v>
      </c>
      <c r="C326" s="8">
        <v>45573</v>
      </c>
      <c r="D326" s="8">
        <f t="shared" si="45"/>
        <v>45573</v>
      </c>
      <c r="E326" s="6">
        <f t="shared" si="46"/>
        <v>29</v>
      </c>
      <c r="F326" s="6" t="str">
        <f t="shared" si="47"/>
        <v>Q3-2024</v>
      </c>
      <c r="G326" t="s">
        <v>648</v>
      </c>
      <c r="H326" t="s">
        <v>655</v>
      </c>
      <c r="I326" t="s">
        <v>670</v>
      </c>
      <c r="J326" t="s">
        <v>702</v>
      </c>
      <c r="K326" t="s">
        <v>711</v>
      </c>
      <c r="L326" t="s">
        <v>713</v>
      </c>
      <c r="M326" t="s">
        <v>727</v>
      </c>
      <c r="N326">
        <f t="shared" si="48"/>
        <v>0.23804388985675548</v>
      </c>
      <c r="O326" t="s">
        <v>1058</v>
      </c>
      <c r="P326" s="4">
        <v>1010.33</v>
      </c>
      <c r="Q326" s="4">
        <v>2492.14</v>
      </c>
      <c r="R326" s="4" t="str">
        <f t="shared" si="49"/>
        <v>Profit</v>
      </c>
      <c r="S326">
        <v>5.0999999999999997E-2</v>
      </c>
      <c r="T326" s="4">
        <v>11</v>
      </c>
      <c r="U326">
        <f t="shared" si="50"/>
        <v>26015.449459999996</v>
      </c>
      <c r="V326">
        <f t="shared" si="51"/>
        <v>11113.630000000001</v>
      </c>
      <c r="W326">
        <f t="shared" si="52"/>
        <v>14901.819459999995</v>
      </c>
      <c r="X326">
        <f t="shared" si="53"/>
        <v>0.57280653493656752</v>
      </c>
    </row>
    <row r="327" spans="1:24" x14ac:dyDescent="0.25">
      <c r="A327" t="s">
        <v>339</v>
      </c>
      <c r="B327" s="13">
        <v>45053</v>
      </c>
      <c r="C327" s="8">
        <v>45075</v>
      </c>
      <c r="D327" s="8">
        <f t="shared" si="45"/>
        <v>45075</v>
      </c>
      <c r="E327" s="6">
        <f t="shared" si="46"/>
        <v>22</v>
      </c>
      <c r="F327" s="6" t="str">
        <f t="shared" si="47"/>
        <v>Q2-2023</v>
      </c>
      <c r="G327" t="s">
        <v>646</v>
      </c>
      <c r="H327" t="s">
        <v>661</v>
      </c>
      <c r="I327" t="s">
        <v>687</v>
      </c>
      <c r="J327" t="s">
        <v>702</v>
      </c>
      <c r="K327" t="s">
        <v>710</v>
      </c>
      <c r="L327" t="s">
        <v>723</v>
      </c>
      <c r="M327" t="s">
        <v>733</v>
      </c>
      <c r="N327">
        <f t="shared" si="48"/>
        <v>8.9936746981069002E-2</v>
      </c>
      <c r="O327" t="s">
        <v>1059</v>
      </c>
      <c r="P327" s="4">
        <v>653.86</v>
      </c>
      <c r="Q327" s="4">
        <v>931.84</v>
      </c>
      <c r="R327" s="4" t="str">
        <f t="shared" si="49"/>
        <v>Profit</v>
      </c>
      <c r="S327">
        <v>0.121</v>
      </c>
      <c r="T327" s="4">
        <v>12</v>
      </c>
      <c r="U327">
        <f t="shared" si="50"/>
        <v>9829.0483199999999</v>
      </c>
      <c r="V327">
        <f t="shared" si="51"/>
        <v>7846.32</v>
      </c>
      <c r="W327">
        <f t="shared" si="52"/>
        <v>1982.7283200000002</v>
      </c>
      <c r="X327">
        <f t="shared" si="53"/>
        <v>0.20172129136506273</v>
      </c>
    </row>
    <row r="328" spans="1:24" x14ac:dyDescent="0.25">
      <c r="A328" t="s">
        <v>340</v>
      </c>
      <c r="B328" s="13">
        <v>45303</v>
      </c>
      <c r="C328" s="8">
        <v>45320</v>
      </c>
      <c r="D328" s="8">
        <f t="shared" si="45"/>
        <v>45320</v>
      </c>
      <c r="E328" s="6">
        <f t="shared" si="46"/>
        <v>17</v>
      </c>
      <c r="F328" s="6" t="str">
        <f t="shared" si="47"/>
        <v>Q1-2024</v>
      </c>
      <c r="G328" t="s">
        <v>647</v>
      </c>
      <c r="H328" t="s">
        <v>654</v>
      </c>
      <c r="I328" t="s">
        <v>696</v>
      </c>
      <c r="J328" t="s">
        <v>705</v>
      </c>
      <c r="K328" t="s">
        <v>711</v>
      </c>
      <c r="L328" t="s">
        <v>717</v>
      </c>
      <c r="M328" t="s">
        <v>727</v>
      </c>
      <c r="N328">
        <f t="shared" si="48"/>
        <v>2.1721985849025877E-2</v>
      </c>
      <c r="O328" t="s">
        <v>1060</v>
      </c>
      <c r="P328" s="4">
        <v>310.02</v>
      </c>
      <c r="Q328" s="4">
        <v>619.51</v>
      </c>
      <c r="R328" s="4" t="str">
        <f t="shared" si="49"/>
        <v>Profit</v>
      </c>
      <c r="S328">
        <v>4.2000000000000003E-2</v>
      </c>
      <c r="T328" s="4">
        <v>4</v>
      </c>
      <c r="U328">
        <f t="shared" si="50"/>
        <v>2373.9623200000001</v>
      </c>
      <c r="V328">
        <f t="shared" si="51"/>
        <v>1240.08</v>
      </c>
      <c r="W328">
        <f t="shared" si="52"/>
        <v>1133.8823200000002</v>
      </c>
      <c r="X328">
        <f t="shared" si="53"/>
        <v>0.47763282106347843</v>
      </c>
    </row>
    <row r="329" spans="1:24" x14ac:dyDescent="0.25">
      <c r="A329" t="s">
        <v>341</v>
      </c>
      <c r="B329" s="13">
        <v>45087</v>
      </c>
      <c r="C329" s="8">
        <v>45095</v>
      </c>
      <c r="D329" s="8">
        <f t="shared" si="45"/>
        <v>45095</v>
      </c>
      <c r="E329" s="6">
        <f t="shared" si="46"/>
        <v>8</v>
      </c>
      <c r="F329" s="6" t="str">
        <f t="shared" si="47"/>
        <v>Q2-2023</v>
      </c>
      <c r="G329" t="s">
        <v>646</v>
      </c>
      <c r="H329" t="s">
        <v>650</v>
      </c>
      <c r="I329" t="s">
        <v>678</v>
      </c>
      <c r="J329" t="s">
        <v>706</v>
      </c>
      <c r="K329" t="s">
        <v>711</v>
      </c>
      <c r="L329" t="s">
        <v>722</v>
      </c>
      <c r="M329" t="s">
        <v>730</v>
      </c>
      <c r="N329">
        <f t="shared" si="48"/>
        <v>3.4768567958308599E-2</v>
      </c>
      <c r="O329" t="s">
        <v>1061</v>
      </c>
      <c r="P329" s="4">
        <v>894.23</v>
      </c>
      <c r="Q329" s="4">
        <v>1421.55</v>
      </c>
      <c r="R329" s="4" t="str">
        <f t="shared" si="49"/>
        <v>Profit</v>
      </c>
      <c r="S329">
        <v>0.109</v>
      </c>
      <c r="T329" s="4">
        <v>3</v>
      </c>
      <c r="U329">
        <f t="shared" si="50"/>
        <v>3799.8031499999997</v>
      </c>
      <c r="V329">
        <f t="shared" si="51"/>
        <v>2682.69</v>
      </c>
      <c r="W329">
        <f t="shared" si="52"/>
        <v>1117.1131499999997</v>
      </c>
      <c r="X329">
        <f t="shared" si="53"/>
        <v>0.29399237431549574</v>
      </c>
    </row>
    <row r="330" spans="1:24" x14ac:dyDescent="0.25">
      <c r="A330" t="s">
        <v>342</v>
      </c>
      <c r="B330" s="13">
        <v>45796</v>
      </c>
      <c r="C330" s="8">
        <v>45794</v>
      </c>
      <c r="D330" s="8">
        <f t="shared" si="45"/>
        <v>45803</v>
      </c>
      <c r="E330" s="6">
        <f t="shared" si="46"/>
        <v>7</v>
      </c>
      <c r="F330" s="6" t="str">
        <f t="shared" si="47"/>
        <v>Q2-2025</v>
      </c>
      <c r="G330" t="s">
        <v>648</v>
      </c>
      <c r="H330" t="s">
        <v>655</v>
      </c>
      <c r="I330" t="s">
        <v>670</v>
      </c>
      <c r="J330" t="s">
        <v>705</v>
      </c>
      <c r="K330" t="s">
        <v>710</v>
      </c>
      <c r="L330" t="s">
        <v>716</v>
      </c>
      <c r="M330" t="s">
        <v>732</v>
      </c>
      <c r="N330">
        <f t="shared" si="48"/>
        <v>5.700274815477125E-2</v>
      </c>
      <c r="O330" t="s">
        <v>1062</v>
      </c>
      <c r="P330" s="4">
        <v>383.77</v>
      </c>
      <c r="Q330" s="4">
        <v>952.56</v>
      </c>
      <c r="R330" s="4" t="str">
        <f t="shared" si="49"/>
        <v>Profit</v>
      </c>
      <c r="S330">
        <v>0.34599999999999997</v>
      </c>
      <c r="T330" s="4">
        <v>10</v>
      </c>
      <c r="U330">
        <f t="shared" si="50"/>
        <v>6229.7423999999992</v>
      </c>
      <c r="V330">
        <f t="shared" si="51"/>
        <v>3837.7</v>
      </c>
      <c r="W330">
        <f t="shared" si="52"/>
        <v>2392.0423999999994</v>
      </c>
      <c r="X330">
        <f t="shared" si="53"/>
        <v>0.38397131797937578</v>
      </c>
    </row>
    <row r="331" spans="1:24" x14ac:dyDescent="0.25">
      <c r="A331" t="s">
        <v>343</v>
      </c>
      <c r="B331" s="13">
        <v>45221</v>
      </c>
      <c r="C331" s="8">
        <v>45246</v>
      </c>
      <c r="D331" s="8">
        <f t="shared" si="45"/>
        <v>45246</v>
      </c>
      <c r="E331" s="6">
        <f t="shared" si="46"/>
        <v>25</v>
      </c>
      <c r="F331" s="6" t="str">
        <f t="shared" si="47"/>
        <v>Q4-2023</v>
      </c>
      <c r="G331" t="s">
        <v>648</v>
      </c>
      <c r="H331" t="s">
        <v>653</v>
      </c>
      <c r="I331" t="s">
        <v>667</v>
      </c>
      <c r="J331" t="s">
        <v>705</v>
      </c>
      <c r="K331" t="s">
        <v>709</v>
      </c>
      <c r="L331" t="s">
        <v>714</v>
      </c>
      <c r="M331" t="s">
        <v>731</v>
      </c>
      <c r="N331">
        <f t="shared" si="48"/>
        <v>0.25397404922730576</v>
      </c>
      <c r="O331" t="s">
        <v>1063</v>
      </c>
      <c r="P331" s="4">
        <v>1373.31</v>
      </c>
      <c r="Q331" s="4">
        <v>3154.14</v>
      </c>
      <c r="R331" s="4" t="str">
        <f t="shared" si="49"/>
        <v>Profit</v>
      </c>
      <c r="S331">
        <v>0.2</v>
      </c>
      <c r="T331" s="4">
        <v>11</v>
      </c>
      <c r="U331">
        <f t="shared" si="50"/>
        <v>27756.432000000001</v>
      </c>
      <c r="V331">
        <f t="shared" si="51"/>
        <v>15106.41</v>
      </c>
      <c r="W331">
        <f t="shared" si="52"/>
        <v>12650.022000000001</v>
      </c>
      <c r="X331">
        <f t="shared" si="53"/>
        <v>0.45575101295440279</v>
      </c>
    </row>
    <row r="332" spans="1:24" x14ac:dyDescent="0.25">
      <c r="A332" t="s">
        <v>344</v>
      </c>
      <c r="B332" s="13">
        <v>45668</v>
      </c>
      <c r="C332" s="8">
        <v>45680</v>
      </c>
      <c r="D332" s="8">
        <f t="shared" si="45"/>
        <v>45680</v>
      </c>
      <c r="E332" s="6">
        <f t="shared" si="46"/>
        <v>12</v>
      </c>
      <c r="F332" s="6" t="str">
        <f t="shared" si="47"/>
        <v>Q1-2025</v>
      </c>
      <c r="G332" t="s">
        <v>648</v>
      </c>
      <c r="H332" t="s">
        <v>660</v>
      </c>
      <c r="I332" t="s">
        <v>697</v>
      </c>
      <c r="J332" t="s">
        <v>704</v>
      </c>
      <c r="K332" t="s">
        <v>710</v>
      </c>
      <c r="L332" t="s">
        <v>722</v>
      </c>
      <c r="M332" t="s">
        <v>730</v>
      </c>
      <c r="N332">
        <f t="shared" si="48"/>
        <v>2.3216457307740062E-2</v>
      </c>
      <c r="O332" t="s">
        <v>1064</v>
      </c>
      <c r="P332" s="4">
        <v>100.69</v>
      </c>
      <c r="Q332" s="4">
        <v>226.14</v>
      </c>
      <c r="R332" s="4" t="str">
        <f t="shared" si="49"/>
        <v>Profit</v>
      </c>
      <c r="S332">
        <v>6.5000000000000002E-2</v>
      </c>
      <c r="T332" s="4">
        <v>12</v>
      </c>
      <c r="U332">
        <f t="shared" si="50"/>
        <v>2537.2908000000002</v>
      </c>
      <c r="V332">
        <f t="shared" si="51"/>
        <v>1208.28</v>
      </c>
      <c r="W332">
        <f t="shared" si="52"/>
        <v>1329.0108000000002</v>
      </c>
      <c r="X332">
        <f t="shared" si="53"/>
        <v>0.52379128162999689</v>
      </c>
    </row>
    <row r="333" spans="1:24" x14ac:dyDescent="0.25">
      <c r="A333" t="s">
        <v>345</v>
      </c>
      <c r="B333" s="13">
        <v>45914</v>
      </c>
      <c r="C333" s="8">
        <v>45926</v>
      </c>
      <c r="D333" s="8">
        <f t="shared" si="45"/>
        <v>45926</v>
      </c>
      <c r="E333" s="6">
        <f t="shared" si="46"/>
        <v>12</v>
      </c>
      <c r="F333" s="6" t="str">
        <f t="shared" si="47"/>
        <v>Q3-2025</v>
      </c>
      <c r="G333" t="s">
        <v>649</v>
      </c>
      <c r="H333" t="s">
        <v>658</v>
      </c>
      <c r="I333" t="s">
        <v>683</v>
      </c>
      <c r="J333" t="s">
        <v>705</v>
      </c>
      <c r="K333" t="s">
        <v>711</v>
      </c>
      <c r="L333" t="s">
        <v>725</v>
      </c>
      <c r="M333" t="s">
        <v>729</v>
      </c>
      <c r="N333">
        <f t="shared" si="48"/>
        <v>8.0195171451343653E-2</v>
      </c>
      <c r="O333" t="s">
        <v>1065</v>
      </c>
      <c r="P333" s="4">
        <v>425.15</v>
      </c>
      <c r="Q333" s="4">
        <v>885.92</v>
      </c>
      <c r="R333" s="4" t="str">
        <f t="shared" si="49"/>
        <v>Profit</v>
      </c>
      <c r="S333">
        <v>0.23899999999999999</v>
      </c>
      <c r="T333" s="4">
        <v>13</v>
      </c>
      <c r="U333">
        <f t="shared" si="50"/>
        <v>8764.4065599999994</v>
      </c>
      <c r="V333">
        <f t="shared" si="51"/>
        <v>5526.95</v>
      </c>
      <c r="W333">
        <f t="shared" si="52"/>
        <v>3237.4565599999996</v>
      </c>
      <c r="X333">
        <f t="shared" si="53"/>
        <v>0.3693868532725848</v>
      </c>
    </row>
    <row r="334" spans="1:24" x14ac:dyDescent="0.25">
      <c r="A334" t="s">
        <v>346</v>
      </c>
      <c r="B334" s="13">
        <v>45168</v>
      </c>
      <c r="C334" s="8">
        <v>45172</v>
      </c>
      <c r="D334" s="8">
        <f t="shared" si="45"/>
        <v>45172</v>
      </c>
      <c r="E334" s="6">
        <f t="shared" si="46"/>
        <v>4</v>
      </c>
      <c r="F334" s="6" t="str">
        <f t="shared" si="47"/>
        <v>Q3-2023</v>
      </c>
      <c r="G334" t="s">
        <v>647</v>
      </c>
      <c r="H334" t="s">
        <v>654</v>
      </c>
      <c r="I334" t="s">
        <v>680</v>
      </c>
      <c r="J334" t="s">
        <v>705</v>
      </c>
      <c r="K334" t="s">
        <v>709</v>
      </c>
      <c r="L334" t="s">
        <v>716</v>
      </c>
      <c r="M334" t="s">
        <v>733</v>
      </c>
      <c r="N334">
        <f t="shared" si="48"/>
        <v>6.5014668376849549E-2</v>
      </c>
      <c r="O334" t="s">
        <v>1066</v>
      </c>
      <c r="P334" s="4">
        <v>1082.25</v>
      </c>
      <c r="Q334" s="4">
        <v>2433.34</v>
      </c>
      <c r="R334" s="4" t="str">
        <f t="shared" si="49"/>
        <v>Profit</v>
      </c>
      <c r="S334">
        <v>0.27</v>
      </c>
      <c r="T334" s="4">
        <v>4</v>
      </c>
      <c r="U334">
        <f t="shared" si="50"/>
        <v>7105.3528000000006</v>
      </c>
      <c r="V334">
        <f t="shared" si="51"/>
        <v>4329</v>
      </c>
      <c r="W334">
        <f t="shared" si="52"/>
        <v>2776.3528000000006</v>
      </c>
      <c r="X334">
        <f t="shared" si="53"/>
        <v>0.3907410199251472</v>
      </c>
    </row>
    <row r="335" spans="1:24" x14ac:dyDescent="0.25">
      <c r="A335" t="s">
        <v>347</v>
      </c>
      <c r="B335" s="13">
        <v>45245</v>
      </c>
      <c r="C335" s="8">
        <v>45266</v>
      </c>
      <c r="D335" s="8">
        <f t="shared" si="45"/>
        <v>45266</v>
      </c>
      <c r="E335" s="6">
        <f t="shared" si="46"/>
        <v>21</v>
      </c>
      <c r="F335" s="6" t="str">
        <f t="shared" si="47"/>
        <v>Q4-2023</v>
      </c>
      <c r="G335" t="s">
        <v>649</v>
      </c>
      <c r="H335" t="s">
        <v>658</v>
      </c>
      <c r="I335" t="s">
        <v>693</v>
      </c>
      <c r="J335" t="s">
        <v>702</v>
      </c>
      <c r="K335" t="s">
        <v>711</v>
      </c>
      <c r="L335" t="s">
        <v>722</v>
      </c>
      <c r="M335" t="s">
        <v>733</v>
      </c>
      <c r="N335">
        <f t="shared" si="48"/>
        <v>5.1332890458230862E-2</v>
      </c>
      <c r="O335" t="s">
        <v>1067</v>
      </c>
      <c r="P335" s="4">
        <v>1184.99</v>
      </c>
      <c r="Q335" s="4">
        <v>1154.3399999999999</v>
      </c>
      <c r="R335" s="4" t="str">
        <f t="shared" si="49"/>
        <v>Loss</v>
      </c>
      <c r="S335">
        <v>2.8000000000000001E-2</v>
      </c>
      <c r="T335" s="4">
        <v>5</v>
      </c>
      <c r="U335">
        <f t="shared" si="50"/>
        <v>5610.0923999999995</v>
      </c>
      <c r="V335">
        <f t="shared" si="51"/>
        <v>5924.95</v>
      </c>
      <c r="W335">
        <f t="shared" si="52"/>
        <v>-314.85760000000028</v>
      </c>
      <c r="X335">
        <f t="shared" si="53"/>
        <v>-5.6123424990290764E-2</v>
      </c>
    </row>
    <row r="336" spans="1:24" x14ac:dyDescent="0.25">
      <c r="A336" t="s">
        <v>348</v>
      </c>
      <c r="B336" s="13">
        <v>45774</v>
      </c>
      <c r="C336" s="8">
        <v>45804</v>
      </c>
      <c r="D336" s="8">
        <f t="shared" si="45"/>
        <v>45804</v>
      </c>
      <c r="E336" s="6">
        <f t="shared" si="46"/>
        <v>30</v>
      </c>
      <c r="F336" s="6" t="str">
        <f t="shared" si="47"/>
        <v>Q2-2025</v>
      </c>
      <c r="G336" t="s">
        <v>647</v>
      </c>
      <c r="H336" t="s">
        <v>654</v>
      </c>
      <c r="I336" t="s">
        <v>1422</v>
      </c>
      <c r="J336" t="s">
        <v>706</v>
      </c>
      <c r="K336" t="s">
        <v>709</v>
      </c>
      <c r="L336" t="s">
        <v>722</v>
      </c>
      <c r="M336" t="s">
        <v>730</v>
      </c>
      <c r="N336">
        <f t="shared" si="48"/>
        <v>4.4436140613349842E-2</v>
      </c>
      <c r="O336" t="s">
        <v>1068</v>
      </c>
      <c r="P336" s="4">
        <v>481.32</v>
      </c>
      <c r="Q336" s="4">
        <v>1135.99</v>
      </c>
      <c r="R336" s="4" t="str">
        <f t="shared" si="49"/>
        <v>Profit</v>
      </c>
      <c r="S336">
        <v>0.14499999999999999</v>
      </c>
      <c r="T336" s="4">
        <v>5</v>
      </c>
      <c r="U336">
        <f t="shared" si="50"/>
        <v>4856.35725</v>
      </c>
      <c r="V336">
        <f t="shared" si="51"/>
        <v>2406.6</v>
      </c>
      <c r="W336">
        <f t="shared" si="52"/>
        <v>2449.7572500000001</v>
      </c>
      <c r="X336">
        <f t="shared" si="53"/>
        <v>0.50444337677175621</v>
      </c>
    </row>
    <row r="337" spans="1:24" x14ac:dyDescent="0.25">
      <c r="A337" t="s">
        <v>349</v>
      </c>
      <c r="B337" s="13">
        <v>45391</v>
      </c>
      <c r="C337" s="8">
        <v>45400</v>
      </c>
      <c r="D337" s="8">
        <f t="shared" si="45"/>
        <v>45400</v>
      </c>
      <c r="E337" s="6">
        <f t="shared" si="46"/>
        <v>9</v>
      </c>
      <c r="F337" s="6" t="str">
        <f t="shared" si="47"/>
        <v>Q2-2024</v>
      </c>
      <c r="G337" t="s">
        <v>649</v>
      </c>
      <c r="H337" t="s">
        <v>657</v>
      </c>
      <c r="I337" t="s">
        <v>679</v>
      </c>
      <c r="J337" t="s">
        <v>704</v>
      </c>
      <c r="K337" t="s">
        <v>708</v>
      </c>
      <c r="L337" t="s">
        <v>718</v>
      </c>
      <c r="M337" t="s">
        <v>728</v>
      </c>
      <c r="N337">
        <f t="shared" si="48"/>
        <v>0.14840858202904803</v>
      </c>
      <c r="O337" t="s">
        <v>1069</v>
      </c>
      <c r="P337" s="4">
        <v>1288.8499999999999</v>
      </c>
      <c r="Q337" s="4">
        <v>2751.84</v>
      </c>
      <c r="R337" s="4" t="str">
        <f t="shared" si="49"/>
        <v>Profit</v>
      </c>
      <c r="S337">
        <v>0.158</v>
      </c>
      <c r="T337" s="4">
        <v>7</v>
      </c>
      <c r="U337">
        <f t="shared" si="50"/>
        <v>16219.34496</v>
      </c>
      <c r="V337">
        <f t="shared" si="51"/>
        <v>9021.9499999999989</v>
      </c>
      <c r="W337">
        <f t="shared" si="52"/>
        <v>7197.3949600000014</v>
      </c>
      <c r="X337">
        <f t="shared" si="53"/>
        <v>0.44375373837538756</v>
      </c>
    </row>
    <row r="338" spans="1:24" x14ac:dyDescent="0.25">
      <c r="A338" t="s">
        <v>350</v>
      </c>
      <c r="B338" s="13">
        <v>45484</v>
      </c>
      <c r="C338" s="8">
        <v>45504</v>
      </c>
      <c r="D338" s="8">
        <f t="shared" si="45"/>
        <v>45504</v>
      </c>
      <c r="E338" s="6">
        <f t="shared" si="46"/>
        <v>20</v>
      </c>
      <c r="F338" s="6" t="str">
        <f t="shared" si="47"/>
        <v>Q3-2024</v>
      </c>
      <c r="G338" t="s">
        <v>647</v>
      </c>
      <c r="H338" t="s">
        <v>659</v>
      </c>
      <c r="I338" t="s">
        <v>676</v>
      </c>
      <c r="J338" t="s">
        <v>704</v>
      </c>
      <c r="K338" t="s">
        <v>708</v>
      </c>
      <c r="L338" t="s">
        <v>715</v>
      </c>
      <c r="M338" t="s">
        <v>730</v>
      </c>
      <c r="N338">
        <f t="shared" si="48"/>
        <v>0.25846962518056704</v>
      </c>
      <c r="O338" t="s">
        <v>1070</v>
      </c>
      <c r="P338" s="4">
        <v>647.26</v>
      </c>
      <c r="Q338" s="4">
        <v>1374.72</v>
      </c>
      <c r="R338" s="4" t="str">
        <f t="shared" si="49"/>
        <v>Profit</v>
      </c>
      <c r="S338">
        <v>6.6000000000000003E-2</v>
      </c>
      <c r="T338" s="4">
        <v>22</v>
      </c>
      <c r="U338">
        <f t="shared" si="50"/>
        <v>28247.74656</v>
      </c>
      <c r="V338">
        <f t="shared" si="51"/>
        <v>14239.72</v>
      </c>
      <c r="W338">
        <f t="shared" si="52"/>
        <v>14008.02656</v>
      </c>
      <c r="X338">
        <f t="shared" si="53"/>
        <v>0.49589890401508901</v>
      </c>
    </row>
    <row r="339" spans="1:24" x14ac:dyDescent="0.25">
      <c r="A339" t="s">
        <v>351</v>
      </c>
      <c r="B339" s="13">
        <v>45340</v>
      </c>
      <c r="C339" s="8">
        <v>45354</v>
      </c>
      <c r="D339" s="8">
        <f t="shared" si="45"/>
        <v>45354</v>
      </c>
      <c r="E339" s="6">
        <f t="shared" si="46"/>
        <v>14</v>
      </c>
      <c r="F339" s="6" t="str">
        <f t="shared" si="47"/>
        <v>Q1-2024</v>
      </c>
      <c r="G339" t="s">
        <v>648</v>
      </c>
      <c r="H339" t="s">
        <v>655</v>
      </c>
      <c r="I339" t="s">
        <v>1422</v>
      </c>
      <c r="J339" t="s">
        <v>706</v>
      </c>
      <c r="K339" t="s">
        <v>710</v>
      </c>
      <c r="L339" t="s">
        <v>720</v>
      </c>
      <c r="M339" t="s">
        <v>728</v>
      </c>
      <c r="N339">
        <f t="shared" si="48"/>
        <v>0.35260773278023066</v>
      </c>
      <c r="O339" t="s">
        <v>1071</v>
      </c>
      <c r="P339" s="4">
        <v>624.23</v>
      </c>
      <c r="Q339" s="4">
        <v>1318.37</v>
      </c>
      <c r="R339" s="4" t="str">
        <f t="shared" si="49"/>
        <v>Profit</v>
      </c>
      <c r="S339">
        <v>0.21</v>
      </c>
      <c r="T339" s="4">
        <v>37</v>
      </c>
      <c r="U339">
        <f t="shared" si="50"/>
        <v>38535.955099999999</v>
      </c>
      <c r="V339">
        <f t="shared" si="51"/>
        <v>23096.510000000002</v>
      </c>
      <c r="W339">
        <f t="shared" si="52"/>
        <v>15439.445099999997</v>
      </c>
      <c r="X339">
        <f t="shared" si="53"/>
        <v>0.40065038118128793</v>
      </c>
    </row>
    <row r="340" spans="1:24" x14ac:dyDescent="0.25">
      <c r="A340" t="s">
        <v>352</v>
      </c>
      <c r="B340" s="13">
        <v>45132</v>
      </c>
      <c r="C340" s="8">
        <v>45148</v>
      </c>
      <c r="D340" s="8">
        <f t="shared" si="45"/>
        <v>45148</v>
      </c>
      <c r="E340" s="6">
        <f t="shared" si="46"/>
        <v>16</v>
      </c>
      <c r="F340" s="6" t="str">
        <f t="shared" si="47"/>
        <v>Q3-2023</v>
      </c>
      <c r="G340" t="s">
        <v>646</v>
      </c>
      <c r="H340" t="s">
        <v>651</v>
      </c>
      <c r="I340" t="s">
        <v>663</v>
      </c>
      <c r="J340" t="s">
        <v>701</v>
      </c>
      <c r="K340" t="s">
        <v>710</v>
      </c>
      <c r="L340" t="s">
        <v>714</v>
      </c>
      <c r="M340" t="s">
        <v>733</v>
      </c>
      <c r="N340">
        <f t="shared" si="48"/>
        <v>2.7647033166899232E-2</v>
      </c>
      <c r="O340" t="s">
        <v>1072</v>
      </c>
      <c r="P340" s="4">
        <v>506.83</v>
      </c>
      <c r="Q340" s="4">
        <v>441.74</v>
      </c>
      <c r="R340" s="4" t="str">
        <f t="shared" si="49"/>
        <v>Loss</v>
      </c>
      <c r="S340">
        <v>0.24</v>
      </c>
      <c r="T340" s="4">
        <v>9</v>
      </c>
      <c r="U340">
        <f t="shared" si="50"/>
        <v>3021.5016000000001</v>
      </c>
      <c r="V340">
        <f t="shared" si="51"/>
        <v>4561.47</v>
      </c>
      <c r="W340">
        <f t="shared" si="52"/>
        <v>-1539.9684000000002</v>
      </c>
      <c r="X340">
        <f t="shared" si="53"/>
        <v>-0.50966989393618067</v>
      </c>
    </row>
    <row r="341" spans="1:24" x14ac:dyDescent="0.25">
      <c r="A341" t="s">
        <v>353</v>
      </c>
      <c r="B341" s="13">
        <v>45121</v>
      </c>
      <c r="C341" s="8">
        <v>45128</v>
      </c>
      <c r="D341" s="8">
        <f t="shared" si="45"/>
        <v>45128</v>
      </c>
      <c r="E341" s="6">
        <f t="shared" si="46"/>
        <v>7</v>
      </c>
      <c r="F341" s="6" t="str">
        <f t="shared" si="47"/>
        <v>Q3-2023</v>
      </c>
      <c r="G341" t="s">
        <v>646</v>
      </c>
      <c r="H341" t="s">
        <v>661</v>
      </c>
      <c r="I341" t="s">
        <v>687</v>
      </c>
      <c r="J341" t="s">
        <v>706</v>
      </c>
      <c r="K341" t="s">
        <v>709</v>
      </c>
      <c r="L341" t="s">
        <v>1422</v>
      </c>
      <c r="M341" t="s">
        <v>732</v>
      </c>
      <c r="N341">
        <f t="shared" si="48"/>
        <v>0.23887805388802524</v>
      </c>
      <c r="O341" t="s">
        <v>1073</v>
      </c>
      <c r="P341" s="4">
        <v>620.74</v>
      </c>
      <c r="Q341" s="4">
        <v>1330.07</v>
      </c>
      <c r="R341" s="4" t="str">
        <f t="shared" si="49"/>
        <v>Profit</v>
      </c>
      <c r="S341">
        <v>0.29899999999999999</v>
      </c>
      <c r="T341" s="4">
        <v>28</v>
      </c>
      <c r="U341">
        <f t="shared" si="50"/>
        <v>26106.613960000002</v>
      </c>
      <c r="V341">
        <f t="shared" si="51"/>
        <v>17380.72</v>
      </c>
      <c r="W341">
        <f t="shared" si="52"/>
        <v>8725.8939600000012</v>
      </c>
      <c r="X341">
        <f t="shared" si="53"/>
        <v>0.33424073965967516</v>
      </c>
    </row>
    <row r="342" spans="1:24" x14ac:dyDescent="0.25">
      <c r="A342" t="s">
        <v>354</v>
      </c>
      <c r="B342" s="13">
        <v>45131</v>
      </c>
      <c r="C342" s="8">
        <v>45157</v>
      </c>
      <c r="D342" s="8">
        <f t="shared" si="45"/>
        <v>45157</v>
      </c>
      <c r="E342" s="6">
        <f t="shared" si="46"/>
        <v>26</v>
      </c>
      <c r="F342" s="6" t="str">
        <f t="shared" si="47"/>
        <v>Q3-2023</v>
      </c>
      <c r="G342" t="s">
        <v>646</v>
      </c>
      <c r="H342" t="s">
        <v>650</v>
      </c>
      <c r="I342" t="s">
        <v>664</v>
      </c>
      <c r="J342" t="s">
        <v>706</v>
      </c>
      <c r="K342" t="s">
        <v>710</v>
      </c>
      <c r="L342" t="s">
        <v>724</v>
      </c>
      <c r="M342" t="s">
        <v>733</v>
      </c>
      <c r="N342">
        <f t="shared" si="48"/>
        <v>0.1561732944425358</v>
      </c>
      <c r="O342" t="s">
        <v>1074</v>
      </c>
      <c r="P342" s="4">
        <v>661.45</v>
      </c>
      <c r="Q342" s="4">
        <v>1634.86</v>
      </c>
      <c r="R342" s="4" t="str">
        <f t="shared" si="49"/>
        <v>Profit</v>
      </c>
      <c r="S342">
        <v>0.56499999999999995</v>
      </c>
      <c r="T342" s="4">
        <v>24</v>
      </c>
      <c r="U342">
        <f t="shared" si="50"/>
        <v>17067.938400000003</v>
      </c>
      <c r="V342">
        <f t="shared" si="51"/>
        <v>15874.800000000001</v>
      </c>
      <c r="W342">
        <f t="shared" si="52"/>
        <v>1193.1384000000016</v>
      </c>
      <c r="X342">
        <f t="shared" si="53"/>
        <v>6.9905244092045793E-2</v>
      </c>
    </row>
    <row r="343" spans="1:24" x14ac:dyDescent="0.25">
      <c r="A343" t="s">
        <v>355</v>
      </c>
      <c r="B343" s="13">
        <v>45029</v>
      </c>
      <c r="C343" s="8">
        <v>45027</v>
      </c>
      <c r="D343" s="8">
        <f t="shared" si="45"/>
        <v>45036</v>
      </c>
      <c r="E343" s="6">
        <f t="shared" si="46"/>
        <v>7</v>
      </c>
      <c r="F343" s="6" t="str">
        <f t="shared" si="47"/>
        <v>Q2-2023</v>
      </c>
      <c r="G343" t="s">
        <v>648</v>
      </c>
      <c r="H343" t="s">
        <v>660</v>
      </c>
      <c r="I343" t="s">
        <v>686</v>
      </c>
      <c r="J343" t="s">
        <v>702</v>
      </c>
      <c r="K343" t="s">
        <v>709</v>
      </c>
      <c r="L343" t="s">
        <v>715</v>
      </c>
      <c r="M343" t="s">
        <v>729</v>
      </c>
      <c r="N343">
        <f t="shared" si="48"/>
        <v>1.0204166377024726E-2</v>
      </c>
      <c r="O343" t="s">
        <v>1075</v>
      </c>
      <c r="P343" s="4">
        <v>32.1</v>
      </c>
      <c r="Q343" s="4">
        <v>70.599999999999994</v>
      </c>
      <c r="R343" s="4" t="str">
        <f t="shared" si="49"/>
        <v>Profit</v>
      </c>
      <c r="S343">
        <v>0.28199999999999997</v>
      </c>
      <c r="T343" s="4">
        <v>22</v>
      </c>
      <c r="U343">
        <f t="shared" si="50"/>
        <v>1115.1975999999997</v>
      </c>
      <c r="V343">
        <f t="shared" si="51"/>
        <v>706.2</v>
      </c>
      <c r="W343">
        <f t="shared" si="52"/>
        <v>408.99759999999969</v>
      </c>
      <c r="X343">
        <f t="shared" si="53"/>
        <v>0.36674899587301818</v>
      </c>
    </row>
    <row r="344" spans="1:24" x14ac:dyDescent="0.25">
      <c r="A344" t="s">
        <v>356</v>
      </c>
      <c r="B344" s="13">
        <v>45594</v>
      </c>
      <c r="C344" s="8">
        <v>45600</v>
      </c>
      <c r="D344" s="8">
        <f t="shared" si="45"/>
        <v>45600</v>
      </c>
      <c r="E344" s="6">
        <f t="shared" si="46"/>
        <v>6</v>
      </c>
      <c r="F344" s="6" t="str">
        <f t="shared" si="47"/>
        <v>Q4-2024</v>
      </c>
      <c r="G344" t="s">
        <v>646</v>
      </c>
      <c r="H344" t="s">
        <v>650</v>
      </c>
      <c r="I344" t="s">
        <v>664</v>
      </c>
      <c r="J344" t="s">
        <v>701</v>
      </c>
      <c r="K344" t="s">
        <v>710</v>
      </c>
      <c r="L344" t="s">
        <v>724</v>
      </c>
      <c r="M344" t="s">
        <v>728</v>
      </c>
      <c r="N344">
        <f t="shared" si="48"/>
        <v>0.18349092411217774</v>
      </c>
      <c r="O344" t="s">
        <v>1076</v>
      </c>
      <c r="P344" s="4">
        <v>805.81</v>
      </c>
      <c r="Q344" s="4">
        <v>1823.04</v>
      </c>
      <c r="R344" s="4" t="str">
        <f t="shared" si="49"/>
        <v>Profit</v>
      </c>
      <c r="S344">
        <v>0</v>
      </c>
      <c r="T344" s="4">
        <v>11</v>
      </c>
      <c r="U344">
        <f t="shared" si="50"/>
        <v>20053.439999999999</v>
      </c>
      <c r="V344">
        <f t="shared" si="51"/>
        <v>8863.91</v>
      </c>
      <c r="W344">
        <f t="shared" si="52"/>
        <v>11189.529999999999</v>
      </c>
      <c r="X344">
        <f t="shared" si="53"/>
        <v>0.55798556257679477</v>
      </c>
    </row>
    <row r="345" spans="1:24" x14ac:dyDescent="0.25">
      <c r="A345" t="s">
        <v>357</v>
      </c>
      <c r="B345" s="13">
        <v>45339</v>
      </c>
      <c r="C345" s="8">
        <v>45355</v>
      </c>
      <c r="D345" s="8">
        <f t="shared" si="45"/>
        <v>45355</v>
      </c>
      <c r="E345" s="6">
        <f t="shared" si="46"/>
        <v>16</v>
      </c>
      <c r="F345" s="6" t="str">
        <f t="shared" si="47"/>
        <v>Q1-2024</v>
      </c>
      <c r="G345" t="s">
        <v>647</v>
      </c>
      <c r="H345" t="s">
        <v>654</v>
      </c>
      <c r="I345" t="s">
        <v>680</v>
      </c>
      <c r="J345" t="s">
        <v>705</v>
      </c>
      <c r="K345" t="s">
        <v>709</v>
      </c>
      <c r="L345" t="s">
        <v>721</v>
      </c>
      <c r="M345" t="s">
        <v>730</v>
      </c>
      <c r="N345">
        <f t="shared" si="48"/>
        <v>8.1791800267656409E-2</v>
      </c>
      <c r="O345" t="s">
        <v>1077</v>
      </c>
      <c r="P345" s="4">
        <v>1231.8</v>
      </c>
      <c r="Q345" s="4">
        <v>2015.99</v>
      </c>
      <c r="R345" s="4" t="str">
        <f t="shared" si="49"/>
        <v>Profit</v>
      </c>
      <c r="S345">
        <v>0.26100000000000001</v>
      </c>
      <c r="T345" s="4">
        <v>6</v>
      </c>
      <c r="U345">
        <f t="shared" si="50"/>
        <v>8938.8996600000009</v>
      </c>
      <c r="V345">
        <f t="shared" si="51"/>
        <v>7390.7999999999993</v>
      </c>
      <c r="W345">
        <f t="shared" si="52"/>
        <v>1548.0996600000017</v>
      </c>
      <c r="X345">
        <f t="shared" si="53"/>
        <v>0.17318682599464391</v>
      </c>
    </row>
    <row r="346" spans="1:24" x14ac:dyDescent="0.25">
      <c r="A346" t="s">
        <v>358</v>
      </c>
      <c r="B346" s="13">
        <v>45486</v>
      </c>
      <c r="C346" s="8">
        <v>45485</v>
      </c>
      <c r="D346" s="8">
        <f t="shared" si="45"/>
        <v>45493</v>
      </c>
      <c r="E346" s="6">
        <f t="shared" si="46"/>
        <v>7</v>
      </c>
      <c r="F346" s="6" t="str">
        <f t="shared" si="47"/>
        <v>Q3-2024</v>
      </c>
      <c r="G346" t="s">
        <v>647</v>
      </c>
      <c r="H346" t="s">
        <v>652</v>
      </c>
      <c r="I346" t="s">
        <v>694</v>
      </c>
      <c r="J346" t="s">
        <v>705</v>
      </c>
      <c r="K346" t="s">
        <v>709</v>
      </c>
      <c r="L346" t="s">
        <v>721</v>
      </c>
      <c r="M346" t="s">
        <v>729</v>
      </c>
      <c r="N346">
        <f t="shared" si="48"/>
        <v>2.9052974690696384E-2</v>
      </c>
      <c r="O346" t="s">
        <v>1078</v>
      </c>
      <c r="P346" s="4">
        <v>105.13</v>
      </c>
      <c r="Q346" s="4">
        <v>244.13</v>
      </c>
      <c r="R346" s="4" t="str">
        <f t="shared" si="49"/>
        <v>Profit</v>
      </c>
      <c r="S346">
        <v>7.0999999999999994E-2</v>
      </c>
      <c r="T346" s="4">
        <v>14</v>
      </c>
      <c r="U346">
        <f t="shared" si="50"/>
        <v>3175.1547799999998</v>
      </c>
      <c r="V346">
        <f t="shared" si="51"/>
        <v>1471.82</v>
      </c>
      <c r="W346">
        <f t="shared" si="52"/>
        <v>1703.3347799999999</v>
      </c>
      <c r="X346">
        <f t="shared" si="53"/>
        <v>0.53645724319618837</v>
      </c>
    </row>
    <row r="347" spans="1:24" x14ac:dyDescent="0.25">
      <c r="A347" t="s">
        <v>359</v>
      </c>
      <c r="B347" s="13">
        <v>45261</v>
      </c>
      <c r="C347" s="8">
        <v>45278</v>
      </c>
      <c r="D347" s="8">
        <f t="shared" si="45"/>
        <v>45278</v>
      </c>
      <c r="E347" s="6">
        <f t="shared" si="46"/>
        <v>17</v>
      </c>
      <c r="F347" s="6" t="str">
        <f t="shared" si="47"/>
        <v>Q4-2023</v>
      </c>
      <c r="G347" t="s">
        <v>647</v>
      </c>
      <c r="H347" t="s">
        <v>652</v>
      </c>
      <c r="I347" t="s">
        <v>694</v>
      </c>
      <c r="J347" t="s">
        <v>705</v>
      </c>
      <c r="K347" t="s">
        <v>711</v>
      </c>
      <c r="L347" t="s">
        <v>725</v>
      </c>
      <c r="M347" t="s">
        <v>731</v>
      </c>
      <c r="N347">
        <f t="shared" si="48"/>
        <v>0.12478251000845303</v>
      </c>
      <c r="O347" t="s">
        <v>1079</v>
      </c>
      <c r="P347" s="4">
        <v>1495.79</v>
      </c>
      <c r="Q347" s="4">
        <v>2783.12</v>
      </c>
      <c r="R347" s="4" t="str">
        <f t="shared" si="49"/>
        <v>Profit</v>
      </c>
      <c r="S347">
        <v>0.02</v>
      </c>
      <c r="T347" s="4">
        <v>5</v>
      </c>
      <c r="U347">
        <f t="shared" si="50"/>
        <v>13637.287999999999</v>
      </c>
      <c r="V347">
        <f t="shared" si="51"/>
        <v>7478.95</v>
      </c>
      <c r="W347">
        <f t="shared" si="52"/>
        <v>6158.3379999999988</v>
      </c>
      <c r="X347">
        <f t="shared" si="53"/>
        <v>0.45158084217331185</v>
      </c>
    </row>
    <row r="348" spans="1:24" x14ac:dyDescent="0.25">
      <c r="A348" t="s">
        <v>360</v>
      </c>
      <c r="B348" s="13">
        <v>45498</v>
      </c>
      <c r="C348" s="8">
        <v>45506</v>
      </c>
      <c r="D348" s="8">
        <f t="shared" si="45"/>
        <v>45506</v>
      </c>
      <c r="E348" s="6">
        <f t="shared" si="46"/>
        <v>8</v>
      </c>
      <c r="F348" s="6" t="str">
        <f t="shared" si="47"/>
        <v>Q3-2024</v>
      </c>
      <c r="G348" t="s">
        <v>648</v>
      </c>
      <c r="H348" t="s">
        <v>653</v>
      </c>
      <c r="I348" t="s">
        <v>681</v>
      </c>
      <c r="J348" t="s">
        <v>704</v>
      </c>
      <c r="K348" t="s">
        <v>711</v>
      </c>
      <c r="L348" t="s">
        <v>713</v>
      </c>
      <c r="M348" t="s">
        <v>733</v>
      </c>
      <c r="N348">
        <f t="shared" si="48"/>
        <v>0.72361262169346885</v>
      </c>
      <c r="O348" t="s">
        <v>1080</v>
      </c>
      <c r="P348" s="4">
        <v>986.81</v>
      </c>
      <c r="Q348" s="4">
        <v>2050.31</v>
      </c>
      <c r="R348" s="4" t="str">
        <f t="shared" si="49"/>
        <v>Profit</v>
      </c>
      <c r="S348">
        <v>0.10299999999999999</v>
      </c>
      <c r="T348" s="4">
        <v>43</v>
      </c>
      <c r="U348">
        <f t="shared" si="50"/>
        <v>79082.507010000001</v>
      </c>
      <c r="V348">
        <f t="shared" si="51"/>
        <v>42432.829999999994</v>
      </c>
      <c r="W348">
        <f t="shared" si="52"/>
        <v>36649.677010000007</v>
      </c>
      <c r="X348">
        <f t="shared" si="53"/>
        <v>0.46343595310358138</v>
      </c>
    </row>
    <row r="349" spans="1:24" x14ac:dyDescent="0.25">
      <c r="A349" t="s">
        <v>361</v>
      </c>
      <c r="B349" s="13">
        <v>45050</v>
      </c>
      <c r="C349" s="8">
        <v>45062</v>
      </c>
      <c r="D349" s="8">
        <f t="shared" si="45"/>
        <v>45062</v>
      </c>
      <c r="E349" s="6">
        <f t="shared" si="46"/>
        <v>12</v>
      </c>
      <c r="F349" s="6" t="str">
        <f t="shared" si="47"/>
        <v>Q2-2023</v>
      </c>
      <c r="G349" t="s">
        <v>646</v>
      </c>
      <c r="H349" t="s">
        <v>651</v>
      </c>
      <c r="I349" t="s">
        <v>669</v>
      </c>
      <c r="J349" t="s">
        <v>705</v>
      </c>
      <c r="K349" t="s">
        <v>709</v>
      </c>
      <c r="L349" t="s">
        <v>713</v>
      </c>
      <c r="M349" t="s">
        <v>730</v>
      </c>
      <c r="N349">
        <f t="shared" si="48"/>
        <v>2.019243438186934E-2</v>
      </c>
      <c r="O349" t="s">
        <v>1081</v>
      </c>
      <c r="P349" s="4">
        <v>77.739999999999995</v>
      </c>
      <c r="Q349" s="4">
        <v>147.12</v>
      </c>
      <c r="R349" s="4" t="str">
        <f t="shared" si="49"/>
        <v>Profit</v>
      </c>
      <c r="S349">
        <v>0</v>
      </c>
      <c r="T349" s="4">
        <v>15</v>
      </c>
      <c r="U349">
        <f t="shared" si="50"/>
        <v>2206.8000000000002</v>
      </c>
      <c r="V349">
        <f t="shared" si="51"/>
        <v>1166.0999999999999</v>
      </c>
      <c r="W349">
        <f t="shared" si="52"/>
        <v>1040.7000000000003</v>
      </c>
      <c r="X349">
        <f t="shared" si="53"/>
        <v>0.47158781946710177</v>
      </c>
    </row>
    <row r="350" spans="1:24" x14ac:dyDescent="0.25">
      <c r="A350" t="s">
        <v>362</v>
      </c>
      <c r="B350" s="13">
        <v>45281</v>
      </c>
      <c r="C350" s="8">
        <v>45297</v>
      </c>
      <c r="D350" s="8">
        <f t="shared" si="45"/>
        <v>45297</v>
      </c>
      <c r="E350" s="6">
        <f t="shared" si="46"/>
        <v>16</v>
      </c>
      <c r="F350" s="6" t="str">
        <f t="shared" si="47"/>
        <v>Q4-2023</v>
      </c>
      <c r="G350" t="s">
        <v>646</v>
      </c>
      <c r="H350" t="s">
        <v>651</v>
      </c>
      <c r="I350" t="s">
        <v>1422</v>
      </c>
      <c r="J350" t="s">
        <v>701</v>
      </c>
      <c r="K350" t="s">
        <v>709</v>
      </c>
      <c r="L350" t="s">
        <v>723</v>
      </c>
      <c r="M350" t="s">
        <v>727</v>
      </c>
      <c r="N350">
        <f t="shared" si="48"/>
        <v>0.24850651921086625</v>
      </c>
      <c r="O350" t="s">
        <v>1082</v>
      </c>
      <c r="P350" s="4">
        <v>932.61</v>
      </c>
      <c r="Q350" s="4">
        <v>1982.98</v>
      </c>
      <c r="R350" s="4" t="str">
        <f t="shared" si="49"/>
        <v>Profit</v>
      </c>
      <c r="S350">
        <v>0.14399999999999999</v>
      </c>
      <c r="T350" s="4">
        <v>16</v>
      </c>
      <c r="U350">
        <f t="shared" si="50"/>
        <v>27158.894079999998</v>
      </c>
      <c r="V350">
        <f t="shared" si="51"/>
        <v>14921.76</v>
      </c>
      <c r="W350">
        <f t="shared" si="52"/>
        <v>12237.134079999998</v>
      </c>
      <c r="X350">
        <f t="shared" si="53"/>
        <v>0.45057556629345635</v>
      </c>
    </row>
    <row r="351" spans="1:24" x14ac:dyDescent="0.25">
      <c r="A351" t="s">
        <v>363</v>
      </c>
      <c r="B351" s="13">
        <v>45825</v>
      </c>
      <c r="C351" s="8">
        <v>45843</v>
      </c>
      <c r="D351" s="8">
        <f t="shared" si="45"/>
        <v>45843</v>
      </c>
      <c r="E351" s="6">
        <f t="shared" si="46"/>
        <v>18</v>
      </c>
      <c r="F351" s="6" t="str">
        <f t="shared" si="47"/>
        <v>Q2-2025</v>
      </c>
      <c r="G351" t="s">
        <v>647</v>
      </c>
      <c r="H351" t="s">
        <v>654</v>
      </c>
      <c r="I351" t="s">
        <v>680</v>
      </c>
      <c r="J351" t="s">
        <v>704</v>
      </c>
      <c r="K351" t="s">
        <v>709</v>
      </c>
      <c r="L351" t="s">
        <v>716</v>
      </c>
      <c r="M351" t="s">
        <v>731</v>
      </c>
      <c r="N351">
        <f t="shared" si="48"/>
        <v>0.11196859135384432</v>
      </c>
      <c r="O351" t="s">
        <v>1083</v>
      </c>
      <c r="P351" s="4">
        <v>982.93</v>
      </c>
      <c r="Q351" s="4">
        <v>2299.3000000000002</v>
      </c>
      <c r="R351" s="4" t="str">
        <f t="shared" si="49"/>
        <v>Profit</v>
      </c>
      <c r="S351">
        <v>0.113</v>
      </c>
      <c r="T351" s="4">
        <v>6</v>
      </c>
      <c r="U351">
        <f t="shared" si="50"/>
        <v>12236.874600000001</v>
      </c>
      <c r="V351">
        <f t="shared" si="51"/>
        <v>5897.58</v>
      </c>
      <c r="W351">
        <f t="shared" si="52"/>
        <v>6339.2946000000011</v>
      </c>
      <c r="X351">
        <f t="shared" si="53"/>
        <v>0.51804850562087157</v>
      </c>
    </row>
    <row r="352" spans="1:24" x14ac:dyDescent="0.25">
      <c r="A352" t="s">
        <v>364</v>
      </c>
      <c r="B352" s="13">
        <v>44980</v>
      </c>
      <c r="C352" s="8">
        <v>44993</v>
      </c>
      <c r="D352" s="8">
        <f t="shared" si="45"/>
        <v>44993</v>
      </c>
      <c r="E352" s="6">
        <f t="shared" si="46"/>
        <v>13</v>
      </c>
      <c r="F352" s="6" t="str">
        <f t="shared" si="47"/>
        <v>Q1-2023</v>
      </c>
      <c r="G352" t="s">
        <v>649</v>
      </c>
      <c r="H352" t="s">
        <v>658</v>
      </c>
      <c r="I352" t="s">
        <v>693</v>
      </c>
      <c r="J352" t="s">
        <v>705</v>
      </c>
      <c r="K352" t="s">
        <v>711</v>
      </c>
      <c r="L352" t="s">
        <v>712</v>
      </c>
      <c r="M352" t="s">
        <v>728</v>
      </c>
      <c r="N352">
        <f t="shared" si="48"/>
        <v>3.7808498968574508E-2</v>
      </c>
      <c r="O352" t="s">
        <v>1084</v>
      </c>
      <c r="P352" s="4">
        <v>307.37</v>
      </c>
      <c r="Q352" s="4">
        <v>462.61</v>
      </c>
      <c r="R352" s="4" t="str">
        <f t="shared" si="49"/>
        <v>Profit</v>
      </c>
      <c r="S352">
        <v>0.188</v>
      </c>
      <c r="T352" s="4">
        <v>11</v>
      </c>
      <c r="U352">
        <f t="shared" si="50"/>
        <v>4132.0325200000007</v>
      </c>
      <c r="V352">
        <f t="shared" si="51"/>
        <v>3381.07</v>
      </c>
      <c r="W352">
        <f t="shared" si="52"/>
        <v>750.9625200000005</v>
      </c>
      <c r="X352">
        <f t="shared" si="53"/>
        <v>0.18174167709599739</v>
      </c>
    </row>
    <row r="353" spans="1:24" x14ac:dyDescent="0.25">
      <c r="A353" t="s">
        <v>365</v>
      </c>
      <c r="B353" s="13">
        <v>45262</v>
      </c>
      <c r="C353" s="8">
        <v>45276</v>
      </c>
      <c r="D353" s="8">
        <f t="shared" si="45"/>
        <v>45276</v>
      </c>
      <c r="E353" s="6">
        <f t="shared" si="46"/>
        <v>14</v>
      </c>
      <c r="F353" s="6" t="str">
        <f t="shared" si="47"/>
        <v>Q4-2023</v>
      </c>
      <c r="G353" t="s">
        <v>649</v>
      </c>
      <c r="H353" t="s">
        <v>656</v>
      </c>
      <c r="I353" t="s">
        <v>698</v>
      </c>
      <c r="J353" t="s">
        <v>702</v>
      </c>
      <c r="K353" t="s">
        <v>711</v>
      </c>
      <c r="L353" t="s">
        <v>725</v>
      </c>
      <c r="M353" t="s">
        <v>732</v>
      </c>
      <c r="N353">
        <f t="shared" si="48"/>
        <v>0.15085973613030468</v>
      </c>
      <c r="O353" t="s">
        <v>1085</v>
      </c>
      <c r="P353" s="4">
        <v>879.08</v>
      </c>
      <c r="Q353" s="4">
        <v>1093.3900000000001</v>
      </c>
      <c r="R353" s="4" t="str">
        <f t="shared" si="49"/>
        <v>Profit</v>
      </c>
      <c r="S353">
        <v>0.113</v>
      </c>
      <c r="T353" s="4">
        <v>17</v>
      </c>
      <c r="U353">
        <f t="shared" si="50"/>
        <v>16487.22781</v>
      </c>
      <c r="V353">
        <f t="shared" si="51"/>
        <v>14944.36</v>
      </c>
      <c r="W353">
        <f t="shared" si="52"/>
        <v>1542.8678099999997</v>
      </c>
      <c r="X353">
        <f t="shared" si="53"/>
        <v>9.3579577341935186E-2</v>
      </c>
    </row>
    <row r="354" spans="1:24" x14ac:dyDescent="0.25">
      <c r="A354" t="s">
        <v>366</v>
      </c>
      <c r="B354" s="13">
        <v>45121</v>
      </c>
      <c r="C354" s="8">
        <v>45121</v>
      </c>
      <c r="D354" s="8">
        <f t="shared" si="45"/>
        <v>45121</v>
      </c>
      <c r="E354" s="6">
        <f t="shared" si="46"/>
        <v>0</v>
      </c>
      <c r="F354" s="6" t="str">
        <f t="shared" si="47"/>
        <v>Q3-2023</v>
      </c>
      <c r="G354" t="s">
        <v>646</v>
      </c>
      <c r="H354" t="s">
        <v>651</v>
      </c>
      <c r="I354" t="s">
        <v>665</v>
      </c>
      <c r="J354" t="s">
        <v>702</v>
      </c>
      <c r="K354" t="s">
        <v>707</v>
      </c>
      <c r="L354" t="s">
        <v>714</v>
      </c>
      <c r="M354" t="s">
        <v>733</v>
      </c>
      <c r="N354">
        <f t="shared" si="48"/>
        <v>0.24295889674709001</v>
      </c>
      <c r="O354" t="s">
        <v>1086</v>
      </c>
      <c r="P354" s="4">
        <v>956.38</v>
      </c>
      <c r="Q354" s="4">
        <v>1454.22</v>
      </c>
      <c r="R354" s="4" t="str">
        <f t="shared" si="49"/>
        <v>Profit</v>
      </c>
      <c r="S354">
        <v>3.9E-2</v>
      </c>
      <c r="T354" s="4">
        <v>19</v>
      </c>
      <c r="U354">
        <f t="shared" si="50"/>
        <v>26552.60298</v>
      </c>
      <c r="V354">
        <f t="shared" si="51"/>
        <v>18171.22</v>
      </c>
      <c r="W354">
        <f t="shared" si="52"/>
        <v>8381.3829799999985</v>
      </c>
      <c r="X354">
        <f t="shared" si="53"/>
        <v>0.31565202802576603</v>
      </c>
    </row>
    <row r="355" spans="1:24" x14ac:dyDescent="0.25">
      <c r="A355" t="s">
        <v>367</v>
      </c>
      <c r="B355" s="13">
        <v>45512</v>
      </c>
      <c r="C355" s="8">
        <v>45524</v>
      </c>
      <c r="D355" s="8">
        <f t="shared" si="45"/>
        <v>45524</v>
      </c>
      <c r="E355" s="6">
        <f t="shared" si="46"/>
        <v>12</v>
      </c>
      <c r="F355" s="6" t="str">
        <f t="shared" si="47"/>
        <v>Q3-2024</v>
      </c>
      <c r="G355" t="s">
        <v>647</v>
      </c>
      <c r="H355" t="s">
        <v>652</v>
      </c>
      <c r="I355" t="s">
        <v>666</v>
      </c>
      <c r="J355" t="s">
        <v>705</v>
      </c>
      <c r="K355" t="s">
        <v>707</v>
      </c>
      <c r="L355" t="s">
        <v>722</v>
      </c>
      <c r="M355" t="s">
        <v>729</v>
      </c>
      <c r="N355">
        <f t="shared" si="48"/>
        <v>0.3185786395303809</v>
      </c>
      <c r="O355" t="s">
        <v>1087</v>
      </c>
      <c r="P355" s="4">
        <v>1233.3599999999999</v>
      </c>
      <c r="Q355" s="4">
        <v>2120.4</v>
      </c>
      <c r="R355" s="4" t="str">
        <f t="shared" si="49"/>
        <v>Profit</v>
      </c>
      <c r="S355">
        <v>0.17899999999999999</v>
      </c>
      <c r="T355" s="4">
        <v>20</v>
      </c>
      <c r="U355">
        <f t="shared" si="50"/>
        <v>34816.968000000001</v>
      </c>
      <c r="V355">
        <f t="shared" si="51"/>
        <v>24667.199999999997</v>
      </c>
      <c r="W355">
        <f t="shared" si="52"/>
        <v>10149.768000000004</v>
      </c>
      <c r="X355">
        <f t="shared" si="53"/>
        <v>0.29151785991244278</v>
      </c>
    </row>
    <row r="356" spans="1:24" x14ac:dyDescent="0.25">
      <c r="A356" t="s">
        <v>368</v>
      </c>
      <c r="B356" s="13">
        <v>45603</v>
      </c>
      <c r="C356" s="8">
        <v>45622</v>
      </c>
      <c r="D356" s="8">
        <f t="shared" si="45"/>
        <v>45622</v>
      </c>
      <c r="E356" s="6">
        <f t="shared" si="46"/>
        <v>19</v>
      </c>
      <c r="F356" s="6" t="str">
        <f t="shared" si="47"/>
        <v>Q4-2024</v>
      </c>
      <c r="G356" t="s">
        <v>648</v>
      </c>
      <c r="H356" t="s">
        <v>655</v>
      </c>
      <c r="I356" t="s">
        <v>692</v>
      </c>
      <c r="J356" t="s">
        <v>703</v>
      </c>
      <c r="K356" t="s">
        <v>710</v>
      </c>
      <c r="L356" t="s">
        <v>713</v>
      </c>
      <c r="M356" t="s">
        <v>728</v>
      </c>
      <c r="N356">
        <f t="shared" si="48"/>
        <v>1.0267228846555202E-2</v>
      </c>
      <c r="O356" t="s">
        <v>1088</v>
      </c>
      <c r="P356" s="4">
        <v>55.35</v>
      </c>
      <c r="Q356" s="4">
        <v>128.68</v>
      </c>
      <c r="R356" s="4" t="str">
        <f t="shared" si="49"/>
        <v>Profit</v>
      </c>
      <c r="S356">
        <v>0.128</v>
      </c>
      <c r="T356" s="4">
        <v>10</v>
      </c>
      <c r="U356">
        <f t="shared" si="50"/>
        <v>1122.0896000000002</v>
      </c>
      <c r="V356">
        <f t="shared" si="51"/>
        <v>553.5</v>
      </c>
      <c r="W356">
        <f t="shared" si="52"/>
        <v>568.58960000000025</v>
      </c>
      <c r="X356">
        <f t="shared" si="53"/>
        <v>0.50672388372550647</v>
      </c>
    </row>
    <row r="357" spans="1:24" x14ac:dyDescent="0.25">
      <c r="A357" t="s">
        <v>369</v>
      </c>
      <c r="B357" s="13">
        <v>45292</v>
      </c>
      <c r="C357" s="8">
        <v>45318</v>
      </c>
      <c r="D357" s="8">
        <f t="shared" si="45"/>
        <v>45318</v>
      </c>
      <c r="E357" s="6">
        <f t="shared" si="46"/>
        <v>26</v>
      </c>
      <c r="F357" s="6" t="str">
        <f t="shared" si="47"/>
        <v>Q1-2024</v>
      </c>
      <c r="G357" t="s">
        <v>649</v>
      </c>
      <c r="H357" t="s">
        <v>658</v>
      </c>
      <c r="I357" t="s">
        <v>693</v>
      </c>
      <c r="J357" t="s">
        <v>702</v>
      </c>
      <c r="K357" t="s">
        <v>710</v>
      </c>
      <c r="L357" t="s">
        <v>726</v>
      </c>
      <c r="M357" t="s">
        <v>733</v>
      </c>
      <c r="N357">
        <f t="shared" si="48"/>
        <v>0.21223667056605033</v>
      </c>
      <c r="O357" t="s">
        <v>1089</v>
      </c>
      <c r="P357" s="4">
        <v>657.45</v>
      </c>
      <c r="Q357" s="4">
        <v>1325.96</v>
      </c>
      <c r="R357" s="4" t="str">
        <f t="shared" si="49"/>
        <v>Profit</v>
      </c>
      <c r="S357">
        <v>0.16700000000000001</v>
      </c>
      <c r="T357" s="4">
        <v>21</v>
      </c>
      <c r="U357">
        <f t="shared" si="50"/>
        <v>23195.01828</v>
      </c>
      <c r="V357">
        <f t="shared" si="51"/>
        <v>13806.45</v>
      </c>
      <c r="W357">
        <f t="shared" si="52"/>
        <v>9388.5682799999995</v>
      </c>
      <c r="X357">
        <f t="shared" si="53"/>
        <v>0.40476658249048808</v>
      </c>
    </row>
    <row r="358" spans="1:24" x14ac:dyDescent="0.25">
      <c r="A358" t="s">
        <v>370</v>
      </c>
      <c r="B358" s="13">
        <v>45883</v>
      </c>
      <c r="C358" s="8">
        <v>45911</v>
      </c>
      <c r="D358" s="8">
        <f t="shared" si="45"/>
        <v>45911</v>
      </c>
      <c r="E358" s="6">
        <f t="shared" si="46"/>
        <v>28</v>
      </c>
      <c r="F358" s="6" t="str">
        <f t="shared" si="47"/>
        <v>Q3-2025</v>
      </c>
      <c r="G358" t="s">
        <v>648</v>
      </c>
      <c r="H358" t="s">
        <v>655</v>
      </c>
      <c r="I358" t="s">
        <v>670</v>
      </c>
      <c r="J358" t="s">
        <v>703</v>
      </c>
      <c r="K358" t="s">
        <v>711</v>
      </c>
      <c r="L358" t="s">
        <v>721</v>
      </c>
      <c r="M358" t="s">
        <v>728</v>
      </c>
      <c r="N358">
        <f t="shared" si="48"/>
        <v>0.40176191648226217</v>
      </c>
      <c r="O358" t="s">
        <v>1090</v>
      </c>
      <c r="P358" s="4">
        <v>1203.02</v>
      </c>
      <c r="Q358" s="4">
        <v>2439.33</v>
      </c>
      <c r="R358" s="4" t="str">
        <f t="shared" si="49"/>
        <v>Profit</v>
      </c>
      <c r="S358">
        <v>0</v>
      </c>
      <c r="T358" s="4">
        <v>18</v>
      </c>
      <c r="U358">
        <f t="shared" si="50"/>
        <v>43907.94</v>
      </c>
      <c r="V358">
        <f t="shared" si="51"/>
        <v>21654.36</v>
      </c>
      <c r="W358">
        <f t="shared" si="52"/>
        <v>22253.58</v>
      </c>
      <c r="X358">
        <f t="shared" si="53"/>
        <v>0.50682359500354612</v>
      </c>
    </row>
    <row r="359" spans="1:24" x14ac:dyDescent="0.25">
      <c r="A359" t="s">
        <v>371</v>
      </c>
      <c r="B359" s="13">
        <v>45385</v>
      </c>
      <c r="C359" s="8">
        <v>45403</v>
      </c>
      <c r="D359" s="8">
        <f t="shared" si="45"/>
        <v>45403</v>
      </c>
      <c r="E359" s="6">
        <f t="shared" si="46"/>
        <v>18</v>
      </c>
      <c r="F359" s="6" t="str">
        <f t="shared" si="47"/>
        <v>Q2-2024</v>
      </c>
      <c r="G359" t="s">
        <v>648</v>
      </c>
      <c r="H359" t="s">
        <v>655</v>
      </c>
      <c r="I359" t="s">
        <v>672</v>
      </c>
      <c r="J359" t="s">
        <v>705</v>
      </c>
      <c r="K359" t="s">
        <v>710</v>
      </c>
      <c r="L359" t="s">
        <v>717</v>
      </c>
      <c r="M359" t="s">
        <v>729</v>
      </c>
      <c r="N359">
        <f t="shared" si="48"/>
        <v>0.45143387215644765</v>
      </c>
      <c r="O359" t="s">
        <v>1091</v>
      </c>
      <c r="P359" s="4">
        <v>1176.69</v>
      </c>
      <c r="Q359" s="4">
        <v>2201.54</v>
      </c>
      <c r="R359" s="4" t="str">
        <f t="shared" si="49"/>
        <v>Profit</v>
      </c>
      <c r="S359">
        <v>0.17</v>
      </c>
      <c r="T359" s="4">
        <v>27</v>
      </c>
      <c r="U359">
        <f t="shared" si="50"/>
        <v>49336.511399999996</v>
      </c>
      <c r="V359">
        <f t="shared" si="51"/>
        <v>31770.63</v>
      </c>
      <c r="W359">
        <f t="shared" si="52"/>
        <v>17565.881399999995</v>
      </c>
      <c r="X359">
        <f t="shared" si="53"/>
        <v>0.35604222717701106</v>
      </c>
    </row>
    <row r="360" spans="1:24" x14ac:dyDescent="0.25">
      <c r="A360" t="s">
        <v>372</v>
      </c>
      <c r="B360" s="13">
        <v>45621</v>
      </c>
      <c r="C360" s="8">
        <v>45633</v>
      </c>
      <c r="D360" s="8">
        <f t="shared" si="45"/>
        <v>45633</v>
      </c>
      <c r="E360" s="6">
        <f t="shared" si="46"/>
        <v>12</v>
      </c>
      <c r="F360" s="6" t="str">
        <f t="shared" si="47"/>
        <v>Q4-2024</v>
      </c>
      <c r="G360" t="s">
        <v>647</v>
      </c>
      <c r="H360" t="s">
        <v>659</v>
      </c>
      <c r="I360" t="s">
        <v>685</v>
      </c>
      <c r="J360" t="s">
        <v>701</v>
      </c>
      <c r="K360" t="s">
        <v>710</v>
      </c>
      <c r="L360" t="s">
        <v>720</v>
      </c>
      <c r="M360" t="s">
        <v>733</v>
      </c>
      <c r="N360">
        <f t="shared" si="48"/>
        <v>3.7257365559224022E-2</v>
      </c>
      <c r="O360" t="s">
        <v>1092</v>
      </c>
      <c r="P360" s="4">
        <v>769.9</v>
      </c>
      <c r="Q360" s="4">
        <v>814.36</v>
      </c>
      <c r="R360" s="4" t="str">
        <f t="shared" si="49"/>
        <v>Profit</v>
      </c>
      <c r="S360">
        <v>0</v>
      </c>
      <c r="T360" s="4">
        <v>5</v>
      </c>
      <c r="U360">
        <f t="shared" si="50"/>
        <v>4071.8</v>
      </c>
      <c r="V360">
        <f t="shared" si="51"/>
        <v>3849.5</v>
      </c>
      <c r="W360">
        <f t="shared" si="52"/>
        <v>222.30000000000018</v>
      </c>
      <c r="X360">
        <f t="shared" si="53"/>
        <v>5.4595019401738831E-2</v>
      </c>
    </row>
    <row r="361" spans="1:24" x14ac:dyDescent="0.25">
      <c r="A361" t="s">
        <v>373</v>
      </c>
      <c r="B361" s="13">
        <v>45309</v>
      </c>
      <c r="C361" s="8">
        <v>45325</v>
      </c>
      <c r="D361" s="8">
        <f t="shared" si="45"/>
        <v>45325</v>
      </c>
      <c r="E361" s="6">
        <f t="shared" si="46"/>
        <v>16</v>
      </c>
      <c r="F361" s="6" t="str">
        <f t="shared" si="47"/>
        <v>Q1-2024</v>
      </c>
      <c r="G361" t="s">
        <v>646</v>
      </c>
      <c r="H361" t="s">
        <v>661</v>
      </c>
      <c r="I361" t="s">
        <v>695</v>
      </c>
      <c r="J361" t="s">
        <v>703</v>
      </c>
      <c r="K361" t="s">
        <v>710</v>
      </c>
      <c r="L361" t="s">
        <v>716</v>
      </c>
      <c r="M361" t="s">
        <v>728</v>
      </c>
      <c r="N361">
        <f t="shared" si="48"/>
        <v>0.1355470861633149</v>
      </c>
      <c r="O361" t="s">
        <v>1093</v>
      </c>
      <c r="P361" s="4">
        <v>666.23</v>
      </c>
      <c r="Q361" s="4">
        <v>1382.91</v>
      </c>
      <c r="R361" s="4" t="str">
        <f t="shared" si="49"/>
        <v>Profit</v>
      </c>
      <c r="S361">
        <v>0.17599999999999999</v>
      </c>
      <c r="T361" s="4">
        <v>13</v>
      </c>
      <c r="U361">
        <f t="shared" si="50"/>
        <v>14813.731920000002</v>
      </c>
      <c r="V361">
        <f t="shared" si="51"/>
        <v>8660.99</v>
      </c>
      <c r="W361">
        <f t="shared" si="52"/>
        <v>6152.7419200000022</v>
      </c>
      <c r="X361">
        <f t="shared" si="53"/>
        <v>0.41534043907553048</v>
      </c>
    </row>
    <row r="362" spans="1:24" x14ac:dyDescent="0.25">
      <c r="A362" t="s">
        <v>374</v>
      </c>
      <c r="B362" s="13">
        <v>45466</v>
      </c>
      <c r="C362" s="8">
        <v>45468</v>
      </c>
      <c r="D362" s="8">
        <f t="shared" si="45"/>
        <v>45468</v>
      </c>
      <c r="E362" s="6">
        <f t="shared" si="46"/>
        <v>2</v>
      </c>
      <c r="F362" s="6" t="str">
        <f t="shared" si="47"/>
        <v>Q2-2024</v>
      </c>
      <c r="G362" t="s">
        <v>649</v>
      </c>
      <c r="H362" t="s">
        <v>658</v>
      </c>
      <c r="I362" t="s">
        <v>674</v>
      </c>
      <c r="J362" t="s">
        <v>705</v>
      </c>
      <c r="K362" t="s">
        <v>709</v>
      </c>
      <c r="L362" t="s">
        <v>716</v>
      </c>
      <c r="M362" t="s">
        <v>733</v>
      </c>
      <c r="N362">
        <f t="shared" si="48"/>
        <v>0.32178828132695608</v>
      </c>
      <c r="O362" t="s">
        <v>1094</v>
      </c>
      <c r="P362" s="4">
        <v>951.44</v>
      </c>
      <c r="Q362" s="4">
        <v>1646.43</v>
      </c>
      <c r="R362" s="4" t="str">
        <f t="shared" si="49"/>
        <v>Profit</v>
      </c>
      <c r="S362">
        <v>0.11</v>
      </c>
      <c r="T362" s="4">
        <v>24</v>
      </c>
      <c r="U362">
        <f t="shared" si="50"/>
        <v>35167.7448</v>
      </c>
      <c r="V362">
        <f t="shared" si="51"/>
        <v>22834.560000000001</v>
      </c>
      <c r="W362">
        <f t="shared" si="52"/>
        <v>12333.184799999999</v>
      </c>
      <c r="X362">
        <f t="shared" si="53"/>
        <v>0.35069592520473475</v>
      </c>
    </row>
    <row r="363" spans="1:24" x14ac:dyDescent="0.25">
      <c r="A363" t="s">
        <v>375</v>
      </c>
      <c r="B363" s="13">
        <v>45833</v>
      </c>
      <c r="C363" s="8">
        <v>45848</v>
      </c>
      <c r="D363" s="8">
        <f t="shared" si="45"/>
        <v>45848</v>
      </c>
      <c r="E363" s="6">
        <f t="shared" si="46"/>
        <v>15</v>
      </c>
      <c r="F363" s="6" t="str">
        <f t="shared" si="47"/>
        <v>Q2-2025</v>
      </c>
      <c r="G363" t="s">
        <v>649</v>
      </c>
      <c r="H363" t="s">
        <v>658</v>
      </c>
      <c r="I363" t="s">
        <v>674</v>
      </c>
      <c r="J363" t="s">
        <v>703</v>
      </c>
      <c r="K363" t="s">
        <v>709</v>
      </c>
      <c r="L363" t="s">
        <v>726</v>
      </c>
      <c r="M363" t="s">
        <v>730</v>
      </c>
      <c r="N363">
        <f t="shared" si="48"/>
        <v>4.396135113103828E-2</v>
      </c>
      <c r="O363" t="s">
        <v>1095</v>
      </c>
      <c r="P363" s="4">
        <v>546.83000000000004</v>
      </c>
      <c r="Q363" s="4">
        <v>400.84</v>
      </c>
      <c r="R363" s="4" t="str">
        <f t="shared" si="49"/>
        <v>Loss</v>
      </c>
      <c r="S363">
        <v>7.8E-2</v>
      </c>
      <c r="T363" s="4">
        <v>13</v>
      </c>
      <c r="U363">
        <f t="shared" si="50"/>
        <v>4804.4682400000002</v>
      </c>
      <c r="V363">
        <f t="shared" si="51"/>
        <v>7108.7900000000009</v>
      </c>
      <c r="W363">
        <f t="shared" si="52"/>
        <v>-2304.3217600000007</v>
      </c>
      <c r="X363">
        <f t="shared" si="53"/>
        <v>-0.47962056254533608</v>
      </c>
    </row>
    <row r="364" spans="1:24" x14ac:dyDescent="0.25">
      <c r="A364" t="s">
        <v>376</v>
      </c>
      <c r="B364" s="13">
        <v>45108</v>
      </c>
      <c r="C364" s="8">
        <v>45115</v>
      </c>
      <c r="D364" s="8">
        <f t="shared" si="45"/>
        <v>45115</v>
      </c>
      <c r="E364" s="6">
        <f t="shared" si="46"/>
        <v>7</v>
      </c>
      <c r="F364" s="6" t="str">
        <f t="shared" si="47"/>
        <v>Q3-2023</v>
      </c>
      <c r="G364" t="s">
        <v>646</v>
      </c>
      <c r="H364" t="s">
        <v>651</v>
      </c>
      <c r="I364" t="s">
        <v>663</v>
      </c>
      <c r="J364" t="s">
        <v>701</v>
      </c>
      <c r="K364" t="s">
        <v>707</v>
      </c>
      <c r="L364" t="s">
        <v>720</v>
      </c>
      <c r="M364" t="s">
        <v>731</v>
      </c>
      <c r="N364">
        <f t="shared" si="48"/>
        <v>0.75501762638502723</v>
      </c>
      <c r="O364" t="s">
        <v>1096</v>
      </c>
      <c r="P364" s="4">
        <v>834.26</v>
      </c>
      <c r="Q364" s="4">
        <v>1780.56</v>
      </c>
      <c r="R364" s="4" t="str">
        <f t="shared" si="49"/>
        <v>Profit</v>
      </c>
      <c r="S364">
        <v>1.4E-2</v>
      </c>
      <c r="T364" s="4">
        <v>47</v>
      </c>
      <c r="U364">
        <f t="shared" si="50"/>
        <v>82514.711519999997</v>
      </c>
      <c r="V364">
        <f t="shared" si="51"/>
        <v>39210.22</v>
      </c>
      <c r="W364">
        <f t="shared" si="52"/>
        <v>43304.491519999996</v>
      </c>
      <c r="X364">
        <f t="shared" si="53"/>
        <v>0.5248093427497933</v>
      </c>
    </row>
    <row r="365" spans="1:24" x14ac:dyDescent="0.25">
      <c r="A365" t="s">
        <v>377</v>
      </c>
      <c r="B365" s="13">
        <v>45360</v>
      </c>
      <c r="C365" s="8">
        <v>45377</v>
      </c>
      <c r="D365" s="8">
        <f t="shared" si="45"/>
        <v>45377</v>
      </c>
      <c r="E365" s="6">
        <f t="shared" si="46"/>
        <v>17</v>
      </c>
      <c r="F365" s="6" t="str">
        <f t="shared" si="47"/>
        <v>Q1-2024</v>
      </c>
      <c r="G365" t="s">
        <v>647</v>
      </c>
      <c r="H365" t="s">
        <v>659</v>
      </c>
      <c r="I365" t="s">
        <v>676</v>
      </c>
      <c r="J365" t="s">
        <v>706</v>
      </c>
      <c r="K365" t="s">
        <v>708</v>
      </c>
      <c r="L365" t="s">
        <v>723</v>
      </c>
      <c r="M365" t="s">
        <v>732</v>
      </c>
      <c r="N365">
        <f t="shared" si="48"/>
        <v>6.7051485125611265E-2</v>
      </c>
      <c r="O365" t="s">
        <v>1097</v>
      </c>
      <c r="P365" s="4">
        <v>1029.67</v>
      </c>
      <c r="Q365" s="4">
        <v>1118.43</v>
      </c>
      <c r="R365" s="4" t="str">
        <f t="shared" si="49"/>
        <v>Profit</v>
      </c>
      <c r="S365">
        <v>0.27200000000000002</v>
      </c>
      <c r="T365" s="4">
        <v>9</v>
      </c>
      <c r="U365">
        <f t="shared" si="50"/>
        <v>7327.9533600000004</v>
      </c>
      <c r="V365">
        <f t="shared" si="51"/>
        <v>9267.0300000000007</v>
      </c>
      <c r="W365">
        <f t="shared" si="52"/>
        <v>-1939.0766400000002</v>
      </c>
      <c r="X365">
        <f t="shared" si="53"/>
        <v>-0.26461367106736061</v>
      </c>
    </row>
    <row r="366" spans="1:24" x14ac:dyDescent="0.25">
      <c r="A366" t="s">
        <v>378</v>
      </c>
      <c r="B366" s="13">
        <v>45082</v>
      </c>
      <c r="C366" s="8">
        <v>45105</v>
      </c>
      <c r="D366" s="8">
        <f t="shared" si="45"/>
        <v>45105</v>
      </c>
      <c r="E366" s="6">
        <f t="shared" si="46"/>
        <v>23</v>
      </c>
      <c r="F366" s="6" t="str">
        <f t="shared" si="47"/>
        <v>Q2-2023</v>
      </c>
      <c r="G366" t="s">
        <v>649</v>
      </c>
      <c r="H366" t="s">
        <v>658</v>
      </c>
      <c r="I366" t="s">
        <v>674</v>
      </c>
      <c r="J366" t="s">
        <v>701</v>
      </c>
      <c r="K366" t="s">
        <v>711</v>
      </c>
      <c r="L366" t="s">
        <v>723</v>
      </c>
      <c r="M366" t="s">
        <v>728</v>
      </c>
      <c r="N366">
        <f t="shared" si="48"/>
        <v>0.11636463145233938</v>
      </c>
      <c r="O366" t="s">
        <v>1098</v>
      </c>
      <c r="P366" s="4">
        <v>605.82000000000005</v>
      </c>
      <c r="Q366" s="4">
        <v>771.12</v>
      </c>
      <c r="R366" s="4" t="str">
        <f t="shared" si="49"/>
        <v>Profit</v>
      </c>
      <c r="S366">
        <v>0.13200000000000001</v>
      </c>
      <c r="T366" s="4">
        <v>19</v>
      </c>
      <c r="U366">
        <f t="shared" si="50"/>
        <v>12717.311040000001</v>
      </c>
      <c r="V366">
        <f t="shared" si="51"/>
        <v>11510.580000000002</v>
      </c>
      <c r="W366">
        <f t="shared" si="52"/>
        <v>1206.7310399999988</v>
      </c>
      <c r="X366">
        <f t="shared" si="53"/>
        <v>9.4888851597986767E-2</v>
      </c>
    </row>
    <row r="367" spans="1:24" x14ac:dyDescent="0.25">
      <c r="A367" t="s">
        <v>379</v>
      </c>
      <c r="B367" s="13">
        <v>45737</v>
      </c>
      <c r="C367" s="8">
        <v>45756</v>
      </c>
      <c r="D367" s="8">
        <f t="shared" si="45"/>
        <v>45756</v>
      </c>
      <c r="E367" s="6">
        <f t="shared" si="46"/>
        <v>19</v>
      </c>
      <c r="F367" s="6" t="str">
        <f t="shared" si="47"/>
        <v>Q1-2025</v>
      </c>
      <c r="G367" t="s">
        <v>647</v>
      </c>
      <c r="H367" t="s">
        <v>652</v>
      </c>
      <c r="I367" t="s">
        <v>689</v>
      </c>
      <c r="J367" t="s">
        <v>705</v>
      </c>
      <c r="K367" t="s">
        <v>710</v>
      </c>
      <c r="L367" t="s">
        <v>718</v>
      </c>
      <c r="M367" t="s">
        <v>727</v>
      </c>
      <c r="N367">
        <f t="shared" si="48"/>
        <v>0.19750204257538534</v>
      </c>
      <c r="O367" t="s">
        <v>1099</v>
      </c>
      <c r="P367" s="4">
        <v>1055.45</v>
      </c>
      <c r="Q367" s="4">
        <v>1210.04</v>
      </c>
      <c r="R367" s="4" t="str">
        <f t="shared" si="49"/>
        <v>Profit</v>
      </c>
      <c r="S367">
        <v>8.9999999999999993E-3</v>
      </c>
      <c r="T367" s="4">
        <v>18</v>
      </c>
      <c r="U367">
        <f t="shared" si="50"/>
        <v>21584.693520000001</v>
      </c>
      <c r="V367">
        <f t="shared" si="51"/>
        <v>18998.100000000002</v>
      </c>
      <c r="W367">
        <f t="shared" si="52"/>
        <v>2586.5935199999985</v>
      </c>
      <c r="X367">
        <f t="shared" si="53"/>
        <v>0.1198346188053727</v>
      </c>
    </row>
    <row r="368" spans="1:24" x14ac:dyDescent="0.25">
      <c r="A368" t="s">
        <v>380</v>
      </c>
      <c r="B368" s="13">
        <v>45445</v>
      </c>
      <c r="C368" s="8">
        <v>45458</v>
      </c>
      <c r="D368" s="8">
        <f t="shared" si="45"/>
        <v>45458</v>
      </c>
      <c r="E368" s="6">
        <f t="shared" si="46"/>
        <v>13</v>
      </c>
      <c r="F368" s="6" t="str">
        <f t="shared" si="47"/>
        <v>Q2-2024</v>
      </c>
      <c r="G368" t="s">
        <v>646</v>
      </c>
      <c r="H368" t="s">
        <v>650</v>
      </c>
      <c r="I368" t="s">
        <v>675</v>
      </c>
      <c r="J368" t="s">
        <v>702</v>
      </c>
      <c r="K368" t="s">
        <v>708</v>
      </c>
      <c r="L368" t="s">
        <v>719</v>
      </c>
      <c r="M368" t="s">
        <v>730</v>
      </c>
      <c r="N368">
        <f t="shared" si="48"/>
        <v>0.17885996771359042</v>
      </c>
      <c r="O368" t="s">
        <v>1100</v>
      </c>
      <c r="P368" s="4">
        <v>1295.18</v>
      </c>
      <c r="Q368" s="4">
        <v>3024.03</v>
      </c>
      <c r="R368" s="4" t="str">
        <f t="shared" si="49"/>
        <v>Profit</v>
      </c>
      <c r="S368">
        <v>0.192</v>
      </c>
      <c r="T368" s="4">
        <v>8</v>
      </c>
      <c r="U368">
        <f t="shared" si="50"/>
        <v>19547.329920000004</v>
      </c>
      <c r="V368">
        <f t="shared" si="51"/>
        <v>10361.44</v>
      </c>
      <c r="W368">
        <f t="shared" si="52"/>
        <v>9185.8899200000033</v>
      </c>
      <c r="X368">
        <f t="shared" si="53"/>
        <v>0.46993067378483178</v>
      </c>
    </row>
    <row r="369" spans="1:24" x14ac:dyDescent="0.25">
      <c r="A369" t="s">
        <v>381</v>
      </c>
      <c r="B369" s="13">
        <v>45731</v>
      </c>
      <c r="C369" s="8">
        <v>45745</v>
      </c>
      <c r="D369" s="8">
        <f t="shared" si="45"/>
        <v>45745</v>
      </c>
      <c r="E369" s="6">
        <f t="shared" si="46"/>
        <v>14</v>
      </c>
      <c r="F369" s="6" t="str">
        <f t="shared" si="47"/>
        <v>Q1-2025</v>
      </c>
      <c r="G369" t="s">
        <v>647</v>
      </c>
      <c r="H369" t="s">
        <v>654</v>
      </c>
      <c r="I369" t="s">
        <v>691</v>
      </c>
      <c r="J369" t="s">
        <v>706</v>
      </c>
      <c r="K369" t="s">
        <v>711</v>
      </c>
      <c r="L369" t="s">
        <v>712</v>
      </c>
      <c r="M369" t="s">
        <v>727</v>
      </c>
      <c r="N369">
        <f t="shared" si="48"/>
        <v>0.16977429072850067</v>
      </c>
      <c r="O369" t="s">
        <v>1101</v>
      </c>
      <c r="P369" s="4">
        <v>935.83</v>
      </c>
      <c r="Q369" s="4">
        <v>2303.46</v>
      </c>
      <c r="R369" s="4" t="str">
        <f t="shared" si="49"/>
        <v>Profit</v>
      </c>
      <c r="S369">
        <v>0.105</v>
      </c>
      <c r="T369" s="4">
        <v>9</v>
      </c>
      <c r="U369">
        <f t="shared" si="50"/>
        <v>18554.370299999999</v>
      </c>
      <c r="V369">
        <f t="shared" si="51"/>
        <v>8422.4700000000012</v>
      </c>
      <c r="W369">
        <f t="shared" si="52"/>
        <v>10131.900299999998</v>
      </c>
      <c r="X369">
        <f t="shared" si="53"/>
        <v>0.54606543559174292</v>
      </c>
    </row>
    <row r="370" spans="1:24" x14ac:dyDescent="0.25">
      <c r="A370" t="s">
        <v>382</v>
      </c>
      <c r="B370" s="13">
        <v>45194</v>
      </c>
      <c r="C370" s="8">
        <v>45208</v>
      </c>
      <c r="D370" s="8">
        <f t="shared" si="45"/>
        <v>45208</v>
      </c>
      <c r="E370" s="6">
        <f t="shared" si="46"/>
        <v>14</v>
      </c>
      <c r="F370" s="6" t="str">
        <f t="shared" si="47"/>
        <v>Q3-2023</v>
      </c>
      <c r="G370" t="s">
        <v>648</v>
      </c>
      <c r="H370" t="s">
        <v>660</v>
      </c>
      <c r="I370" t="s">
        <v>700</v>
      </c>
      <c r="J370" t="s">
        <v>705</v>
      </c>
      <c r="K370" t="s">
        <v>709</v>
      </c>
      <c r="L370" t="s">
        <v>713</v>
      </c>
      <c r="M370" t="s">
        <v>731</v>
      </c>
      <c r="N370">
        <f t="shared" si="48"/>
        <v>0.12613030101786968</v>
      </c>
      <c r="O370" t="s">
        <v>1102</v>
      </c>
      <c r="P370" s="4">
        <v>1279.56</v>
      </c>
      <c r="Q370" s="4">
        <v>3083.8</v>
      </c>
      <c r="R370" s="4" t="str">
        <f t="shared" si="49"/>
        <v>Profit</v>
      </c>
      <c r="S370">
        <v>0.106</v>
      </c>
      <c r="T370" s="4">
        <v>5</v>
      </c>
      <c r="U370">
        <f t="shared" si="50"/>
        <v>13784.586000000001</v>
      </c>
      <c r="V370">
        <f t="shared" si="51"/>
        <v>6397.7999999999993</v>
      </c>
      <c r="W370">
        <f t="shared" si="52"/>
        <v>7386.7860000000019</v>
      </c>
      <c r="X370">
        <f t="shared" si="53"/>
        <v>0.53587289455047848</v>
      </c>
    </row>
    <row r="371" spans="1:24" x14ac:dyDescent="0.25">
      <c r="A371" t="s">
        <v>383</v>
      </c>
      <c r="B371" s="13">
        <v>45832</v>
      </c>
      <c r="C371" s="8">
        <v>45861</v>
      </c>
      <c r="D371" s="8">
        <f t="shared" si="45"/>
        <v>45861</v>
      </c>
      <c r="E371" s="6">
        <f t="shared" si="46"/>
        <v>29</v>
      </c>
      <c r="F371" s="6" t="str">
        <f t="shared" si="47"/>
        <v>Q2-2025</v>
      </c>
      <c r="G371" t="s">
        <v>648</v>
      </c>
      <c r="H371" t="s">
        <v>653</v>
      </c>
      <c r="I371" t="s">
        <v>688</v>
      </c>
      <c r="J371" t="s">
        <v>703</v>
      </c>
      <c r="K371" t="s">
        <v>709</v>
      </c>
      <c r="L371" t="s">
        <v>714</v>
      </c>
      <c r="M371" t="s">
        <v>728</v>
      </c>
      <c r="N371">
        <f t="shared" si="48"/>
        <v>4.1812042355955432E-2</v>
      </c>
      <c r="O371" t="s">
        <v>1103</v>
      </c>
      <c r="P371" s="4">
        <v>255.4</v>
      </c>
      <c r="Q371" s="4">
        <v>322.70999999999998</v>
      </c>
      <c r="R371" s="4" t="str">
        <f t="shared" si="49"/>
        <v>Profit</v>
      </c>
      <c r="S371">
        <v>0.115</v>
      </c>
      <c r="T371" s="4">
        <v>16</v>
      </c>
      <c r="U371">
        <f t="shared" si="50"/>
        <v>4569.5735999999997</v>
      </c>
      <c r="V371">
        <f t="shared" si="51"/>
        <v>4086.4</v>
      </c>
      <c r="W371">
        <f t="shared" si="52"/>
        <v>483.17359999999962</v>
      </c>
      <c r="X371">
        <f t="shared" si="53"/>
        <v>0.10573713048412212</v>
      </c>
    </row>
    <row r="372" spans="1:24" x14ac:dyDescent="0.25">
      <c r="A372" t="s">
        <v>384</v>
      </c>
      <c r="B372" s="13">
        <v>45286</v>
      </c>
      <c r="C372" s="8">
        <v>45294</v>
      </c>
      <c r="D372" s="8">
        <f t="shared" si="45"/>
        <v>45294</v>
      </c>
      <c r="E372" s="6">
        <f t="shared" si="46"/>
        <v>8</v>
      </c>
      <c r="F372" s="6" t="str">
        <f t="shared" si="47"/>
        <v>Q4-2023</v>
      </c>
      <c r="G372" t="s">
        <v>649</v>
      </c>
      <c r="H372" t="s">
        <v>657</v>
      </c>
      <c r="I372" t="s">
        <v>679</v>
      </c>
      <c r="J372" t="s">
        <v>705</v>
      </c>
      <c r="K372" t="s">
        <v>707</v>
      </c>
      <c r="L372" t="s">
        <v>724</v>
      </c>
      <c r="M372" t="s">
        <v>731</v>
      </c>
      <c r="N372">
        <f t="shared" si="48"/>
        <v>3.7819648910952776E-2</v>
      </c>
      <c r="O372" t="s">
        <v>1104</v>
      </c>
      <c r="P372" s="4">
        <v>492.75</v>
      </c>
      <c r="Q372" s="4">
        <v>731.29</v>
      </c>
      <c r="R372" s="4" t="str">
        <f t="shared" si="49"/>
        <v>Profit</v>
      </c>
      <c r="S372">
        <v>5.8000000000000003E-2</v>
      </c>
      <c r="T372" s="4">
        <v>6</v>
      </c>
      <c r="U372">
        <f t="shared" si="50"/>
        <v>4133.25108</v>
      </c>
      <c r="V372">
        <f t="shared" si="51"/>
        <v>2956.5</v>
      </c>
      <c r="W372">
        <f t="shared" si="52"/>
        <v>1176.75108</v>
      </c>
      <c r="X372">
        <f t="shared" si="53"/>
        <v>0.28470350753528384</v>
      </c>
    </row>
    <row r="373" spans="1:24" x14ac:dyDescent="0.25">
      <c r="A373" t="s">
        <v>385</v>
      </c>
      <c r="B373" s="13">
        <v>44962</v>
      </c>
      <c r="C373" s="8">
        <v>44985</v>
      </c>
      <c r="D373" s="8">
        <f t="shared" si="45"/>
        <v>44985</v>
      </c>
      <c r="E373" s="6">
        <f t="shared" si="46"/>
        <v>23</v>
      </c>
      <c r="F373" s="6" t="str">
        <f t="shared" si="47"/>
        <v>Q1-2023</v>
      </c>
      <c r="G373" t="s">
        <v>648</v>
      </c>
      <c r="H373" t="s">
        <v>660</v>
      </c>
      <c r="I373" t="s">
        <v>697</v>
      </c>
      <c r="J373" t="s">
        <v>703</v>
      </c>
      <c r="K373" t="s">
        <v>710</v>
      </c>
      <c r="L373" t="s">
        <v>716</v>
      </c>
      <c r="M373" t="s">
        <v>730</v>
      </c>
      <c r="N373">
        <f t="shared" si="48"/>
        <v>0.15439370668875893</v>
      </c>
      <c r="O373" t="s">
        <v>1105</v>
      </c>
      <c r="P373" s="4">
        <v>1214.49</v>
      </c>
      <c r="Q373" s="4">
        <v>1533.95</v>
      </c>
      <c r="R373" s="4" t="str">
        <f t="shared" si="49"/>
        <v>Profit</v>
      </c>
      <c r="S373">
        <v>0</v>
      </c>
      <c r="T373" s="4">
        <v>11</v>
      </c>
      <c r="U373">
        <f t="shared" si="50"/>
        <v>16873.45</v>
      </c>
      <c r="V373">
        <f t="shared" si="51"/>
        <v>13359.39</v>
      </c>
      <c r="W373">
        <f t="shared" si="52"/>
        <v>3514.0600000000013</v>
      </c>
      <c r="X373">
        <f t="shared" si="53"/>
        <v>0.20825972163369086</v>
      </c>
    </row>
    <row r="374" spans="1:24" x14ac:dyDescent="0.25">
      <c r="A374" t="s">
        <v>386</v>
      </c>
      <c r="B374" s="13">
        <v>45022</v>
      </c>
      <c r="C374" s="8">
        <v>45024</v>
      </c>
      <c r="D374" s="8">
        <f t="shared" si="45"/>
        <v>45024</v>
      </c>
      <c r="E374" s="6">
        <f t="shared" si="46"/>
        <v>2</v>
      </c>
      <c r="F374" s="6" t="str">
        <f t="shared" si="47"/>
        <v>Q2-2023</v>
      </c>
      <c r="G374" t="s">
        <v>646</v>
      </c>
      <c r="H374" t="s">
        <v>651</v>
      </c>
      <c r="I374" t="s">
        <v>669</v>
      </c>
      <c r="J374" t="s">
        <v>705</v>
      </c>
      <c r="K374" t="s">
        <v>709</v>
      </c>
      <c r="L374" t="s">
        <v>723</v>
      </c>
      <c r="M374" t="s">
        <v>732</v>
      </c>
      <c r="N374">
        <f t="shared" si="48"/>
        <v>0.29536810727654678</v>
      </c>
      <c r="O374" t="s">
        <v>1106</v>
      </c>
      <c r="P374" s="4">
        <v>720.35</v>
      </c>
      <c r="Q374" s="4">
        <v>1571.66</v>
      </c>
      <c r="R374" s="4" t="str">
        <f t="shared" si="49"/>
        <v>Profit</v>
      </c>
      <c r="S374">
        <v>0.107</v>
      </c>
      <c r="T374" s="4">
        <v>23</v>
      </c>
      <c r="U374">
        <f t="shared" si="50"/>
        <v>32280.32474</v>
      </c>
      <c r="V374">
        <f t="shared" si="51"/>
        <v>16568.05</v>
      </c>
      <c r="W374">
        <f t="shared" si="52"/>
        <v>15712.274740000001</v>
      </c>
      <c r="X374">
        <f t="shared" si="53"/>
        <v>0.4867446305622265</v>
      </c>
    </row>
    <row r="375" spans="1:24" x14ac:dyDescent="0.25">
      <c r="A375" t="s">
        <v>387</v>
      </c>
      <c r="B375" s="13">
        <v>45751</v>
      </c>
      <c r="C375" s="8">
        <v>45757</v>
      </c>
      <c r="D375" s="8">
        <f t="shared" si="45"/>
        <v>45757</v>
      </c>
      <c r="E375" s="6">
        <f t="shared" si="46"/>
        <v>6</v>
      </c>
      <c r="F375" s="6" t="str">
        <f t="shared" si="47"/>
        <v>Q2-2025</v>
      </c>
      <c r="G375" t="s">
        <v>649</v>
      </c>
      <c r="H375" t="s">
        <v>658</v>
      </c>
      <c r="I375" t="s">
        <v>674</v>
      </c>
      <c r="J375" t="s">
        <v>703</v>
      </c>
      <c r="K375" t="s">
        <v>711</v>
      </c>
      <c r="L375" t="s">
        <v>725</v>
      </c>
      <c r="M375" t="s">
        <v>728</v>
      </c>
      <c r="N375">
        <f t="shared" si="48"/>
        <v>3.767541574663788E-2</v>
      </c>
      <c r="O375" t="s">
        <v>1107</v>
      </c>
      <c r="P375" s="4">
        <v>290.14</v>
      </c>
      <c r="Q375" s="4">
        <v>250.73</v>
      </c>
      <c r="R375" s="4" t="str">
        <f t="shared" si="49"/>
        <v>Loss</v>
      </c>
      <c r="S375">
        <v>3.4000000000000002E-2</v>
      </c>
      <c r="T375" s="4">
        <v>17</v>
      </c>
      <c r="U375">
        <f t="shared" si="50"/>
        <v>4117.4880599999997</v>
      </c>
      <c r="V375">
        <f t="shared" si="51"/>
        <v>4932.38</v>
      </c>
      <c r="W375">
        <f t="shared" si="52"/>
        <v>-814.89194000000043</v>
      </c>
      <c r="X375">
        <f t="shared" si="53"/>
        <v>-0.19790997038131072</v>
      </c>
    </row>
    <row r="376" spans="1:24" x14ac:dyDescent="0.25">
      <c r="A376" t="s">
        <v>388</v>
      </c>
      <c r="B376" s="13">
        <v>45429</v>
      </c>
      <c r="C376" s="8">
        <v>45439</v>
      </c>
      <c r="D376" s="8">
        <f t="shared" si="45"/>
        <v>45439</v>
      </c>
      <c r="E376" s="6">
        <f t="shared" si="46"/>
        <v>10</v>
      </c>
      <c r="F376" s="6" t="str">
        <f t="shared" si="47"/>
        <v>Q2-2024</v>
      </c>
      <c r="G376" t="s">
        <v>648</v>
      </c>
      <c r="H376" t="s">
        <v>660</v>
      </c>
      <c r="I376" t="s">
        <v>697</v>
      </c>
      <c r="J376" t="s">
        <v>703</v>
      </c>
      <c r="K376" t="s">
        <v>708</v>
      </c>
      <c r="L376" t="s">
        <v>712</v>
      </c>
      <c r="M376" t="s">
        <v>730</v>
      </c>
      <c r="N376">
        <f t="shared" si="48"/>
        <v>0.28370102830886651</v>
      </c>
      <c r="O376" t="s">
        <v>1108</v>
      </c>
      <c r="P376" s="4">
        <v>1484.23</v>
      </c>
      <c r="Q376" s="4">
        <v>3472.81</v>
      </c>
      <c r="R376" s="4" t="str">
        <f t="shared" si="49"/>
        <v>Profit</v>
      </c>
      <c r="S376">
        <v>0.25600000000000001</v>
      </c>
      <c r="T376" s="4">
        <v>12</v>
      </c>
      <c r="U376">
        <f t="shared" si="50"/>
        <v>31005.24768</v>
      </c>
      <c r="V376">
        <f t="shared" si="51"/>
        <v>17810.760000000002</v>
      </c>
      <c r="W376">
        <f t="shared" si="52"/>
        <v>13194.487679999998</v>
      </c>
      <c r="X376">
        <f t="shared" si="53"/>
        <v>0.42555659661803413</v>
      </c>
    </row>
    <row r="377" spans="1:24" x14ac:dyDescent="0.25">
      <c r="A377" t="s">
        <v>389</v>
      </c>
      <c r="B377" s="13">
        <v>45354</v>
      </c>
      <c r="C377" s="8">
        <v>45370</v>
      </c>
      <c r="D377" s="8">
        <f t="shared" si="45"/>
        <v>45370</v>
      </c>
      <c r="E377" s="6">
        <f t="shared" si="46"/>
        <v>16</v>
      </c>
      <c r="F377" s="6" t="str">
        <f t="shared" si="47"/>
        <v>Q1-2024</v>
      </c>
      <c r="G377" t="s">
        <v>647</v>
      </c>
      <c r="H377" t="s">
        <v>659</v>
      </c>
      <c r="I377" t="s">
        <v>699</v>
      </c>
      <c r="J377" t="s">
        <v>704</v>
      </c>
      <c r="K377" t="s">
        <v>710</v>
      </c>
      <c r="L377" t="s">
        <v>715</v>
      </c>
      <c r="M377" t="s">
        <v>730</v>
      </c>
      <c r="N377">
        <f t="shared" si="48"/>
        <v>0.35156523677511292</v>
      </c>
      <c r="O377" t="s">
        <v>1109</v>
      </c>
      <c r="P377" s="4">
        <v>988.83</v>
      </c>
      <c r="Q377" s="4">
        <v>1206.04</v>
      </c>
      <c r="R377" s="4" t="str">
        <f t="shared" si="49"/>
        <v>Profit</v>
      </c>
      <c r="S377">
        <v>6.3E-2</v>
      </c>
      <c r="T377" s="4">
        <v>34</v>
      </c>
      <c r="U377">
        <f t="shared" si="50"/>
        <v>38422.022320000004</v>
      </c>
      <c r="V377">
        <f t="shared" si="51"/>
        <v>33620.22</v>
      </c>
      <c r="W377">
        <f t="shared" si="52"/>
        <v>4801.8023200000025</v>
      </c>
      <c r="X377">
        <f t="shared" si="53"/>
        <v>0.12497526236406606</v>
      </c>
    </row>
    <row r="378" spans="1:24" x14ac:dyDescent="0.25">
      <c r="A378" t="s">
        <v>390</v>
      </c>
      <c r="B378" s="13">
        <v>45835</v>
      </c>
      <c r="C378" s="8">
        <v>45849</v>
      </c>
      <c r="D378" s="8">
        <f t="shared" si="45"/>
        <v>45849</v>
      </c>
      <c r="E378" s="6">
        <f t="shared" si="46"/>
        <v>14</v>
      </c>
      <c r="F378" s="6" t="str">
        <f t="shared" si="47"/>
        <v>Q2-2025</v>
      </c>
      <c r="G378" t="s">
        <v>647</v>
      </c>
      <c r="H378" t="s">
        <v>659</v>
      </c>
      <c r="I378" t="s">
        <v>685</v>
      </c>
      <c r="J378" t="s">
        <v>705</v>
      </c>
      <c r="K378" t="s">
        <v>709</v>
      </c>
      <c r="L378" t="s">
        <v>716</v>
      </c>
      <c r="M378" t="s">
        <v>729</v>
      </c>
      <c r="N378">
        <f t="shared" si="48"/>
        <v>0.39851869254814742</v>
      </c>
      <c r="O378" t="s">
        <v>1110</v>
      </c>
      <c r="P378" s="4">
        <v>1227.7</v>
      </c>
      <c r="Q378" s="4">
        <v>2197.23</v>
      </c>
      <c r="R378" s="4" t="str">
        <f t="shared" si="49"/>
        <v>Profit</v>
      </c>
      <c r="S378">
        <v>9.9000000000000005E-2</v>
      </c>
      <c r="T378" s="4">
        <v>22</v>
      </c>
      <c r="U378">
        <f t="shared" si="50"/>
        <v>43553.493060000001</v>
      </c>
      <c r="V378">
        <f t="shared" si="51"/>
        <v>27009.4</v>
      </c>
      <c r="W378">
        <f t="shared" si="52"/>
        <v>16544.093059999999</v>
      </c>
      <c r="X378">
        <f t="shared" si="53"/>
        <v>0.37985685871873898</v>
      </c>
    </row>
    <row r="379" spans="1:24" x14ac:dyDescent="0.25">
      <c r="A379" t="s">
        <v>391</v>
      </c>
      <c r="B379" s="13">
        <v>44998</v>
      </c>
      <c r="C379" s="8">
        <v>45020</v>
      </c>
      <c r="D379" s="8">
        <f t="shared" si="45"/>
        <v>45020</v>
      </c>
      <c r="E379" s="6">
        <f t="shared" si="46"/>
        <v>22</v>
      </c>
      <c r="F379" s="6" t="str">
        <f t="shared" si="47"/>
        <v>Q1-2023</v>
      </c>
      <c r="G379" t="s">
        <v>646</v>
      </c>
      <c r="H379" t="s">
        <v>661</v>
      </c>
      <c r="I379" t="s">
        <v>687</v>
      </c>
      <c r="J379" t="s">
        <v>705</v>
      </c>
      <c r="K379" t="s">
        <v>707</v>
      </c>
      <c r="L379" t="s">
        <v>720</v>
      </c>
      <c r="M379" t="s">
        <v>727</v>
      </c>
      <c r="N379">
        <f t="shared" si="48"/>
        <v>0.1404421198555951</v>
      </c>
      <c r="O379" t="s">
        <v>1111</v>
      </c>
      <c r="P379" s="4">
        <v>1113.7</v>
      </c>
      <c r="Q379" s="4">
        <v>1620.6</v>
      </c>
      <c r="R379" s="4" t="str">
        <f t="shared" si="49"/>
        <v>Profit</v>
      </c>
      <c r="S379">
        <v>0.13900000000000001</v>
      </c>
      <c r="T379" s="4">
        <v>11</v>
      </c>
      <c r="U379">
        <f t="shared" si="50"/>
        <v>15348.702599999999</v>
      </c>
      <c r="V379">
        <f t="shared" si="51"/>
        <v>12250.7</v>
      </c>
      <c r="W379">
        <f t="shared" si="52"/>
        <v>3098.002599999998</v>
      </c>
      <c r="X379">
        <f t="shared" si="53"/>
        <v>0.20184133348182787</v>
      </c>
    </row>
    <row r="380" spans="1:24" x14ac:dyDescent="0.25">
      <c r="A380" t="s">
        <v>392</v>
      </c>
      <c r="B380" s="13">
        <v>45664</v>
      </c>
      <c r="C380" s="8">
        <v>45677</v>
      </c>
      <c r="D380" s="8">
        <f t="shared" si="45"/>
        <v>45677</v>
      </c>
      <c r="E380" s="6">
        <f t="shared" si="46"/>
        <v>13</v>
      </c>
      <c r="F380" s="6" t="str">
        <f t="shared" si="47"/>
        <v>Q1-2025</v>
      </c>
      <c r="G380" t="s">
        <v>646</v>
      </c>
      <c r="H380" t="s">
        <v>661</v>
      </c>
      <c r="I380" t="s">
        <v>695</v>
      </c>
      <c r="J380" t="s">
        <v>701</v>
      </c>
      <c r="K380" t="s">
        <v>711</v>
      </c>
      <c r="L380" t="s">
        <v>723</v>
      </c>
      <c r="M380" t="s">
        <v>729</v>
      </c>
      <c r="N380">
        <f t="shared" si="48"/>
        <v>6.0173774345366859E-2</v>
      </c>
      <c r="O380" t="s">
        <v>1112</v>
      </c>
      <c r="P380" s="4">
        <v>432.13</v>
      </c>
      <c r="Q380" s="4">
        <v>1034.6600000000001</v>
      </c>
      <c r="R380" s="4" t="str">
        <f t="shared" si="49"/>
        <v>Profit</v>
      </c>
      <c r="S380">
        <v>9.1999999999999998E-2</v>
      </c>
      <c r="T380" s="4">
        <v>7</v>
      </c>
      <c r="U380">
        <f t="shared" si="50"/>
        <v>6576.298960000001</v>
      </c>
      <c r="V380">
        <f t="shared" si="51"/>
        <v>3024.91</v>
      </c>
      <c r="W380">
        <f t="shared" si="52"/>
        <v>3551.3889600000011</v>
      </c>
      <c r="X380">
        <f t="shared" si="53"/>
        <v>0.54002851476204794</v>
      </c>
    </row>
    <row r="381" spans="1:24" x14ac:dyDescent="0.25">
      <c r="A381" t="s">
        <v>393</v>
      </c>
      <c r="B381" s="13">
        <v>45694</v>
      </c>
      <c r="C381" s="8">
        <v>45703</v>
      </c>
      <c r="D381" s="8">
        <f t="shared" si="45"/>
        <v>45703</v>
      </c>
      <c r="E381" s="6">
        <f t="shared" si="46"/>
        <v>9</v>
      </c>
      <c r="F381" s="6" t="str">
        <f t="shared" si="47"/>
        <v>Q1-2025</v>
      </c>
      <c r="G381" t="s">
        <v>648</v>
      </c>
      <c r="H381" t="s">
        <v>655</v>
      </c>
      <c r="I381" t="s">
        <v>670</v>
      </c>
      <c r="J381" t="s">
        <v>703</v>
      </c>
      <c r="K381" t="s">
        <v>710</v>
      </c>
      <c r="L381" t="s">
        <v>721</v>
      </c>
      <c r="M381" t="s">
        <v>729</v>
      </c>
      <c r="N381">
        <f t="shared" si="48"/>
        <v>0.30378357368405079</v>
      </c>
      <c r="O381" t="s">
        <v>1113</v>
      </c>
      <c r="P381" s="4">
        <v>837.39</v>
      </c>
      <c r="Q381" s="4">
        <v>1905.42</v>
      </c>
      <c r="R381" s="4" t="str">
        <f t="shared" si="49"/>
        <v>Profit</v>
      </c>
      <c r="S381">
        <v>3.2000000000000001E-2</v>
      </c>
      <c r="T381" s="4">
        <v>18</v>
      </c>
      <c r="U381">
        <f t="shared" si="50"/>
        <v>33200.038079999998</v>
      </c>
      <c r="V381">
        <f t="shared" si="51"/>
        <v>15073.02</v>
      </c>
      <c r="W381">
        <f t="shared" si="52"/>
        <v>18127.018079999998</v>
      </c>
      <c r="X381">
        <f t="shared" si="53"/>
        <v>0.54599389423350919</v>
      </c>
    </row>
    <row r="382" spans="1:24" x14ac:dyDescent="0.25">
      <c r="A382" t="s">
        <v>394</v>
      </c>
      <c r="B382" s="13">
        <v>45688</v>
      </c>
      <c r="C382" s="8">
        <v>45705</v>
      </c>
      <c r="D382" s="8">
        <f t="shared" si="45"/>
        <v>45705</v>
      </c>
      <c r="E382" s="6">
        <f t="shared" si="46"/>
        <v>17</v>
      </c>
      <c r="F382" s="6" t="str">
        <f t="shared" si="47"/>
        <v>Q1-2025</v>
      </c>
      <c r="G382" t="s">
        <v>649</v>
      </c>
      <c r="H382" t="s">
        <v>658</v>
      </c>
      <c r="I382" t="s">
        <v>683</v>
      </c>
      <c r="J382" t="s">
        <v>706</v>
      </c>
      <c r="K382" t="s">
        <v>707</v>
      </c>
      <c r="L382" t="s">
        <v>722</v>
      </c>
      <c r="M382" t="s">
        <v>727</v>
      </c>
      <c r="N382">
        <f t="shared" si="48"/>
        <v>0.10369020932275691</v>
      </c>
      <c r="O382" t="s">
        <v>812</v>
      </c>
      <c r="P382" s="4">
        <v>378.26</v>
      </c>
      <c r="Q382" s="4">
        <v>541.55999999999995</v>
      </c>
      <c r="R382" s="4" t="str">
        <f t="shared" si="49"/>
        <v>Profit</v>
      </c>
      <c r="S382">
        <v>0.16300000000000001</v>
      </c>
      <c r="T382" s="4">
        <v>25</v>
      </c>
      <c r="U382">
        <f t="shared" si="50"/>
        <v>11332.142999999998</v>
      </c>
      <c r="V382">
        <f t="shared" si="51"/>
        <v>9456.5</v>
      </c>
      <c r="W382">
        <f t="shared" si="52"/>
        <v>1875.6429999999982</v>
      </c>
      <c r="X382">
        <f t="shared" si="53"/>
        <v>0.16551529573885526</v>
      </c>
    </row>
    <row r="383" spans="1:24" x14ac:dyDescent="0.25">
      <c r="A383" t="s">
        <v>395</v>
      </c>
      <c r="B383" s="13">
        <v>45876</v>
      </c>
      <c r="C383" s="8">
        <v>45906</v>
      </c>
      <c r="D383" s="8">
        <f t="shared" si="45"/>
        <v>45906</v>
      </c>
      <c r="E383" s="6">
        <f t="shared" si="46"/>
        <v>30</v>
      </c>
      <c r="F383" s="6" t="str">
        <f t="shared" si="47"/>
        <v>Q3-2025</v>
      </c>
      <c r="G383" t="s">
        <v>648</v>
      </c>
      <c r="H383" t="s">
        <v>653</v>
      </c>
      <c r="I383" t="s">
        <v>681</v>
      </c>
      <c r="J383" t="s">
        <v>702</v>
      </c>
      <c r="K383" t="s">
        <v>711</v>
      </c>
      <c r="L383" t="s">
        <v>724</v>
      </c>
      <c r="M383" t="s">
        <v>729</v>
      </c>
      <c r="N383">
        <f t="shared" si="48"/>
        <v>0.11786329438755419</v>
      </c>
      <c r="O383" t="s">
        <v>1114</v>
      </c>
      <c r="P383" s="4">
        <v>833.73</v>
      </c>
      <c r="Q383" s="4">
        <v>1116.5999999999999</v>
      </c>
      <c r="R383" s="4" t="str">
        <f t="shared" si="49"/>
        <v>Profit</v>
      </c>
      <c r="S383">
        <v>0.17599999999999999</v>
      </c>
      <c r="T383" s="4">
        <v>14</v>
      </c>
      <c r="U383">
        <f t="shared" si="50"/>
        <v>12881.097599999999</v>
      </c>
      <c r="V383">
        <f t="shared" si="51"/>
        <v>11672.220000000001</v>
      </c>
      <c r="W383">
        <f t="shared" si="52"/>
        <v>1208.877599999998</v>
      </c>
      <c r="X383">
        <f t="shared" si="53"/>
        <v>9.3848958958279924E-2</v>
      </c>
    </row>
    <row r="384" spans="1:24" x14ac:dyDescent="0.25">
      <c r="A384" t="s">
        <v>396</v>
      </c>
      <c r="B384" s="13">
        <v>45861</v>
      </c>
      <c r="C384" s="8">
        <v>45886</v>
      </c>
      <c r="D384" s="8">
        <f t="shared" si="45"/>
        <v>45886</v>
      </c>
      <c r="E384" s="6">
        <f t="shared" si="46"/>
        <v>25</v>
      </c>
      <c r="F384" s="6" t="str">
        <f t="shared" si="47"/>
        <v>Q3-2025</v>
      </c>
      <c r="G384" t="s">
        <v>649</v>
      </c>
      <c r="H384" t="s">
        <v>658</v>
      </c>
      <c r="I384" t="s">
        <v>674</v>
      </c>
      <c r="J384" t="s">
        <v>702</v>
      </c>
      <c r="K384" t="s">
        <v>708</v>
      </c>
      <c r="L384" t="s">
        <v>714</v>
      </c>
      <c r="M384" t="s">
        <v>728</v>
      </c>
      <c r="N384">
        <f t="shared" si="48"/>
        <v>0.34369851102655569</v>
      </c>
      <c r="O384" t="s">
        <v>1115</v>
      </c>
      <c r="P384" s="4">
        <v>1142.06</v>
      </c>
      <c r="Q384" s="4">
        <v>1455</v>
      </c>
      <c r="R384" s="4" t="str">
        <f t="shared" si="49"/>
        <v>Profit</v>
      </c>
      <c r="S384">
        <v>7.8E-2</v>
      </c>
      <c r="T384" s="4">
        <v>28</v>
      </c>
      <c r="U384">
        <f t="shared" si="50"/>
        <v>37562.28</v>
      </c>
      <c r="V384">
        <f t="shared" si="51"/>
        <v>31977.68</v>
      </c>
      <c r="W384">
        <f t="shared" si="52"/>
        <v>5584.5999999999985</v>
      </c>
      <c r="X384">
        <f t="shared" si="53"/>
        <v>0.1486757459877302</v>
      </c>
    </row>
    <row r="385" spans="1:24" x14ac:dyDescent="0.25">
      <c r="A385" t="s">
        <v>397</v>
      </c>
      <c r="B385" s="13">
        <v>45097</v>
      </c>
      <c r="C385" s="8">
        <v>45115</v>
      </c>
      <c r="D385" s="8">
        <f t="shared" si="45"/>
        <v>45115</v>
      </c>
      <c r="E385" s="6">
        <f t="shared" si="46"/>
        <v>18</v>
      </c>
      <c r="F385" s="6" t="str">
        <f t="shared" si="47"/>
        <v>Q2-2023</v>
      </c>
      <c r="G385" t="s">
        <v>648</v>
      </c>
      <c r="H385" t="s">
        <v>660</v>
      </c>
      <c r="I385" t="s">
        <v>700</v>
      </c>
      <c r="J385" t="s">
        <v>704</v>
      </c>
      <c r="K385" t="s">
        <v>709</v>
      </c>
      <c r="L385" t="s">
        <v>719</v>
      </c>
      <c r="M385" t="s">
        <v>729</v>
      </c>
      <c r="N385">
        <f t="shared" si="48"/>
        <v>0.43639899617206768</v>
      </c>
      <c r="O385" t="s">
        <v>1116</v>
      </c>
      <c r="P385" s="4">
        <v>1145.53</v>
      </c>
      <c r="Q385" s="4">
        <v>1278.3</v>
      </c>
      <c r="R385" s="4" t="str">
        <f t="shared" si="49"/>
        <v>Profit</v>
      </c>
      <c r="S385">
        <v>0.09</v>
      </c>
      <c r="T385" s="4">
        <v>41</v>
      </c>
      <c r="U385">
        <f t="shared" si="50"/>
        <v>47693.373</v>
      </c>
      <c r="V385">
        <f t="shared" si="51"/>
        <v>46966.729999999996</v>
      </c>
      <c r="W385">
        <f t="shared" si="52"/>
        <v>726.64300000000367</v>
      </c>
      <c r="X385">
        <f t="shared" si="53"/>
        <v>1.5235722581416158E-2</v>
      </c>
    </row>
    <row r="386" spans="1:24" x14ac:dyDescent="0.25">
      <c r="A386" t="s">
        <v>398</v>
      </c>
      <c r="B386" s="13">
        <v>45491</v>
      </c>
      <c r="C386" s="8">
        <v>45511</v>
      </c>
      <c r="D386" s="8">
        <f t="shared" si="45"/>
        <v>45511</v>
      </c>
      <c r="E386" s="6">
        <f t="shared" si="46"/>
        <v>20</v>
      </c>
      <c r="F386" s="6" t="str">
        <f t="shared" si="47"/>
        <v>Q3-2024</v>
      </c>
      <c r="G386" t="s">
        <v>649</v>
      </c>
      <c r="H386" t="s">
        <v>657</v>
      </c>
      <c r="I386" t="s">
        <v>673</v>
      </c>
      <c r="J386" t="s">
        <v>701</v>
      </c>
      <c r="K386" t="s">
        <v>707</v>
      </c>
      <c r="L386" t="s">
        <v>721</v>
      </c>
      <c r="M386" t="s">
        <v>732</v>
      </c>
      <c r="N386">
        <f t="shared" si="48"/>
        <v>0.1396077671493223</v>
      </c>
      <c r="O386" t="s">
        <v>1117</v>
      </c>
      <c r="P386" s="4">
        <v>941.35</v>
      </c>
      <c r="Q386" s="4">
        <v>899.83</v>
      </c>
      <c r="R386" s="4" t="str">
        <f t="shared" si="49"/>
        <v>Loss</v>
      </c>
      <c r="S386">
        <v>5.8000000000000003E-2</v>
      </c>
      <c r="T386" s="4">
        <v>18</v>
      </c>
      <c r="U386">
        <f t="shared" si="50"/>
        <v>15257.51748</v>
      </c>
      <c r="V386">
        <f t="shared" si="51"/>
        <v>16944.3</v>
      </c>
      <c r="W386">
        <f t="shared" si="52"/>
        <v>-1686.7825199999988</v>
      </c>
      <c r="X386">
        <f t="shared" si="53"/>
        <v>-0.11055419220139073</v>
      </c>
    </row>
    <row r="387" spans="1:24" x14ac:dyDescent="0.25">
      <c r="A387" t="s">
        <v>399</v>
      </c>
      <c r="B387" s="13">
        <v>45066</v>
      </c>
      <c r="C387" s="8">
        <v>45096</v>
      </c>
      <c r="D387" s="8">
        <f t="shared" ref="D387:D450" si="54">IF(B387&gt;C387, B387+7, C387)</f>
        <v>45096</v>
      </c>
      <c r="E387" s="6">
        <f t="shared" ref="E387:E450" si="55">(D387-B387)</f>
        <v>30</v>
      </c>
      <c r="F387" s="6" t="str">
        <f t="shared" ref="F387:F450" si="56">"Q"&amp;ROUNDUP(MONTH(B387)/3,0)&amp;"-"&amp;YEAR(B387)</f>
        <v>Q2-2023</v>
      </c>
      <c r="G387" t="s">
        <v>647</v>
      </c>
      <c r="H387" t="s">
        <v>654</v>
      </c>
      <c r="I387" t="s">
        <v>680</v>
      </c>
      <c r="J387" t="s">
        <v>703</v>
      </c>
      <c r="K387" t="s">
        <v>709</v>
      </c>
      <c r="L387" t="s">
        <v>722</v>
      </c>
      <c r="M387" t="s">
        <v>731</v>
      </c>
      <c r="N387">
        <f t="shared" ref="N387:N450" si="57">(U387/$U$634)*100</f>
        <v>0.2018960727635413</v>
      </c>
      <c r="O387" t="s">
        <v>1118</v>
      </c>
      <c r="P387" s="4">
        <v>1161.2</v>
      </c>
      <c r="Q387" s="4">
        <v>878.73</v>
      </c>
      <c r="R387" s="4" t="str">
        <f t="shared" ref="R387:R450" si="58">IF(Q387&gt;P387, "Profit", IF(Q387&lt;P387, "Loss"))</f>
        <v>Loss</v>
      </c>
      <c r="S387">
        <v>0.19</v>
      </c>
      <c r="T387" s="4">
        <v>31</v>
      </c>
      <c r="U387">
        <f t="shared" ref="U387:U450" si="59">Q387*T387*(1-S387)</f>
        <v>22064.910300000003</v>
      </c>
      <c r="V387">
        <f t="shared" ref="V387:V450" si="60">P387*T387</f>
        <v>35997.200000000004</v>
      </c>
      <c r="W387">
        <f t="shared" ref="W387:W450" si="61">U387-V387</f>
        <v>-13932.289700000001</v>
      </c>
      <c r="X387">
        <f t="shared" ref="X387:X450" si="62">IF(U387=0, 0, W387/U387)</f>
        <v>-0.63142290227212028</v>
      </c>
    </row>
    <row r="388" spans="1:24" x14ac:dyDescent="0.25">
      <c r="A388" t="s">
        <v>400</v>
      </c>
      <c r="B388" s="13">
        <v>45789</v>
      </c>
      <c r="C388" s="8">
        <v>45803</v>
      </c>
      <c r="D388" s="8">
        <f t="shared" si="54"/>
        <v>45803</v>
      </c>
      <c r="E388" s="6">
        <f t="shared" si="55"/>
        <v>14</v>
      </c>
      <c r="F388" s="6" t="str">
        <f t="shared" si="56"/>
        <v>Q2-2025</v>
      </c>
      <c r="G388" t="s">
        <v>647</v>
      </c>
      <c r="H388" t="s">
        <v>654</v>
      </c>
      <c r="I388" t="s">
        <v>696</v>
      </c>
      <c r="J388" t="s">
        <v>701</v>
      </c>
      <c r="K388" t="s">
        <v>709</v>
      </c>
      <c r="L388" t="s">
        <v>715</v>
      </c>
      <c r="M388" t="s">
        <v>728</v>
      </c>
      <c r="N388">
        <f t="shared" si="57"/>
        <v>8.7720204024164861E-2</v>
      </c>
      <c r="O388" t="s">
        <v>1119</v>
      </c>
      <c r="P388" s="4">
        <v>320.12</v>
      </c>
      <c r="Q388" s="4">
        <v>594.41999999999996</v>
      </c>
      <c r="R388" s="4" t="str">
        <f t="shared" si="58"/>
        <v>Profit</v>
      </c>
      <c r="S388">
        <v>0.104</v>
      </c>
      <c r="T388" s="4">
        <v>18</v>
      </c>
      <c r="U388">
        <f t="shared" si="59"/>
        <v>9586.8057599999993</v>
      </c>
      <c r="V388">
        <f t="shared" si="60"/>
        <v>5762.16</v>
      </c>
      <c r="W388">
        <f t="shared" si="61"/>
        <v>3824.6457599999994</v>
      </c>
      <c r="X388">
        <f t="shared" si="62"/>
        <v>0.39894891538931104</v>
      </c>
    </row>
    <row r="389" spans="1:24" x14ac:dyDescent="0.25">
      <c r="A389" t="s">
        <v>401</v>
      </c>
      <c r="B389" s="13">
        <v>45419</v>
      </c>
      <c r="C389" s="8">
        <v>45424</v>
      </c>
      <c r="D389" s="8">
        <f t="shared" si="54"/>
        <v>45424</v>
      </c>
      <c r="E389" s="6">
        <f t="shared" si="55"/>
        <v>5</v>
      </c>
      <c r="F389" s="6" t="str">
        <f t="shared" si="56"/>
        <v>Q2-2024</v>
      </c>
      <c r="G389" t="s">
        <v>646</v>
      </c>
      <c r="H389" t="s">
        <v>651</v>
      </c>
      <c r="I389" t="s">
        <v>669</v>
      </c>
      <c r="J389" t="s">
        <v>703</v>
      </c>
      <c r="K389" t="s">
        <v>710</v>
      </c>
      <c r="L389" t="s">
        <v>716</v>
      </c>
      <c r="M389" t="s">
        <v>731</v>
      </c>
      <c r="N389">
        <f t="shared" si="57"/>
        <v>0.18092818960877866</v>
      </c>
      <c r="O389" t="s">
        <v>1120</v>
      </c>
      <c r="P389" s="4">
        <v>1163.99</v>
      </c>
      <c r="Q389" s="4">
        <v>1617.85</v>
      </c>
      <c r="R389" s="4" t="str">
        <f t="shared" si="58"/>
        <v>Profit</v>
      </c>
      <c r="S389">
        <v>0.127</v>
      </c>
      <c r="T389" s="4">
        <v>14</v>
      </c>
      <c r="U389">
        <f t="shared" si="59"/>
        <v>19773.362699999998</v>
      </c>
      <c r="V389">
        <f t="shared" si="60"/>
        <v>16295.86</v>
      </c>
      <c r="W389">
        <f t="shared" si="61"/>
        <v>3477.5026999999973</v>
      </c>
      <c r="X389">
        <f t="shared" si="62"/>
        <v>0.17586804797749436</v>
      </c>
    </row>
    <row r="390" spans="1:24" x14ac:dyDescent="0.25">
      <c r="A390" t="s">
        <v>402</v>
      </c>
      <c r="B390" s="13">
        <v>45199</v>
      </c>
      <c r="C390" s="8">
        <v>45202</v>
      </c>
      <c r="D390" s="8">
        <f t="shared" si="54"/>
        <v>45202</v>
      </c>
      <c r="E390" s="6">
        <f t="shared" si="55"/>
        <v>3</v>
      </c>
      <c r="F390" s="6" t="str">
        <f t="shared" si="56"/>
        <v>Q3-2023</v>
      </c>
      <c r="G390" t="s">
        <v>647</v>
      </c>
      <c r="H390" t="s">
        <v>659</v>
      </c>
      <c r="I390" t="s">
        <v>699</v>
      </c>
      <c r="J390" t="s">
        <v>703</v>
      </c>
      <c r="K390" t="s">
        <v>707</v>
      </c>
      <c r="L390" t="s">
        <v>713</v>
      </c>
      <c r="M390" t="s">
        <v>731</v>
      </c>
      <c r="N390">
        <f t="shared" si="57"/>
        <v>0.12909110692906911</v>
      </c>
      <c r="O390" t="s">
        <v>1121</v>
      </c>
      <c r="P390" s="4">
        <v>1019.36</v>
      </c>
      <c r="Q390" s="4">
        <v>972.91</v>
      </c>
      <c r="R390" s="4" t="str">
        <f t="shared" si="58"/>
        <v>Loss</v>
      </c>
      <c r="S390">
        <v>0.14699999999999999</v>
      </c>
      <c r="T390" s="4">
        <v>17</v>
      </c>
      <c r="U390">
        <f t="shared" si="59"/>
        <v>14108.16791</v>
      </c>
      <c r="V390">
        <f t="shared" si="60"/>
        <v>17329.12</v>
      </c>
      <c r="W390">
        <f t="shared" si="61"/>
        <v>-3220.9520899999989</v>
      </c>
      <c r="X390">
        <f t="shared" si="62"/>
        <v>-0.22830406545678819</v>
      </c>
    </row>
    <row r="391" spans="1:24" x14ac:dyDescent="0.25">
      <c r="A391" t="s">
        <v>403</v>
      </c>
      <c r="B391" s="13">
        <v>45225</v>
      </c>
      <c r="C391" s="8">
        <v>45235</v>
      </c>
      <c r="D391" s="8">
        <f t="shared" si="54"/>
        <v>45235</v>
      </c>
      <c r="E391" s="6">
        <f t="shared" si="55"/>
        <v>10</v>
      </c>
      <c r="F391" s="6" t="str">
        <f t="shared" si="56"/>
        <v>Q4-2023</v>
      </c>
      <c r="G391" t="s">
        <v>646</v>
      </c>
      <c r="H391" t="s">
        <v>661</v>
      </c>
      <c r="I391" t="s">
        <v>695</v>
      </c>
      <c r="J391" t="s">
        <v>703</v>
      </c>
      <c r="K391" t="s">
        <v>708</v>
      </c>
      <c r="L391" t="s">
        <v>714</v>
      </c>
      <c r="M391" t="s">
        <v>731</v>
      </c>
      <c r="N391">
        <f t="shared" si="57"/>
        <v>3.9752823973356905E-3</v>
      </c>
      <c r="O391" t="s">
        <v>1122</v>
      </c>
      <c r="P391" s="4">
        <v>20.38</v>
      </c>
      <c r="Q391" s="4">
        <v>42.56</v>
      </c>
      <c r="R391" s="4" t="str">
        <f t="shared" si="58"/>
        <v>Profit</v>
      </c>
      <c r="S391">
        <v>7.1999999999999995E-2</v>
      </c>
      <c r="T391" s="4">
        <v>11</v>
      </c>
      <c r="U391">
        <f t="shared" si="59"/>
        <v>434.45248000000004</v>
      </c>
      <c r="V391">
        <f t="shared" si="60"/>
        <v>224.17999999999998</v>
      </c>
      <c r="W391">
        <f t="shared" si="61"/>
        <v>210.27248000000006</v>
      </c>
      <c r="X391">
        <f t="shared" si="62"/>
        <v>0.48399419885921713</v>
      </c>
    </row>
    <row r="392" spans="1:24" x14ac:dyDescent="0.25">
      <c r="A392" t="s">
        <v>404</v>
      </c>
      <c r="B392" s="13">
        <v>45823</v>
      </c>
      <c r="C392" s="8">
        <v>45838</v>
      </c>
      <c r="D392" s="8">
        <f t="shared" si="54"/>
        <v>45838</v>
      </c>
      <c r="E392" s="6">
        <f t="shared" si="55"/>
        <v>15</v>
      </c>
      <c r="F392" s="6" t="str">
        <f t="shared" si="56"/>
        <v>Q2-2025</v>
      </c>
      <c r="G392" t="s">
        <v>646</v>
      </c>
      <c r="H392" t="s">
        <v>661</v>
      </c>
      <c r="I392" t="s">
        <v>682</v>
      </c>
      <c r="J392" t="s">
        <v>705</v>
      </c>
      <c r="K392" t="s">
        <v>711</v>
      </c>
      <c r="L392" t="s">
        <v>712</v>
      </c>
      <c r="M392" t="s">
        <v>732</v>
      </c>
      <c r="N392">
        <f t="shared" si="57"/>
        <v>0.14770569782706844</v>
      </c>
      <c r="O392" t="s">
        <v>1123</v>
      </c>
      <c r="P392" s="4">
        <v>1487.59</v>
      </c>
      <c r="Q392" s="4">
        <v>1480.83</v>
      </c>
      <c r="R392" s="4" t="str">
        <f t="shared" si="58"/>
        <v>Loss</v>
      </c>
      <c r="S392">
        <v>8.9999999999999993E-3</v>
      </c>
      <c r="T392" s="4">
        <v>11</v>
      </c>
      <c r="U392">
        <f t="shared" si="59"/>
        <v>16142.527829999999</v>
      </c>
      <c r="V392">
        <f t="shared" si="60"/>
        <v>16363.49</v>
      </c>
      <c r="W392">
        <f t="shared" si="61"/>
        <v>-220.9621700000007</v>
      </c>
      <c r="X392">
        <f t="shared" si="62"/>
        <v>-1.3688201273492908E-2</v>
      </c>
    </row>
    <row r="393" spans="1:24" x14ac:dyDescent="0.25">
      <c r="A393" t="s">
        <v>405</v>
      </c>
      <c r="B393" s="13">
        <v>45514</v>
      </c>
      <c r="C393" s="8">
        <v>45542</v>
      </c>
      <c r="D393" s="8">
        <f t="shared" si="54"/>
        <v>45542</v>
      </c>
      <c r="E393" s="6">
        <f t="shared" si="55"/>
        <v>28</v>
      </c>
      <c r="F393" s="6" t="str">
        <f t="shared" si="56"/>
        <v>Q3-2024</v>
      </c>
      <c r="G393" t="s">
        <v>649</v>
      </c>
      <c r="H393" t="s">
        <v>657</v>
      </c>
      <c r="I393" t="s">
        <v>673</v>
      </c>
      <c r="J393" t="s">
        <v>703</v>
      </c>
      <c r="K393" t="s">
        <v>711</v>
      </c>
      <c r="L393" t="s">
        <v>721</v>
      </c>
      <c r="M393" t="s">
        <v>728</v>
      </c>
      <c r="N393">
        <f t="shared" si="57"/>
        <v>2.310457632490635E-2</v>
      </c>
      <c r="O393" t="s">
        <v>1124</v>
      </c>
      <c r="P393" s="4">
        <v>229.96</v>
      </c>
      <c r="Q393" s="4">
        <v>564.26</v>
      </c>
      <c r="R393" s="4" t="str">
        <f t="shared" si="58"/>
        <v>Profit</v>
      </c>
      <c r="S393">
        <v>0.105</v>
      </c>
      <c r="T393" s="4">
        <v>5</v>
      </c>
      <c r="U393">
        <f t="shared" si="59"/>
        <v>2525.0635000000002</v>
      </c>
      <c r="V393">
        <f t="shared" si="60"/>
        <v>1149.8</v>
      </c>
      <c r="W393">
        <f t="shared" si="61"/>
        <v>1375.2635000000002</v>
      </c>
      <c r="X393">
        <f t="shared" si="62"/>
        <v>0.54464511486542821</v>
      </c>
    </row>
    <row r="394" spans="1:24" x14ac:dyDescent="0.25">
      <c r="A394" t="s">
        <v>406</v>
      </c>
      <c r="B394" s="13">
        <v>45208</v>
      </c>
      <c r="C394" s="8">
        <v>45225</v>
      </c>
      <c r="D394" s="8">
        <f t="shared" si="54"/>
        <v>45225</v>
      </c>
      <c r="E394" s="6">
        <f t="shared" si="55"/>
        <v>17</v>
      </c>
      <c r="F394" s="6" t="str">
        <f t="shared" si="56"/>
        <v>Q4-2023</v>
      </c>
      <c r="G394" t="s">
        <v>647</v>
      </c>
      <c r="H394" t="s">
        <v>659</v>
      </c>
      <c r="I394" t="s">
        <v>685</v>
      </c>
      <c r="J394" t="s">
        <v>704</v>
      </c>
      <c r="K394" t="s">
        <v>709</v>
      </c>
      <c r="L394" t="s">
        <v>712</v>
      </c>
      <c r="M394" t="s">
        <v>727</v>
      </c>
      <c r="N394">
        <f t="shared" si="57"/>
        <v>0.44010055862883507</v>
      </c>
      <c r="O394" t="s">
        <v>1125</v>
      </c>
      <c r="P394" s="4">
        <v>1132.03</v>
      </c>
      <c r="Q394" s="4">
        <v>2137.21</v>
      </c>
      <c r="R394" s="4" t="str">
        <f t="shared" si="58"/>
        <v>Profit</v>
      </c>
      <c r="S394">
        <v>0.35699999999999998</v>
      </c>
      <c r="T394" s="4">
        <v>35</v>
      </c>
      <c r="U394">
        <f t="shared" si="59"/>
        <v>48097.911050000002</v>
      </c>
      <c r="V394">
        <f t="shared" si="60"/>
        <v>39621.049999999996</v>
      </c>
      <c r="W394">
        <f t="shared" si="61"/>
        <v>8476.8610500000068</v>
      </c>
      <c r="X394">
        <f t="shared" si="62"/>
        <v>0.17624177152284051</v>
      </c>
    </row>
    <row r="395" spans="1:24" x14ac:dyDescent="0.25">
      <c r="A395" t="s">
        <v>407</v>
      </c>
      <c r="B395" s="13">
        <v>45360</v>
      </c>
      <c r="C395" s="8">
        <v>45377</v>
      </c>
      <c r="D395" s="8">
        <f t="shared" si="54"/>
        <v>45377</v>
      </c>
      <c r="E395" s="6">
        <f t="shared" si="55"/>
        <v>17</v>
      </c>
      <c r="F395" s="6" t="str">
        <f t="shared" si="56"/>
        <v>Q1-2024</v>
      </c>
      <c r="G395" t="s">
        <v>648</v>
      </c>
      <c r="H395" t="s">
        <v>660</v>
      </c>
      <c r="I395" t="s">
        <v>686</v>
      </c>
      <c r="J395" t="s">
        <v>702</v>
      </c>
      <c r="K395" t="s">
        <v>711</v>
      </c>
      <c r="L395" t="s">
        <v>714</v>
      </c>
      <c r="M395" t="s">
        <v>730</v>
      </c>
      <c r="N395">
        <f t="shared" si="57"/>
        <v>0.10326583715022293</v>
      </c>
      <c r="O395" t="s">
        <v>1126</v>
      </c>
      <c r="P395" s="4">
        <v>1137.4100000000001</v>
      </c>
      <c r="Q395" s="4">
        <v>1680.93</v>
      </c>
      <c r="R395" s="4" t="str">
        <f t="shared" si="58"/>
        <v>Profit</v>
      </c>
      <c r="S395">
        <v>0.254</v>
      </c>
      <c r="T395" s="4">
        <v>9</v>
      </c>
      <c r="U395">
        <f t="shared" si="59"/>
        <v>11285.764020000001</v>
      </c>
      <c r="V395">
        <f t="shared" si="60"/>
        <v>10236.69</v>
      </c>
      <c r="W395">
        <f t="shared" si="61"/>
        <v>1049.07402</v>
      </c>
      <c r="X395">
        <f t="shared" si="62"/>
        <v>9.2955516183121464E-2</v>
      </c>
    </row>
    <row r="396" spans="1:24" x14ac:dyDescent="0.25">
      <c r="A396" t="s">
        <v>408</v>
      </c>
      <c r="B396" s="13">
        <v>45075</v>
      </c>
      <c r="C396" s="8">
        <v>45097</v>
      </c>
      <c r="D396" s="8">
        <f t="shared" si="54"/>
        <v>45097</v>
      </c>
      <c r="E396" s="6">
        <f t="shared" si="55"/>
        <v>22</v>
      </c>
      <c r="F396" s="6" t="str">
        <f t="shared" si="56"/>
        <v>Q2-2023</v>
      </c>
      <c r="G396" t="s">
        <v>649</v>
      </c>
      <c r="H396" t="s">
        <v>658</v>
      </c>
      <c r="I396" t="s">
        <v>683</v>
      </c>
      <c r="J396" t="s">
        <v>705</v>
      </c>
      <c r="K396" t="s">
        <v>711</v>
      </c>
      <c r="L396" t="s">
        <v>723</v>
      </c>
      <c r="M396" t="s">
        <v>727</v>
      </c>
      <c r="N396">
        <f t="shared" si="57"/>
        <v>0.18118005756184566</v>
      </c>
      <c r="O396" t="s">
        <v>1127</v>
      </c>
      <c r="P396" s="4">
        <v>1295.3900000000001</v>
      </c>
      <c r="Q396" s="4">
        <v>2905.06</v>
      </c>
      <c r="R396" s="4" t="str">
        <f t="shared" si="58"/>
        <v>Profit</v>
      </c>
      <c r="S396">
        <v>0.14799999999999999</v>
      </c>
      <c r="T396" s="4">
        <v>8</v>
      </c>
      <c r="U396">
        <f t="shared" si="59"/>
        <v>19800.88896</v>
      </c>
      <c r="V396">
        <f t="shared" si="60"/>
        <v>10363.120000000001</v>
      </c>
      <c r="W396">
        <f t="shared" si="61"/>
        <v>9437.7689599999994</v>
      </c>
      <c r="X396">
        <f t="shared" si="62"/>
        <v>0.47663359857556614</v>
      </c>
    </row>
    <row r="397" spans="1:24" x14ac:dyDescent="0.25">
      <c r="A397" t="s">
        <v>409</v>
      </c>
      <c r="B397" s="13">
        <v>45804</v>
      </c>
      <c r="C397" s="8">
        <v>45816</v>
      </c>
      <c r="D397" s="8">
        <f t="shared" si="54"/>
        <v>45816</v>
      </c>
      <c r="E397" s="6">
        <f t="shared" si="55"/>
        <v>12</v>
      </c>
      <c r="F397" s="6" t="str">
        <f t="shared" si="56"/>
        <v>Q2-2025</v>
      </c>
      <c r="G397" t="s">
        <v>647</v>
      </c>
      <c r="H397" t="s">
        <v>652</v>
      </c>
      <c r="I397" t="s">
        <v>666</v>
      </c>
      <c r="J397" t="s">
        <v>701</v>
      </c>
      <c r="K397" t="s">
        <v>707</v>
      </c>
      <c r="L397" t="s">
        <v>722</v>
      </c>
      <c r="M397" t="s">
        <v>733</v>
      </c>
      <c r="N397">
        <f t="shared" si="57"/>
        <v>0.13205180852916112</v>
      </c>
      <c r="O397" t="s">
        <v>1128</v>
      </c>
      <c r="P397" s="4">
        <v>653.6</v>
      </c>
      <c r="Q397" s="4">
        <v>842.09</v>
      </c>
      <c r="R397" s="4" t="str">
        <f t="shared" si="58"/>
        <v>Profit</v>
      </c>
      <c r="S397">
        <v>9.8000000000000004E-2</v>
      </c>
      <c r="T397" s="4">
        <v>19</v>
      </c>
      <c r="U397">
        <f t="shared" si="59"/>
        <v>14431.738420000001</v>
      </c>
      <c r="V397">
        <f t="shared" si="60"/>
        <v>12418.4</v>
      </c>
      <c r="W397">
        <f t="shared" si="61"/>
        <v>2013.3384200000019</v>
      </c>
      <c r="X397">
        <f t="shared" si="62"/>
        <v>0.13950768517324622</v>
      </c>
    </row>
    <row r="398" spans="1:24" x14ac:dyDescent="0.25">
      <c r="A398" t="s">
        <v>410</v>
      </c>
      <c r="B398" s="13">
        <v>45890</v>
      </c>
      <c r="C398" s="8">
        <v>45914</v>
      </c>
      <c r="D398" s="8">
        <f t="shared" si="54"/>
        <v>45914</v>
      </c>
      <c r="E398" s="6">
        <f t="shared" si="55"/>
        <v>24</v>
      </c>
      <c r="F398" s="6" t="str">
        <f t="shared" si="56"/>
        <v>Q3-2025</v>
      </c>
      <c r="G398" t="s">
        <v>649</v>
      </c>
      <c r="H398" t="s">
        <v>656</v>
      </c>
      <c r="I398" t="s">
        <v>671</v>
      </c>
      <c r="J398" t="s">
        <v>703</v>
      </c>
      <c r="K398" t="s">
        <v>708</v>
      </c>
      <c r="L398" t="s">
        <v>720</v>
      </c>
      <c r="M398" t="s">
        <v>732</v>
      </c>
      <c r="N398">
        <f t="shared" si="57"/>
        <v>0.51402297422120447</v>
      </c>
      <c r="O398" t="s">
        <v>1129</v>
      </c>
      <c r="P398" s="4">
        <v>1397.67</v>
      </c>
      <c r="Q398" s="4">
        <v>3131.37</v>
      </c>
      <c r="R398" s="4" t="str">
        <f t="shared" si="58"/>
        <v>Profit</v>
      </c>
      <c r="S398">
        <v>0.10299999999999999</v>
      </c>
      <c r="T398" s="4">
        <v>20</v>
      </c>
      <c r="U398">
        <f t="shared" si="59"/>
        <v>56176.777799999996</v>
      </c>
      <c r="V398">
        <f t="shared" si="60"/>
        <v>27953.4</v>
      </c>
      <c r="W398">
        <f t="shared" si="61"/>
        <v>28223.377799999995</v>
      </c>
      <c r="X398">
        <f t="shared" si="62"/>
        <v>0.50240293062874808</v>
      </c>
    </row>
    <row r="399" spans="1:24" x14ac:dyDescent="0.25">
      <c r="A399" t="s">
        <v>411</v>
      </c>
      <c r="B399" s="13">
        <v>45638</v>
      </c>
      <c r="C399" s="8">
        <v>45646</v>
      </c>
      <c r="D399" s="8">
        <f t="shared" si="54"/>
        <v>45646</v>
      </c>
      <c r="E399" s="6">
        <f t="shared" si="55"/>
        <v>8</v>
      </c>
      <c r="F399" s="6" t="str">
        <f t="shared" si="56"/>
        <v>Q4-2024</v>
      </c>
      <c r="G399" t="s">
        <v>647</v>
      </c>
      <c r="H399" t="s">
        <v>652</v>
      </c>
      <c r="I399" t="s">
        <v>689</v>
      </c>
      <c r="J399" t="s">
        <v>701</v>
      </c>
      <c r="K399" t="s">
        <v>707</v>
      </c>
      <c r="L399" t="s">
        <v>717</v>
      </c>
      <c r="M399" t="s">
        <v>731</v>
      </c>
      <c r="N399">
        <f t="shared" si="57"/>
        <v>0.17056899368481451</v>
      </c>
      <c r="O399" t="s">
        <v>1130</v>
      </c>
      <c r="P399" s="4">
        <v>1202.47</v>
      </c>
      <c r="Q399" s="4">
        <v>1444.72</v>
      </c>
      <c r="R399" s="4" t="str">
        <f t="shared" si="58"/>
        <v>Profit</v>
      </c>
      <c r="S399">
        <v>0.24099999999999999</v>
      </c>
      <c r="T399" s="4">
        <v>17</v>
      </c>
      <c r="U399">
        <f t="shared" si="59"/>
        <v>18641.222160000001</v>
      </c>
      <c r="V399">
        <f t="shared" si="60"/>
        <v>20441.990000000002</v>
      </c>
      <c r="W399">
        <f t="shared" si="61"/>
        <v>-1800.7678400000004</v>
      </c>
      <c r="X399">
        <f t="shared" si="62"/>
        <v>-9.6601382921343834E-2</v>
      </c>
    </row>
    <row r="400" spans="1:24" x14ac:dyDescent="0.25">
      <c r="A400" t="s">
        <v>412</v>
      </c>
      <c r="B400" s="13">
        <v>45914</v>
      </c>
      <c r="C400" s="8">
        <v>45923</v>
      </c>
      <c r="D400" s="8">
        <f t="shared" si="54"/>
        <v>45923</v>
      </c>
      <c r="E400" s="6">
        <f t="shared" si="55"/>
        <v>9</v>
      </c>
      <c r="F400" s="6" t="str">
        <f t="shared" si="56"/>
        <v>Q3-2025</v>
      </c>
      <c r="G400" t="s">
        <v>646</v>
      </c>
      <c r="H400" t="s">
        <v>661</v>
      </c>
      <c r="I400" t="s">
        <v>687</v>
      </c>
      <c r="J400" t="s">
        <v>703</v>
      </c>
      <c r="K400" t="s">
        <v>708</v>
      </c>
      <c r="L400" t="s">
        <v>726</v>
      </c>
      <c r="M400" t="s">
        <v>727</v>
      </c>
      <c r="N400">
        <f t="shared" si="57"/>
        <v>0.1206489993732176</v>
      </c>
      <c r="O400" t="s">
        <v>1131</v>
      </c>
      <c r="P400" s="4">
        <v>1310.3</v>
      </c>
      <c r="Q400" s="4">
        <v>2875.8</v>
      </c>
      <c r="R400" s="4" t="str">
        <f t="shared" si="58"/>
        <v>Profit</v>
      </c>
      <c r="S400">
        <v>8.3000000000000004E-2</v>
      </c>
      <c r="T400" s="4">
        <v>5</v>
      </c>
      <c r="U400">
        <f t="shared" si="59"/>
        <v>13185.543</v>
      </c>
      <c r="V400">
        <f t="shared" si="60"/>
        <v>6551.5</v>
      </c>
      <c r="W400">
        <f t="shared" si="61"/>
        <v>6634.0429999999997</v>
      </c>
      <c r="X400">
        <f t="shared" si="62"/>
        <v>0.50313005691157353</v>
      </c>
    </row>
    <row r="401" spans="1:24" x14ac:dyDescent="0.25">
      <c r="A401" t="s">
        <v>413</v>
      </c>
      <c r="B401" s="13">
        <v>45541</v>
      </c>
      <c r="C401" s="8">
        <v>45569</v>
      </c>
      <c r="D401" s="8">
        <f t="shared" si="54"/>
        <v>45569</v>
      </c>
      <c r="E401" s="6">
        <f t="shared" si="55"/>
        <v>28</v>
      </c>
      <c r="F401" s="6" t="str">
        <f t="shared" si="56"/>
        <v>Q3-2024</v>
      </c>
      <c r="G401" t="s">
        <v>646</v>
      </c>
      <c r="H401" t="s">
        <v>661</v>
      </c>
      <c r="I401" t="s">
        <v>695</v>
      </c>
      <c r="J401" t="s">
        <v>701</v>
      </c>
      <c r="K401" t="s">
        <v>709</v>
      </c>
      <c r="L401" t="s">
        <v>726</v>
      </c>
      <c r="M401" t="s">
        <v>732</v>
      </c>
      <c r="N401">
        <f t="shared" si="57"/>
        <v>0.11869508049157758</v>
      </c>
      <c r="O401" t="s">
        <v>1132</v>
      </c>
      <c r="P401" s="4">
        <v>1174.17</v>
      </c>
      <c r="Q401" s="4">
        <v>1641.61</v>
      </c>
      <c r="R401" s="4" t="str">
        <f t="shared" si="58"/>
        <v>Profit</v>
      </c>
      <c r="S401">
        <v>0.122</v>
      </c>
      <c r="T401" s="4">
        <v>9</v>
      </c>
      <c r="U401">
        <f t="shared" si="59"/>
        <v>12972.00222</v>
      </c>
      <c r="V401">
        <f t="shared" si="60"/>
        <v>10567.53</v>
      </c>
      <c r="W401">
        <f t="shared" si="61"/>
        <v>2404.4722199999997</v>
      </c>
      <c r="X401">
        <f t="shared" si="62"/>
        <v>0.18535860380079394</v>
      </c>
    </row>
    <row r="402" spans="1:24" x14ac:dyDescent="0.25">
      <c r="A402" t="s">
        <v>414</v>
      </c>
      <c r="B402" s="13">
        <v>45759</v>
      </c>
      <c r="C402" s="8">
        <v>45777</v>
      </c>
      <c r="D402" s="8">
        <f t="shared" si="54"/>
        <v>45777</v>
      </c>
      <c r="E402" s="6">
        <f t="shared" si="55"/>
        <v>18</v>
      </c>
      <c r="F402" s="6" t="str">
        <f t="shared" si="56"/>
        <v>Q2-2025</v>
      </c>
      <c r="G402" t="s">
        <v>646</v>
      </c>
      <c r="H402" t="s">
        <v>650</v>
      </c>
      <c r="I402" t="s">
        <v>662</v>
      </c>
      <c r="J402" t="s">
        <v>701</v>
      </c>
      <c r="K402" t="s">
        <v>709</v>
      </c>
      <c r="L402" t="s">
        <v>721</v>
      </c>
      <c r="M402" t="s">
        <v>729</v>
      </c>
      <c r="N402">
        <f t="shared" si="57"/>
        <v>0.16224607300686295</v>
      </c>
      <c r="O402" t="s">
        <v>1133</v>
      </c>
      <c r="P402" s="4">
        <v>1119.04</v>
      </c>
      <c r="Q402" s="4">
        <v>1299.02</v>
      </c>
      <c r="R402" s="4" t="str">
        <f t="shared" si="58"/>
        <v>Profit</v>
      </c>
      <c r="S402">
        <v>2.5000000000000001E-2</v>
      </c>
      <c r="T402" s="4">
        <v>14</v>
      </c>
      <c r="U402">
        <f t="shared" si="59"/>
        <v>17731.623</v>
      </c>
      <c r="V402">
        <f t="shared" si="60"/>
        <v>15666.56</v>
      </c>
      <c r="W402">
        <f t="shared" si="61"/>
        <v>2065.0630000000001</v>
      </c>
      <c r="X402">
        <f t="shared" si="62"/>
        <v>0.11646215352085933</v>
      </c>
    </row>
    <row r="403" spans="1:24" x14ac:dyDescent="0.25">
      <c r="A403" t="s">
        <v>415</v>
      </c>
      <c r="B403" s="13">
        <v>45516</v>
      </c>
      <c r="C403" s="8">
        <v>45519</v>
      </c>
      <c r="D403" s="8">
        <f t="shared" si="54"/>
        <v>45519</v>
      </c>
      <c r="E403" s="6">
        <f t="shared" si="55"/>
        <v>3</v>
      </c>
      <c r="F403" s="6" t="str">
        <f t="shared" si="56"/>
        <v>Q3-2024</v>
      </c>
      <c r="G403" t="s">
        <v>648</v>
      </c>
      <c r="H403" t="s">
        <v>660</v>
      </c>
      <c r="I403" t="s">
        <v>677</v>
      </c>
      <c r="J403" t="s">
        <v>701</v>
      </c>
      <c r="K403" t="s">
        <v>709</v>
      </c>
      <c r="L403" t="s">
        <v>726</v>
      </c>
      <c r="M403" t="s">
        <v>728</v>
      </c>
      <c r="N403">
        <f t="shared" si="57"/>
        <v>0.15946025089995611</v>
      </c>
      <c r="O403" t="s">
        <v>1134</v>
      </c>
      <c r="P403" s="4">
        <v>850.7</v>
      </c>
      <c r="Q403" s="4">
        <v>1118.56</v>
      </c>
      <c r="R403" s="4" t="str">
        <f t="shared" si="58"/>
        <v>Profit</v>
      </c>
      <c r="S403">
        <v>0.18</v>
      </c>
      <c r="T403" s="4">
        <v>19</v>
      </c>
      <c r="U403">
        <f t="shared" si="59"/>
        <v>17427.164800000002</v>
      </c>
      <c r="V403">
        <f t="shared" si="60"/>
        <v>16163.300000000001</v>
      </c>
      <c r="W403">
        <f t="shared" si="61"/>
        <v>1263.8648000000012</v>
      </c>
      <c r="X403">
        <f t="shared" si="62"/>
        <v>7.2522685962090688E-2</v>
      </c>
    </row>
    <row r="404" spans="1:24" x14ac:dyDescent="0.25">
      <c r="A404" t="s">
        <v>416</v>
      </c>
      <c r="B404" s="13">
        <v>45601</v>
      </c>
      <c r="C404" s="8">
        <v>45604</v>
      </c>
      <c r="D404" s="8">
        <f t="shared" si="54"/>
        <v>45604</v>
      </c>
      <c r="E404" s="6">
        <f t="shared" si="55"/>
        <v>3</v>
      </c>
      <c r="F404" s="6" t="str">
        <f t="shared" si="56"/>
        <v>Q4-2024</v>
      </c>
      <c r="G404" t="s">
        <v>648</v>
      </c>
      <c r="H404" t="s">
        <v>653</v>
      </c>
      <c r="I404" t="s">
        <v>667</v>
      </c>
      <c r="J404" t="s">
        <v>702</v>
      </c>
      <c r="K404" t="s">
        <v>709</v>
      </c>
      <c r="L404" t="s">
        <v>719</v>
      </c>
      <c r="M404" t="s">
        <v>727</v>
      </c>
      <c r="N404">
        <f t="shared" si="57"/>
        <v>0.15505838658162566</v>
      </c>
      <c r="O404" t="s">
        <v>1135</v>
      </c>
      <c r="P404" s="4">
        <v>1020.4</v>
      </c>
      <c r="Q404" s="4">
        <v>1184.71</v>
      </c>
      <c r="R404" s="4" t="str">
        <f t="shared" si="58"/>
        <v>Profit</v>
      </c>
      <c r="S404">
        <v>0.106</v>
      </c>
      <c r="T404" s="4">
        <v>16</v>
      </c>
      <c r="U404">
        <f t="shared" si="59"/>
        <v>16946.091840000001</v>
      </c>
      <c r="V404">
        <f t="shared" si="60"/>
        <v>16326.4</v>
      </c>
      <c r="W404">
        <f t="shared" si="61"/>
        <v>619.69184000000132</v>
      </c>
      <c r="X404">
        <f t="shared" si="62"/>
        <v>3.6568422138328345E-2</v>
      </c>
    </row>
    <row r="405" spans="1:24" x14ac:dyDescent="0.25">
      <c r="A405" t="s">
        <v>417</v>
      </c>
      <c r="B405" s="13">
        <v>45497</v>
      </c>
      <c r="C405" s="8">
        <v>45512</v>
      </c>
      <c r="D405" s="8">
        <f t="shared" si="54"/>
        <v>45512</v>
      </c>
      <c r="E405" s="6">
        <f t="shared" si="55"/>
        <v>15</v>
      </c>
      <c r="F405" s="6" t="str">
        <f t="shared" si="56"/>
        <v>Q3-2024</v>
      </c>
      <c r="G405" t="s">
        <v>649</v>
      </c>
      <c r="H405" t="s">
        <v>657</v>
      </c>
      <c r="I405" t="s">
        <v>673</v>
      </c>
      <c r="J405" t="s">
        <v>706</v>
      </c>
      <c r="K405" t="s">
        <v>709</v>
      </c>
      <c r="L405" t="s">
        <v>722</v>
      </c>
      <c r="M405" t="s">
        <v>731</v>
      </c>
      <c r="N405">
        <f t="shared" si="57"/>
        <v>4.8041888742862297E-2</v>
      </c>
      <c r="O405" t="s">
        <v>1136</v>
      </c>
      <c r="P405" s="4">
        <v>501.5</v>
      </c>
      <c r="Q405" s="4">
        <v>1201.47</v>
      </c>
      <c r="R405" s="4" t="str">
        <f t="shared" si="58"/>
        <v>Profit</v>
      </c>
      <c r="S405">
        <v>0.126</v>
      </c>
      <c r="T405" s="4">
        <v>5</v>
      </c>
      <c r="U405">
        <f t="shared" si="59"/>
        <v>5250.4239000000007</v>
      </c>
      <c r="V405">
        <f t="shared" si="60"/>
        <v>2507.5</v>
      </c>
      <c r="W405">
        <f t="shared" si="61"/>
        <v>2742.9239000000007</v>
      </c>
      <c r="X405">
        <f t="shared" si="62"/>
        <v>0.52241951359394057</v>
      </c>
    </row>
    <row r="406" spans="1:24" x14ac:dyDescent="0.25">
      <c r="A406" t="s">
        <v>418</v>
      </c>
      <c r="B406" s="13">
        <v>45677</v>
      </c>
      <c r="C406" s="8">
        <v>45691</v>
      </c>
      <c r="D406" s="8">
        <f t="shared" si="54"/>
        <v>45691</v>
      </c>
      <c r="E406" s="6">
        <f t="shared" si="55"/>
        <v>14</v>
      </c>
      <c r="F406" s="6" t="str">
        <f t="shared" si="56"/>
        <v>Q1-2025</v>
      </c>
      <c r="G406" t="s">
        <v>648</v>
      </c>
      <c r="H406" t="s">
        <v>655</v>
      </c>
      <c r="I406" t="s">
        <v>672</v>
      </c>
      <c r="J406" t="s">
        <v>706</v>
      </c>
      <c r="K406" t="s">
        <v>709</v>
      </c>
      <c r="L406" t="s">
        <v>721</v>
      </c>
      <c r="M406" t="s">
        <v>727</v>
      </c>
      <c r="N406">
        <f t="shared" si="57"/>
        <v>7.1663570912850486E-2</v>
      </c>
      <c r="O406" t="s">
        <v>1137</v>
      </c>
      <c r="P406" s="4">
        <v>974.11</v>
      </c>
      <c r="Q406" s="4">
        <v>880.99</v>
      </c>
      <c r="R406" s="4" t="str">
        <f t="shared" si="58"/>
        <v>Loss</v>
      </c>
      <c r="S406">
        <v>0.111</v>
      </c>
      <c r="T406" s="4">
        <v>10</v>
      </c>
      <c r="U406">
        <f t="shared" si="59"/>
        <v>7832.0010999999995</v>
      </c>
      <c r="V406">
        <f t="shared" si="60"/>
        <v>9741.1</v>
      </c>
      <c r="W406">
        <f t="shared" si="61"/>
        <v>-1909.0989000000009</v>
      </c>
      <c r="X406">
        <f t="shared" si="62"/>
        <v>-0.2437562093805121</v>
      </c>
    </row>
    <row r="407" spans="1:24" x14ac:dyDescent="0.25">
      <c r="A407" t="s">
        <v>419</v>
      </c>
      <c r="B407" s="13">
        <v>44991</v>
      </c>
      <c r="C407" s="8">
        <v>45020</v>
      </c>
      <c r="D407" s="8">
        <f t="shared" si="54"/>
        <v>45020</v>
      </c>
      <c r="E407" s="6">
        <f t="shared" si="55"/>
        <v>29</v>
      </c>
      <c r="F407" s="6" t="str">
        <f t="shared" si="56"/>
        <v>Q1-2023</v>
      </c>
      <c r="G407" t="s">
        <v>647</v>
      </c>
      <c r="H407" t="s">
        <v>659</v>
      </c>
      <c r="I407" t="s">
        <v>699</v>
      </c>
      <c r="J407" t="s">
        <v>705</v>
      </c>
      <c r="K407" t="s">
        <v>711</v>
      </c>
      <c r="L407" t="s">
        <v>712</v>
      </c>
      <c r="M407" t="s">
        <v>732</v>
      </c>
      <c r="N407">
        <f t="shared" si="57"/>
        <v>0.12295260257643514</v>
      </c>
      <c r="O407" t="s">
        <v>1138</v>
      </c>
      <c r="P407" s="4">
        <v>1126.29</v>
      </c>
      <c r="Q407" s="4">
        <v>2050.87</v>
      </c>
      <c r="R407" s="4" t="str">
        <f t="shared" si="58"/>
        <v>Profit</v>
      </c>
      <c r="S407">
        <v>6.4000000000000001E-2</v>
      </c>
      <c r="T407" s="4">
        <v>7</v>
      </c>
      <c r="U407">
        <f t="shared" si="59"/>
        <v>13437.300239999999</v>
      </c>
      <c r="V407">
        <f t="shared" si="60"/>
        <v>7884.03</v>
      </c>
      <c r="W407">
        <f t="shared" si="61"/>
        <v>5553.2702399999989</v>
      </c>
      <c r="X407">
        <f t="shared" si="62"/>
        <v>0.41327276616690373</v>
      </c>
    </row>
    <row r="408" spans="1:24" x14ac:dyDescent="0.25">
      <c r="A408" t="s">
        <v>420</v>
      </c>
      <c r="B408" s="13">
        <v>45646</v>
      </c>
      <c r="C408" s="8">
        <v>45671</v>
      </c>
      <c r="D408" s="8">
        <f t="shared" si="54"/>
        <v>45671</v>
      </c>
      <c r="E408" s="6">
        <f t="shared" si="55"/>
        <v>25</v>
      </c>
      <c r="F408" s="6" t="str">
        <f t="shared" si="56"/>
        <v>Q4-2024</v>
      </c>
      <c r="G408" t="s">
        <v>647</v>
      </c>
      <c r="H408" t="s">
        <v>654</v>
      </c>
      <c r="I408" t="s">
        <v>680</v>
      </c>
      <c r="J408" t="s">
        <v>705</v>
      </c>
      <c r="K408" t="s">
        <v>707</v>
      </c>
      <c r="L408" t="s">
        <v>724</v>
      </c>
      <c r="M408" t="s">
        <v>728</v>
      </c>
      <c r="N408">
        <f t="shared" si="57"/>
        <v>0.2054850473924705</v>
      </c>
      <c r="O408" t="s">
        <v>1139</v>
      </c>
      <c r="P408" s="4">
        <v>1361.34</v>
      </c>
      <c r="Q408" s="4">
        <v>1737.9</v>
      </c>
      <c r="R408" s="4" t="str">
        <f t="shared" si="58"/>
        <v>Profit</v>
      </c>
      <c r="S408">
        <v>7.6999999999999999E-2</v>
      </c>
      <c r="T408" s="4">
        <v>14</v>
      </c>
      <c r="U408">
        <f t="shared" si="59"/>
        <v>22457.143800000002</v>
      </c>
      <c r="V408">
        <f t="shared" si="60"/>
        <v>19058.759999999998</v>
      </c>
      <c r="W408">
        <f t="shared" si="61"/>
        <v>3398.3838000000032</v>
      </c>
      <c r="X408">
        <f t="shared" si="62"/>
        <v>0.15132751654731813</v>
      </c>
    </row>
    <row r="409" spans="1:24" x14ac:dyDescent="0.25">
      <c r="A409" t="s">
        <v>421</v>
      </c>
      <c r="B409" s="13">
        <v>45709</v>
      </c>
      <c r="C409" s="8">
        <v>45737</v>
      </c>
      <c r="D409" s="8">
        <f t="shared" si="54"/>
        <v>45737</v>
      </c>
      <c r="E409" s="6">
        <f t="shared" si="55"/>
        <v>28</v>
      </c>
      <c r="F409" s="6" t="str">
        <f t="shared" si="56"/>
        <v>Q1-2025</v>
      </c>
      <c r="G409" t="s">
        <v>646</v>
      </c>
      <c r="H409" t="s">
        <v>651</v>
      </c>
      <c r="I409" t="s">
        <v>669</v>
      </c>
      <c r="J409" t="s">
        <v>706</v>
      </c>
      <c r="K409" t="s">
        <v>709</v>
      </c>
      <c r="L409" t="s">
        <v>714</v>
      </c>
      <c r="M409" t="s">
        <v>730</v>
      </c>
      <c r="N409">
        <f t="shared" si="57"/>
        <v>0.19710240695847786</v>
      </c>
      <c r="O409" t="s">
        <v>1140</v>
      </c>
      <c r="P409" s="4">
        <v>1437.39</v>
      </c>
      <c r="Q409" s="4">
        <v>1388.31</v>
      </c>
      <c r="R409" s="4" t="str">
        <f t="shared" si="58"/>
        <v>Loss</v>
      </c>
      <c r="S409">
        <v>0.13800000000000001</v>
      </c>
      <c r="T409" s="4">
        <v>18</v>
      </c>
      <c r="U409">
        <f t="shared" si="59"/>
        <v>21541.017959999997</v>
      </c>
      <c r="V409">
        <f t="shared" si="60"/>
        <v>25873.02</v>
      </c>
      <c r="W409">
        <f t="shared" si="61"/>
        <v>-4332.002040000003</v>
      </c>
      <c r="X409">
        <f t="shared" si="62"/>
        <v>-0.20110479681341872</v>
      </c>
    </row>
    <row r="410" spans="1:24" x14ac:dyDescent="0.25">
      <c r="A410" t="s">
        <v>422</v>
      </c>
      <c r="B410" s="13">
        <v>45724</v>
      </c>
      <c r="C410" s="8">
        <v>45731</v>
      </c>
      <c r="D410" s="8">
        <f t="shared" si="54"/>
        <v>45731</v>
      </c>
      <c r="E410" s="6">
        <f t="shared" si="55"/>
        <v>7</v>
      </c>
      <c r="F410" s="6" t="str">
        <f t="shared" si="56"/>
        <v>Q1-2025</v>
      </c>
      <c r="G410" t="s">
        <v>647</v>
      </c>
      <c r="H410" t="s">
        <v>654</v>
      </c>
      <c r="I410" t="s">
        <v>668</v>
      </c>
      <c r="J410" t="s">
        <v>701</v>
      </c>
      <c r="K410" t="s">
        <v>710</v>
      </c>
      <c r="L410" t="s">
        <v>723</v>
      </c>
      <c r="M410" t="s">
        <v>731</v>
      </c>
      <c r="N410">
        <f t="shared" si="57"/>
        <v>4.28198391796741E-2</v>
      </c>
      <c r="O410" t="s">
        <v>1141</v>
      </c>
      <c r="P410" s="4">
        <v>475.66</v>
      </c>
      <c r="Q410" s="4">
        <v>529.14</v>
      </c>
      <c r="R410" s="4" t="str">
        <f t="shared" si="58"/>
        <v>Profit</v>
      </c>
      <c r="S410">
        <v>0.19600000000000001</v>
      </c>
      <c r="T410" s="4">
        <v>11</v>
      </c>
      <c r="U410">
        <f t="shared" si="59"/>
        <v>4679.7141600000004</v>
      </c>
      <c r="V410">
        <f t="shared" si="60"/>
        <v>5232.26</v>
      </c>
      <c r="W410">
        <f t="shared" si="61"/>
        <v>-552.54583999999977</v>
      </c>
      <c r="X410">
        <f t="shared" si="62"/>
        <v>-0.11807256193613323</v>
      </c>
    </row>
    <row r="411" spans="1:24" x14ac:dyDescent="0.25">
      <c r="A411" t="s">
        <v>423</v>
      </c>
      <c r="B411" s="13">
        <v>45276</v>
      </c>
      <c r="C411" s="8">
        <v>45279</v>
      </c>
      <c r="D411" s="8">
        <f t="shared" si="54"/>
        <v>45279</v>
      </c>
      <c r="E411" s="6">
        <f t="shared" si="55"/>
        <v>3</v>
      </c>
      <c r="F411" s="6" t="str">
        <f t="shared" si="56"/>
        <v>Q4-2023</v>
      </c>
      <c r="G411" t="s">
        <v>647</v>
      </c>
      <c r="H411" t="s">
        <v>659</v>
      </c>
      <c r="I411" t="s">
        <v>699</v>
      </c>
      <c r="J411" t="s">
        <v>702</v>
      </c>
      <c r="K411" t="s">
        <v>707</v>
      </c>
      <c r="L411" t="s">
        <v>720</v>
      </c>
      <c r="M411" t="s">
        <v>733</v>
      </c>
      <c r="N411">
        <f t="shared" si="57"/>
        <v>0.21656962330675067</v>
      </c>
      <c r="O411" t="s">
        <v>1142</v>
      </c>
      <c r="P411" s="4">
        <v>1415.05</v>
      </c>
      <c r="Q411" s="4">
        <v>1972.38</v>
      </c>
      <c r="R411" s="4" t="str">
        <f t="shared" si="58"/>
        <v>Profit</v>
      </c>
      <c r="S411">
        <v>0</v>
      </c>
      <c r="T411" s="4">
        <v>12</v>
      </c>
      <c r="U411">
        <f t="shared" si="59"/>
        <v>23668.560000000001</v>
      </c>
      <c r="V411">
        <f t="shared" si="60"/>
        <v>16980.599999999999</v>
      </c>
      <c r="W411">
        <f t="shared" si="61"/>
        <v>6687.9600000000028</v>
      </c>
      <c r="X411">
        <f t="shared" si="62"/>
        <v>0.28256725377462771</v>
      </c>
    </row>
    <row r="412" spans="1:24" x14ac:dyDescent="0.25">
      <c r="A412" t="s">
        <v>424</v>
      </c>
      <c r="B412" s="13">
        <v>45534</v>
      </c>
      <c r="C412" s="8">
        <v>45540</v>
      </c>
      <c r="D412" s="8">
        <f t="shared" si="54"/>
        <v>45540</v>
      </c>
      <c r="E412" s="6">
        <f t="shared" si="55"/>
        <v>6</v>
      </c>
      <c r="F412" s="6" t="str">
        <f t="shared" si="56"/>
        <v>Q3-2024</v>
      </c>
      <c r="G412" t="s">
        <v>647</v>
      </c>
      <c r="H412" t="s">
        <v>652</v>
      </c>
      <c r="I412" t="s">
        <v>694</v>
      </c>
      <c r="J412" t="s">
        <v>702</v>
      </c>
      <c r="K412" t="s">
        <v>708</v>
      </c>
      <c r="L412" t="s">
        <v>725</v>
      </c>
      <c r="M412" t="s">
        <v>731</v>
      </c>
      <c r="N412">
        <f t="shared" si="57"/>
        <v>4.8715028632548278E-2</v>
      </c>
      <c r="O412" t="s">
        <v>1143</v>
      </c>
      <c r="P412" s="4">
        <v>466.16</v>
      </c>
      <c r="Q412" s="4">
        <v>876.81</v>
      </c>
      <c r="R412" s="4" t="str">
        <f t="shared" si="58"/>
        <v>Profit</v>
      </c>
      <c r="S412">
        <v>0.24099999999999999</v>
      </c>
      <c r="T412" s="4">
        <v>8</v>
      </c>
      <c r="U412">
        <f t="shared" si="59"/>
        <v>5323.9903199999999</v>
      </c>
      <c r="V412">
        <f t="shared" si="60"/>
        <v>3729.28</v>
      </c>
      <c r="W412">
        <f t="shared" si="61"/>
        <v>1594.7103199999997</v>
      </c>
      <c r="X412">
        <f t="shared" si="62"/>
        <v>0.29953291124691594</v>
      </c>
    </row>
    <row r="413" spans="1:24" x14ac:dyDescent="0.25">
      <c r="A413" t="s">
        <v>425</v>
      </c>
      <c r="B413" s="13">
        <v>45430</v>
      </c>
      <c r="C413" s="8">
        <v>45433</v>
      </c>
      <c r="D413" s="8">
        <f t="shared" si="54"/>
        <v>45433</v>
      </c>
      <c r="E413" s="6">
        <f t="shared" si="55"/>
        <v>3</v>
      </c>
      <c r="F413" s="6" t="str">
        <f t="shared" si="56"/>
        <v>Q2-2024</v>
      </c>
      <c r="G413" t="s">
        <v>649</v>
      </c>
      <c r="H413" t="s">
        <v>657</v>
      </c>
      <c r="I413" t="s">
        <v>673</v>
      </c>
      <c r="J413" t="s">
        <v>703</v>
      </c>
      <c r="K413" t="s">
        <v>709</v>
      </c>
      <c r="L413" t="s">
        <v>726</v>
      </c>
      <c r="M413" t="s">
        <v>728</v>
      </c>
      <c r="N413">
        <f t="shared" si="57"/>
        <v>6.3134576505026491E-2</v>
      </c>
      <c r="O413" t="s">
        <v>1144</v>
      </c>
      <c r="P413" s="4">
        <v>663.66</v>
      </c>
      <c r="Q413" s="4">
        <v>824.26</v>
      </c>
      <c r="R413" s="4" t="str">
        <f t="shared" si="58"/>
        <v>Profit</v>
      </c>
      <c r="S413">
        <v>0.23899999999999999</v>
      </c>
      <c r="T413" s="4">
        <v>11</v>
      </c>
      <c r="U413">
        <f t="shared" si="59"/>
        <v>6899.8804600000003</v>
      </c>
      <c r="V413">
        <f t="shared" si="60"/>
        <v>7300.2599999999993</v>
      </c>
      <c r="W413">
        <f t="shared" si="61"/>
        <v>-400.379539999999</v>
      </c>
      <c r="X413">
        <f t="shared" si="62"/>
        <v>-5.8027025587048933E-2</v>
      </c>
    </row>
    <row r="414" spans="1:24" x14ac:dyDescent="0.25">
      <c r="A414" t="s">
        <v>426</v>
      </c>
      <c r="B414" s="13">
        <v>45002</v>
      </c>
      <c r="C414" s="8">
        <v>45022</v>
      </c>
      <c r="D414" s="8">
        <f t="shared" si="54"/>
        <v>45022</v>
      </c>
      <c r="E414" s="6">
        <f t="shared" si="55"/>
        <v>20</v>
      </c>
      <c r="F414" s="6" t="str">
        <f t="shared" si="56"/>
        <v>Q1-2023</v>
      </c>
      <c r="G414" t="s">
        <v>649</v>
      </c>
      <c r="H414" t="s">
        <v>656</v>
      </c>
      <c r="I414" t="s">
        <v>684</v>
      </c>
      <c r="J414" t="s">
        <v>704</v>
      </c>
      <c r="K414" t="s">
        <v>707</v>
      </c>
      <c r="L414" t="s">
        <v>719</v>
      </c>
      <c r="M414" t="s">
        <v>730</v>
      </c>
      <c r="N414">
        <f t="shared" si="57"/>
        <v>1.8840101264229431E-2</v>
      </c>
      <c r="O414" t="s">
        <v>1145</v>
      </c>
      <c r="P414" s="4">
        <v>692.18</v>
      </c>
      <c r="Q414" s="4">
        <v>1159.3499999999999</v>
      </c>
      <c r="R414" s="4" t="str">
        <f t="shared" si="58"/>
        <v>Profit</v>
      </c>
      <c r="S414">
        <v>0.112</v>
      </c>
      <c r="T414" s="4">
        <v>2</v>
      </c>
      <c r="U414">
        <f t="shared" si="59"/>
        <v>2059.0056</v>
      </c>
      <c r="V414">
        <f t="shared" si="60"/>
        <v>1384.36</v>
      </c>
      <c r="W414">
        <f t="shared" si="61"/>
        <v>674.64560000000006</v>
      </c>
      <c r="X414">
        <f t="shared" si="62"/>
        <v>0.32765602968734037</v>
      </c>
    </row>
    <row r="415" spans="1:24" x14ac:dyDescent="0.25">
      <c r="A415" t="s">
        <v>427</v>
      </c>
      <c r="B415" s="13">
        <v>45163</v>
      </c>
      <c r="C415" s="8">
        <v>45185</v>
      </c>
      <c r="D415" s="8">
        <f t="shared" si="54"/>
        <v>45185</v>
      </c>
      <c r="E415" s="6">
        <f t="shared" si="55"/>
        <v>22</v>
      </c>
      <c r="F415" s="6" t="str">
        <f t="shared" si="56"/>
        <v>Q3-2023</v>
      </c>
      <c r="G415" t="s">
        <v>646</v>
      </c>
      <c r="H415" t="s">
        <v>651</v>
      </c>
      <c r="I415" t="s">
        <v>669</v>
      </c>
      <c r="J415" t="s">
        <v>701</v>
      </c>
      <c r="K415" t="s">
        <v>709</v>
      </c>
      <c r="L415" t="s">
        <v>716</v>
      </c>
      <c r="M415" t="s">
        <v>730</v>
      </c>
      <c r="N415">
        <f t="shared" si="57"/>
        <v>0.14762968668906273</v>
      </c>
      <c r="O415" t="s">
        <v>1146</v>
      </c>
      <c r="P415" s="4">
        <v>1196.83</v>
      </c>
      <c r="Q415" s="4">
        <v>2513.5100000000002</v>
      </c>
      <c r="R415" s="4" t="str">
        <f t="shared" si="58"/>
        <v>Profit</v>
      </c>
      <c r="S415">
        <v>8.3000000000000004E-2</v>
      </c>
      <c r="T415" s="4">
        <v>7</v>
      </c>
      <c r="U415">
        <f t="shared" si="59"/>
        <v>16134.22069</v>
      </c>
      <c r="V415">
        <f t="shared" si="60"/>
        <v>8377.81</v>
      </c>
      <c r="W415">
        <f t="shared" si="61"/>
        <v>7756.4106900000006</v>
      </c>
      <c r="X415">
        <f t="shared" si="62"/>
        <v>0.48074281609445374</v>
      </c>
    </row>
    <row r="416" spans="1:24" x14ac:dyDescent="0.25">
      <c r="A416" t="s">
        <v>428</v>
      </c>
      <c r="B416" s="13">
        <v>45449</v>
      </c>
      <c r="C416" s="8">
        <v>45467</v>
      </c>
      <c r="D416" s="8">
        <f t="shared" si="54"/>
        <v>45467</v>
      </c>
      <c r="E416" s="6">
        <f t="shared" si="55"/>
        <v>18</v>
      </c>
      <c r="F416" s="6" t="str">
        <f t="shared" si="56"/>
        <v>Q2-2024</v>
      </c>
      <c r="G416" t="s">
        <v>647</v>
      </c>
      <c r="H416" t="s">
        <v>654</v>
      </c>
      <c r="I416" t="s">
        <v>668</v>
      </c>
      <c r="J416" t="s">
        <v>705</v>
      </c>
      <c r="K416" t="s">
        <v>711</v>
      </c>
      <c r="L416" t="s">
        <v>722</v>
      </c>
      <c r="M416" t="s">
        <v>729</v>
      </c>
      <c r="N416">
        <f t="shared" si="57"/>
        <v>0.28835088222008765</v>
      </c>
      <c r="O416" t="s">
        <v>1147</v>
      </c>
      <c r="P416" s="4">
        <v>1253.25</v>
      </c>
      <c r="Q416" s="4">
        <v>3087.13</v>
      </c>
      <c r="R416" s="4" t="str">
        <f t="shared" si="58"/>
        <v>Profit</v>
      </c>
      <c r="S416">
        <v>7.1999999999999995E-2</v>
      </c>
      <c r="T416" s="4">
        <v>11</v>
      </c>
      <c r="U416">
        <f t="shared" si="59"/>
        <v>31513.423040000001</v>
      </c>
      <c r="V416">
        <f t="shared" si="60"/>
        <v>13785.75</v>
      </c>
      <c r="W416">
        <f t="shared" si="61"/>
        <v>17727.673040000001</v>
      </c>
      <c r="X416">
        <f t="shared" si="62"/>
        <v>0.562543555408064</v>
      </c>
    </row>
    <row r="417" spans="1:24" x14ac:dyDescent="0.25">
      <c r="A417" t="s">
        <v>429</v>
      </c>
      <c r="B417" s="13">
        <v>45167</v>
      </c>
      <c r="C417" s="8">
        <v>45182</v>
      </c>
      <c r="D417" s="8">
        <f t="shared" si="54"/>
        <v>45182</v>
      </c>
      <c r="E417" s="6">
        <f t="shared" si="55"/>
        <v>15</v>
      </c>
      <c r="F417" s="6" t="str">
        <f t="shared" si="56"/>
        <v>Q3-2023</v>
      </c>
      <c r="G417" t="s">
        <v>648</v>
      </c>
      <c r="H417" t="s">
        <v>653</v>
      </c>
      <c r="I417" t="s">
        <v>688</v>
      </c>
      <c r="J417" t="s">
        <v>705</v>
      </c>
      <c r="K417" t="s">
        <v>709</v>
      </c>
      <c r="L417" t="s">
        <v>719</v>
      </c>
      <c r="M417" t="s">
        <v>728</v>
      </c>
      <c r="N417">
        <f t="shared" si="57"/>
        <v>0.168466175455319</v>
      </c>
      <c r="O417" t="s">
        <v>1148</v>
      </c>
      <c r="P417" s="4">
        <v>1287.6400000000001</v>
      </c>
      <c r="Q417" s="4">
        <v>2717.15</v>
      </c>
      <c r="R417" s="4" t="str">
        <f t="shared" si="58"/>
        <v>Profit</v>
      </c>
      <c r="S417">
        <v>3.2000000000000001E-2</v>
      </c>
      <c r="T417" s="4">
        <v>7</v>
      </c>
      <c r="U417">
        <f t="shared" si="59"/>
        <v>18411.4084</v>
      </c>
      <c r="V417">
        <f t="shared" si="60"/>
        <v>9013.4800000000014</v>
      </c>
      <c r="W417">
        <f t="shared" si="61"/>
        <v>9397.9283999999989</v>
      </c>
      <c r="X417">
        <f t="shared" si="62"/>
        <v>0.51044049405802105</v>
      </c>
    </row>
    <row r="418" spans="1:24" x14ac:dyDescent="0.25">
      <c r="A418" t="s">
        <v>430</v>
      </c>
      <c r="B418" s="13">
        <v>45626</v>
      </c>
      <c r="C418" s="8">
        <v>45636</v>
      </c>
      <c r="D418" s="8">
        <f t="shared" si="54"/>
        <v>45636</v>
      </c>
      <c r="E418" s="6">
        <f t="shared" si="55"/>
        <v>10</v>
      </c>
      <c r="F418" s="6" t="str">
        <f t="shared" si="56"/>
        <v>Q4-2024</v>
      </c>
      <c r="G418" t="s">
        <v>647</v>
      </c>
      <c r="H418" t="s">
        <v>654</v>
      </c>
      <c r="I418" t="s">
        <v>696</v>
      </c>
      <c r="J418" t="s">
        <v>705</v>
      </c>
      <c r="K418" t="s">
        <v>707</v>
      </c>
      <c r="L418" t="s">
        <v>721</v>
      </c>
      <c r="M418" t="s">
        <v>733</v>
      </c>
      <c r="N418">
        <f t="shared" si="57"/>
        <v>9.9677710552297225E-2</v>
      </c>
      <c r="O418" t="s">
        <v>1149</v>
      </c>
      <c r="P418" s="4">
        <v>851.49</v>
      </c>
      <c r="Q418" s="4">
        <v>901.79</v>
      </c>
      <c r="R418" s="4" t="str">
        <f t="shared" si="58"/>
        <v>Profit</v>
      </c>
      <c r="S418">
        <v>0.245</v>
      </c>
      <c r="T418" s="4">
        <v>16</v>
      </c>
      <c r="U418">
        <f t="shared" si="59"/>
        <v>10893.6232</v>
      </c>
      <c r="V418">
        <f t="shared" si="60"/>
        <v>13623.84</v>
      </c>
      <c r="W418">
        <f t="shared" si="61"/>
        <v>-2730.2168000000001</v>
      </c>
      <c r="X418">
        <f t="shared" si="62"/>
        <v>-0.25062522816100341</v>
      </c>
    </row>
    <row r="419" spans="1:24" x14ac:dyDescent="0.25">
      <c r="A419" t="s">
        <v>431</v>
      </c>
      <c r="B419" s="13">
        <v>45813</v>
      </c>
      <c r="C419" s="8">
        <v>45822</v>
      </c>
      <c r="D419" s="8">
        <f t="shared" si="54"/>
        <v>45822</v>
      </c>
      <c r="E419" s="6">
        <f t="shared" si="55"/>
        <v>9</v>
      </c>
      <c r="F419" s="6" t="str">
        <f t="shared" si="56"/>
        <v>Q2-2025</v>
      </c>
      <c r="G419" t="s">
        <v>647</v>
      </c>
      <c r="H419" t="s">
        <v>654</v>
      </c>
      <c r="I419" t="s">
        <v>680</v>
      </c>
      <c r="J419" t="s">
        <v>703</v>
      </c>
      <c r="K419" t="s">
        <v>707</v>
      </c>
      <c r="L419" t="s">
        <v>720</v>
      </c>
      <c r="M419" t="s">
        <v>733</v>
      </c>
      <c r="N419">
        <f t="shared" si="57"/>
        <v>7.2921346926583294E-2</v>
      </c>
      <c r="O419" t="s">
        <v>1150</v>
      </c>
      <c r="P419" s="4">
        <v>618.69000000000005</v>
      </c>
      <c r="Q419" s="4">
        <v>796.15</v>
      </c>
      <c r="R419" s="4" t="str">
        <f t="shared" si="58"/>
        <v>Profit</v>
      </c>
      <c r="S419">
        <v>0.09</v>
      </c>
      <c r="T419" s="4">
        <v>11</v>
      </c>
      <c r="U419">
        <f t="shared" si="59"/>
        <v>7969.4615000000003</v>
      </c>
      <c r="V419">
        <f t="shared" si="60"/>
        <v>6805.59</v>
      </c>
      <c r="W419">
        <f t="shared" si="61"/>
        <v>1163.8715000000002</v>
      </c>
      <c r="X419">
        <f t="shared" si="62"/>
        <v>0.14604142325049191</v>
      </c>
    </row>
    <row r="420" spans="1:24" x14ac:dyDescent="0.25">
      <c r="A420" t="s">
        <v>432</v>
      </c>
      <c r="B420" s="13">
        <v>45730</v>
      </c>
      <c r="C420" s="8">
        <v>45755</v>
      </c>
      <c r="D420" s="8">
        <f t="shared" si="54"/>
        <v>45755</v>
      </c>
      <c r="E420" s="6">
        <f t="shared" si="55"/>
        <v>25</v>
      </c>
      <c r="F420" s="6" t="str">
        <f t="shared" si="56"/>
        <v>Q1-2025</v>
      </c>
      <c r="G420" t="s">
        <v>647</v>
      </c>
      <c r="H420" t="s">
        <v>659</v>
      </c>
      <c r="I420" t="s">
        <v>1422</v>
      </c>
      <c r="J420" t="s">
        <v>701</v>
      </c>
      <c r="K420" t="s">
        <v>710</v>
      </c>
      <c r="L420" t="s">
        <v>726</v>
      </c>
      <c r="M420" t="s">
        <v>728</v>
      </c>
      <c r="N420">
        <f t="shared" si="57"/>
        <v>6.7842330217966363E-3</v>
      </c>
      <c r="O420" t="s">
        <v>1151</v>
      </c>
      <c r="P420" s="4">
        <v>80.59</v>
      </c>
      <c r="Q420" s="4">
        <v>157.82</v>
      </c>
      <c r="R420" s="4" t="str">
        <f t="shared" si="58"/>
        <v>Profit</v>
      </c>
      <c r="S420">
        <v>0.217</v>
      </c>
      <c r="T420" s="4">
        <v>6</v>
      </c>
      <c r="U420">
        <f t="shared" si="59"/>
        <v>741.43835999999999</v>
      </c>
      <c r="V420">
        <f t="shared" si="60"/>
        <v>483.54</v>
      </c>
      <c r="W420">
        <f t="shared" si="61"/>
        <v>257.89835999999997</v>
      </c>
      <c r="X420">
        <f t="shared" si="62"/>
        <v>0.34783519967863541</v>
      </c>
    </row>
    <row r="421" spans="1:24" x14ac:dyDescent="0.25">
      <c r="A421" t="s">
        <v>433</v>
      </c>
      <c r="B421" s="13">
        <v>45307</v>
      </c>
      <c r="C421" s="8">
        <v>45333</v>
      </c>
      <c r="D421" s="8">
        <f t="shared" si="54"/>
        <v>45333</v>
      </c>
      <c r="E421" s="6">
        <f t="shared" si="55"/>
        <v>26</v>
      </c>
      <c r="F421" s="6" t="str">
        <f t="shared" si="56"/>
        <v>Q1-2024</v>
      </c>
      <c r="G421" t="s">
        <v>649</v>
      </c>
      <c r="H421" t="s">
        <v>656</v>
      </c>
      <c r="I421" t="s">
        <v>698</v>
      </c>
      <c r="J421" t="s">
        <v>703</v>
      </c>
      <c r="K421" t="s">
        <v>710</v>
      </c>
      <c r="L421" t="s">
        <v>718</v>
      </c>
      <c r="M421" t="s">
        <v>732</v>
      </c>
      <c r="N421">
        <f t="shared" si="57"/>
        <v>8.7010896179485861E-2</v>
      </c>
      <c r="O421" t="s">
        <v>1152</v>
      </c>
      <c r="P421" s="4">
        <v>504.93</v>
      </c>
      <c r="Q421" s="4">
        <v>819.06</v>
      </c>
      <c r="R421" s="4" t="str">
        <f t="shared" si="58"/>
        <v>Profit</v>
      </c>
      <c r="S421">
        <v>0.22600000000000001</v>
      </c>
      <c r="T421" s="4">
        <v>15</v>
      </c>
      <c r="U421">
        <f t="shared" si="59"/>
        <v>9509.2865999999995</v>
      </c>
      <c r="V421">
        <f t="shared" si="60"/>
        <v>7573.95</v>
      </c>
      <c r="W421">
        <f t="shared" si="61"/>
        <v>1935.3365999999996</v>
      </c>
      <c r="X421">
        <f t="shared" si="62"/>
        <v>0.20352069312959814</v>
      </c>
    </row>
    <row r="422" spans="1:24" x14ac:dyDescent="0.25">
      <c r="A422" t="s">
        <v>434</v>
      </c>
      <c r="B422" s="13">
        <v>45211</v>
      </c>
      <c r="C422" s="8">
        <v>45228</v>
      </c>
      <c r="D422" s="8">
        <f t="shared" si="54"/>
        <v>45228</v>
      </c>
      <c r="E422" s="6">
        <f t="shared" si="55"/>
        <v>17</v>
      </c>
      <c r="F422" s="6" t="str">
        <f t="shared" si="56"/>
        <v>Q4-2023</v>
      </c>
      <c r="G422" t="s">
        <v>647</v>
      </c>
      <c r="H422" t="s">
        <v>652</v>
      </c>
      <c r="I422" t="s">
        <v>694</v>
      </c>
      <c r="J422" t="s">
        <v>703</v>
      </c>
      <c r="K422" t="s">
        <v>711</v>
      </c>
      <c r="L422" t="s">
        <v>722</v>
      </c>
      <c r="M422" t="s">
        <v>730</v>
      </c>
      <c r="N422">
        <f t="shared" si="57"/>
        <v>0.13293030917314996</v>
      </c>
      <c r="O422" t="s">
        <v>1153</v>
      </c>
      <c r="P422" s="4">
        <v>1102.19</v>
      </c>
      <c r="Q422" s="4">
        <v>1711.16</v>
      </c>
      <c r="R422" s="4" t="str">
        <f t="shared" si="58"/>
        <v>Profit</v>
      </c>
      <c r="S422">
        <v>0.151</v>
      </c>
      <c r="T422" s="4">
        <v>10</v>
      </c>
      <c r="U422">
        <f t="shared" si="59"/>
        <v>14527.748400000002</v>
      </c>
      <c r="V422">
        <f t="shared" si="60"/>
        <v>11021.900000000001</v>
      </c>
      <c r="W422">
        <f t="shared" si="61"/>
        <v>3505.8484000000008</v>
      </c>
      <c r="X422">
        <f t="shared" si="62"/>
        <v>0.24132083675127525</v>
      </c>
    </row>
    <row r="423" spans="1:24" x14ac:dyDescent="0.25">
      <c r="A423" t="s">
        <v>435</v>
      </c>
      <c r="B423" s="13">
        <v>45713</v>
      </c>
      <c r="C423" s="8">
        <v>45733</v>
      </c>
      <c r="D423" s="8">
        <f t="shared" si="54"/>
        <v>45733</v>
      </c>
      <c r="E423" s="6">
        <f t="shared" si="55"/>
        <v>20</v>
      </c>
      <c r="F423" s="6" t="str">
        <f t="shared" si="56"/>
        <v>Q1-2025</v>
      </c>
      <c r="G423" t="s">
        <v>648</v>
      </c>
      <c r="H423" t="s">
        <v>660</v>
      </c>
      <c r="I423" t="s">
        <v>686</v>
      </c>
      <c r="J423" t="s">
        <v>703</v>
      </c>
      <c r="K423" t="s">
        <v>709</v>
      </c>
      <c r="L423" t="s">
        <v>722</v>
      </c>
      <c r="M423" t="s">
        <v>730</v>
      </c>
      <c r="N423">
        <f t="shared" si="57"/>
        <v>9.1361122290576538E-2</v>
      </c>
      <c r="O423" t="s">
        <v>1154</v>
      </c>
      <c r="P423" s="4">
        <v>1205.26</v>
      </c>
      <c r="Q423" s="4">
        <v>1696.35</v>
      </c>
      <c r="R423" s="4" t="str">
        <f t="shared" si="58"/>
        <v>Profit</v>
      </c>
      <c r="S423">
        <v>1.9E-2</v>
      </c>
      <c r="T423" s="4">
        <v>6</v>
      </c>
      <c r="U423">
        <f t="shared" si="59"/>
        <v>9984.7160999999978</v>
      </c>
      <c r="V423">
        <f t="shared" si="60"/>
        <v>7231.5599999999995</v>
      </c>
      <c r="W423">
        <f t="shared" si="61"/>
        <v>2753.1560999999983</v>
      </c>
      <c r="X423">
        <f t="shared" si="62"/>
        <v>0.27573704374028213</v>
      </c>
    </row>
    <row r="424" spans="1:24" x14ac:dyDescent="0.25">
      <c r="A424" t="s">
        <v>436</v>
      </c>
      <c r="B424" s="13">
        <v>45841</v>
      </c>
      <c r="C424" s="8">
        <v>45844</v>
      </c>
      <c r="D424" s="8">
        <f t="shared" si="54"/>
        <v>45844</v>
      </c>
      <c r="E424" s="6">
        <f t="shared" si="55"/>
        <v>3</v>
      </c>
      <c r="F424" s="6" t="str">
        <f t="shared" si="56"/>
        <v>Q3-2025</v>
      </c>
      <c r="G424" t="s">
        <v>646</v>
      </c>
      <c r="H424" t="s">
        <v>651</v>
      </c>
      <c r="I424" t="s">
        <v>665</v>
      </c>
      <c r="J424" t="s">
        <v>704</v>
      </c>
      <c r="K424" t="s">
        <v>708</v>
      </c>
      <c r="L424" t="s">
        <v>1422</v>
      </c>
      <c r="M424" t="s">
        <v>731</v>
      </c>
      <c r="N424">
        <f t="shared" si="57"/>
        <v>0.93443484050486936</v>
      </c>
      <c r="O424" t="s">
        <v>1155</v>
      </c>
      <c r="P424" s="4">
        <v>1313.3</v>
      </c>
      <c r="Q424" s="4">
        <v>2884.34</v>
      </c>
      <c r="R424" s="4" t="str">
        <f t="shared" si="58"/>
        <v>Profit</v>
      </c>
      <c r="S424">
        <v>0.157</v>
      </c>
      <c r="T424" s="4">
        <v>42</v>
      </c>
      <c r="U424">
        <f t="shared" si="59"/>
        <v>102122.94203999999</v>
      </c>
      <c r="V424">
        <f t="shared" si="60"/>
        <v>55158.6</v>
      </c>
      <c r="W424">
        <f t="shared" si="61"/>
        <v>46964.342039999996</v>
      </c>
      <c r="X424">
        <f t="shared" si="62"/>
        <v>0.45988042551305253</v>
      </c>
    </row>
    <row r="425" spans="1:24" x14ac:dyDescent="0.25">
      <c r="A425" t="s">
        <v>437</v>
      </c>
      <c r="B425" s="13">
        <v>45915</v>
      </c>
      <c r="C425" s="8">
        <v>45925</v>
      </c>
      <c r="D425" s="8">
        <f t="shared" si="54"/>
        <v>45925</v>
      </c>
      <c r="E425" s="6">
        <f t="shared" si="55"/>
        <v>10</v>
      </c>
      <c r="F425" s="6" t="str">
        <f t="shared" si="56"/>
        <v>Q3-2025</v>
      </c>
      <c r="G425" t="s">
        <v>647</v>
      </c>
      <c r="H425" t="s">
        <v>654</v>
      </c>
      <c r="I425" t="s">
        <v>680</v>
      </c>
      <c r="J425" t="s">
        <v>704</v>
      </c>
      <c r="K425" t="s">
        <v>707</v>
      </c>
      <c r="L425" t="s">
        <v>720</v>
      </c>
      <c r="M425" t="s">
        <v>730</v>
      </c>
      <c r="N425">
        <f t="shared" si="57"/>
        <v>0.27109285910468739</v>
      </c>
      <c r="O425" t="s">
        <v>1156</v>
      </c>
      <c r="P425" s="4">
        <v>1488.91</v>
      </c>
      <c r="Q425" s="4">
        <v>1483.74</v>
      </c>
      <c r="R425" s="4" t="str">
        <f t="shared" si="58"/>
        <v>Loss</v>
      </c>
      <c r="S425">
        <v>0.16800000000000001</v>
      </c>
      <c r="T425" s="4">
        <v>24</v>
      </c>
      <c r="U425">
        <f t="shared" si="59"/>
        <v>29627.320319999999</v>
      </c>
      <c r="V425">
        <f t="shared" si="60"/>
        <v>35733.840000000004</v>
      </c>
      <c r="W425">
        <f t="shared" si="61"/>
        <v>-6106.5196800000049</v>
      </c>
      <c r="X425">
        <f t="shared" si="62"/>
        <v>-0.20611110333450519</v>
      </c>
    </row>
    <row r="426" spans="1:24" x14ac:dyDescent="0.25">
      <c r="A426" t="s">
        <v>438</v>
      </c>
      <c r="B426" s="13">
        <v>45341</v>
      </c>
      <c r="C426" s="8">
        <v>45357</v>
      </c>
      <c r="D426" s="8">
        <f t="shared" si="54"/>
        <v>45357</v>
      </c>
      <c r="E426" s="6">
        <f t="shared" si="55"/>
        <v>16</v>
      </c>
      <c r="F426" s="6" t="str">
        <f t="shared" si="56"/>
        <v>Q1-2024</v>
      </c>
      <c r="G426" t="s">
        <v>647</v>
      </c>
      <c r="H426" t="s">
        <v>659</v>
      </c>
      <c r="I426" t="s">
        <v>699</v>
      </c>
      <c r="J426" t="s">
        <v>702</v>
      </c>
      <c r="K426" t="s">
        <v>709</v>
      </c>
      <c r="L426" t="s">
        <v>719</v>
      </c>
      <c r="M426" t="s">
        <v>728</v>
      </c>
      <c r="N426">
        <f t="shared" si="57"/>
        <v>0.53154410325598467</v>
      </c>
      <c r="O426" t="s">
        <v>1157</v>
      </c>
      <c r="P426" s="4">
        <v>1477.84</v>
      </c>
      <c r="Q426" s="4">
        <v>3197.47</v>
      </c>
      <c r="R426" s="4" t="str">
        <f t="shared" si="58"/>
        <v>Profit</v>
      </c>
      <c r="S426">
        <v>0.24299999999999999</v>
      </c>
      <c r="T426" s="4">
        <v>24</v>
      </c>
      <c r="U426">
        <f t="shared" si="59"/>
        <v>58091.634960000003</v>
      </c>
      <c r="V426">
        <f t="shared" si="60"/>
        <v>35468.159999999996</v>
      </c>
      <c r="W426">
        <f t="shared" si="61"/>
        <v>22623.474960000007</v>
      </c>
      <c r="X426">
        <f t="shared" si="62"/>
        <v>0.38944462443823091</v>
      </c>
    </row>
    <row r="427" spans="1:24" x14ac:dyDescent="0.25">
      <c r="A427" t="s">
        <v>439</v>
      </c>
      <c r="B427" s="13">
        <v>45349</v>
      </c>
      <c r="C427" s="8">
        <v>45377</v>
      </c>
      <c r="D427" s="8">
        <f t="shared" si="54"/>
        <v>45377</v>
      </c>
      <c r="E427" s="6">
        <f t="shared" si="55"/>
        <v>28</v>
      </c>
      <c r="F427" s="6" t="str">
        <f t="shared" si="56"/>
        <v>Q1-2024</v>
      </c>
      <c r="G427" t="s">
        <v>647</v>
      </c>
      <c r="H427" t="s">
        <v>654</v>
      </c>
      <c r="I427" t="s">
        <v>691</v>
      </c>
      <c r="J427" t="s">
        <v>702</v>
      </c>
      <c r="K427" t="s">
        <v>709</v>
      </c>
      <c r="L427" t="s">
        <v>715</v>
      </c>
      <c r="M427" t="s">
        <v>731</v>
      </c>
      <c r="N427">
        <f t="shared" si="57"/>
        <v>0.14060938912148291</v>
      </c>
      <c r="O427" t="s">
        <v>1158</v>
      </c>
      <c r="P427" s="4">
        <v>1035.19</v>
      </c>
      <c r="Q427" s="4">
        <v>2322.6999999999998</v>
      </c>
      <c r="R427" s="4" t="str">
        <f t="shared" si="58"/>
        <v>Profit</v>
      </c>
      <c r="S427">
        <v>0.17299999999999999</v>
      </c>
      <c r="T427" s="4">
        <v>8</v>
      </c>
      <c r="U427">
        <f t="shared" si="59"/>
        <v>15366.983199999999</v>
      </c>
      <c r="V427">
        <f t="shared" si="60"/>
        <v>8281.52</v>
      </c>
      <c r="W427">
        <f t="shared" si="61"/>
        <v>7085.4631999999983</v>
      </c>
      <c r="X427">
        <f t="shared" si="62"/>
        <v>0.46108355217047409</v>
      </c>
    </row>
    <row r="428" spans="1:24" x14ac:dyDescent="0.25">
      <c r="A428" t="s">
        <v>440</v>
      </c>
      <c r="B428" s="13">
        <v>45897</v>
      </c>
      <c r="C428" s="8">
        <v>45905</v>
      </c>
      <c r="D428" s="8">
        <f t="shared" si="54"/>
        <v>45905</v>
      </c>
      <c r="E428" s="6">
        <f t="shared" si="55"/>
        <v>8</v>
      </c>
      <c r="F428" s="6" t="str">
        <f t="shared" si="56"/>
        <v>Q3-2025</v>
      </c>
      <c r="G428" t="s">
        <v>646</v>
      </c>
      <c r="H428" t="s">
        <v>651</v>
      </c>
      <c r="I428" t="s">
        <v>663</v>
      </c>
      <c r="J428" t="s">
        <v>705</v>
      </c>
      <c r="K428" t="s">
        <v>709</v>
      </c>
      <c r="L428" t="s">
        <v>718</v>
      </c>
      <c r="M428" t="s">
        <v>731</v>
      </c>
      <c r="N428">
        <f t="shared" si="57"/>
        <v>0.2784888339493104</v>
      </c>
      <c r="O428" t="s">
        <v>1159</v>
      </c>
      <c r="P428" s="4">
        <v>1271.0999999999999</v>
      </c>
      <c r="Q428" s="4">
        <v>1932.42</v>
      </c>
      <c r="R428" s="4" t="str">
        <f t="shared" si="58"/>
        <v>Profit</v>
      </c>
      <c r="S428">
        <v>0.25</v>
      </c>
      <c r="T428" s="4">
        <v>21</v>
      </c>
      <c r="U428">
        <f t="shared" si="59"/>
        <v>30435.614999999998</v>
      </c>
      <c r="V428">
        <f t="shared" si="60"/>
        <v>26693.1</v>
      </c>
      <c r="W428">
        <f t="shared" si="61"/>
        <v>3742.5149999999994</v>
      </c>
      <c r="X428">
        <f t="shared" si="62"/>
        <v>0.12296498690760807</v>
      </c>
    </row>
    <row r="429" spans="1:24" x14ac:dyDescent="0.25">
      <c r="A429" t="s">
        <v>441</v>
      </c>
      <c r="B429" s="13">
        <v>45522</v>
      </c>
      <c r="C429" s="8">
        <v>45547</v>
      </c>
      <c r="D429" s="8">
        <f t="shared" si="54"/>
        <v>45547</v>
      </c>
      <c r="E429" s="6">
        <f t="shared" si="55"/>
        <v>25</v>
      </c>
      <c r="F429" s="6" t="str">
        <f t="shared" si="56"/>
        <v>Q3-2024</v>
      </c>
      <c r="G429" t="s">
        <v>647</v>
      </c>
      <c r="H429" t="s">
        <v>654</v>
      </c>
      <c r="I429" t="s">
        <v>691</v>
      </c>
      <c r="J429" t="s">
        <v>704</v>
      </c>
      <c r="K429" t="s">
        <v>709</v>
      </c>
      <c r="L429" t="s">
        <v>712</v>
      </c>
      <c r="M429" t="s">
        <v>730</v>
      </c>
      <c r="N429">
        <f t="shared" si="57"/>
        <v>0.17968746004302699</v>
      </c>
      <c r="O429" t="s">
        <v>1160</v>
      </c>
      <c r="P429" s="4">
        <v>1154.03</v>
      </c>
      <c r="Q429" s="4">
        <v>1590.36</v>
      </c>
      <c r="R429" s="4" t="str">
        <f t="shared" si="58"/>
        <v>Profit</v>
      </c>
      <c r="S429">
        <v>0.314</v>
      </c>
      <c r="T429" s="4">
        <v>18</v>
      </c>
      <c r="U429">
        <f t="shared" si="59"/>
        <v>19637.76528</v>
      </c>
      <c r="V429">
        <f t="shared" si="60"/>
        <v>20772.54</v>
      </c>
      <c r="W429">
        <f t="shared" si="61"/>
        <v>-1134.7747200000013</v>
      </c>
      <c r="X429">
        <f t="shared" si="62"/>
        <v>-5.7785328616576745E-2</v>
      </c>
    </row>
    <row r="430" spans="1:24" x14ac:dyDescent="0.25">
      <c r="A430" t="s">
        <v>442</v>
      </c>
      <c r="B430" s="13">
        <v>45347</v>
      </c>
      <c r="C430" s="8">
        <v>45360</v>
      </c>
      <c r="D430" s="8">
        <f t="shared" si="54"/>
        <v>45360</v>
      </c>
      <c r="E430" s="6">
        <f t="shared" si="55"/>
        <v>13</v>
      </c>
      <c r="F430" s="6" t="str">
        <f t="shared" si="56"/>
        <v>Q1-2024</v>
      </c>
      <c r="G430" t="s">
        <v>649</v>
      </c>
      <c r="H430" t="s">
        <v>657</v>
      </c>
      <c r="I430" t="s">
        <v>673</v>
      </c>
      <c r="J430" t="s">
        <v>705</v>
      </c>
      <c r="K430" t="s">
        <v>710</v>
      </c>
      <c r="L430" t="s">
        <v>718</v>
      </c>
      <c r="M430" t="s">
        <v>732</v>
      </c>
      <c r="N430">
        <f t="shared" si="57"/>
        <v>0.12307557768605455</v>
      </c>
      <c r="O430" t="s">
        <v>1161</v>
      </c>
      <c r="P430" s="4">
        <v>322.44</v>
      </c>
      <c r="Q430" s="4">
        <v>395.61</v>
      </c>
      <c r="R430" s="4" t="str">
        <f t="shared" si="58"/>
        <v>Profit</v>
      </c>
      <c r="S430">
        <v>0</v>
      </c>
      <c r="T430" s="4">
        <v>34</v>
      </c>
      <c r="U430">
        <f t="shared" si="59"/>
        <v>13450.74</v>
      </c>
      <c r="V430">
        <f t="shared" si="60"/>
        <v>10962.96</v>
      </c>
      <c r="W430">
        <f t="shared" si="61"/>
        <v>2487.7800000000007</v>
      </c>
      <c r="X430">
        <f t="shared" si="62"/>
        <v>0.18495487980586947</v>
      </c>
    </row>
    <row r="431" spans="1:24" x14ac:dyDescent="0.25">
      <c r="A431" t="s">
        <v>443</v>
      </c>
      <c r="B431" s="13">
        <v>45784</v>
      </c>
      <c r="C431" s="8">
        <v>45790</v>
      </c>
      <c r="D431" s="8">
        <f t="shared" si="54"/>
        <v>45790</v>
      </c>
      <c r="E431" s="6">
        <f t="shared" si="55"/>
        <v>6</v>
      </c>
      <c r="F431" s="6" t="str">
        <f t="shared" si="56"/>
        <v>Q2-2025</v>
      </c>
      <c r="G431" t="s">
        <v>647</v>
      </c>
      <c r="H431" t="s">
        <v>654</v>
      </c>
      <c r="I431" t="s">
        <v>668</v>
      </c>
      <c r="J431" t="s">
        <v>706</v>
      </c>
      <c r="K431" t="s">
        <v>711</v>
      </c>
      <c r="L431" t="s">
        <v>713</v>
      </c>
      <c r="M431" t="s">
        <v>730</v>
      </c>
      <c r="N431">
        <f t="shared" si="57"/>
        <v>0.37641909371902704</v>
      </c>
      <c r="O431" t="s">
        <v>1162</v>
      </c>
      <c r="P431" s="4">
        <v>935.98</v>
      </c>
      <c r="Q431" s="4">
        <v>2077.69</v>
      </c>
      <c r="R431" s="4" t="str">
        <f t="shared" si="58"/>
        <v>Profit</v>
      </c>
      <c r="S431">
        <v>0.17499999999999999</v>
      </c>
      <c r="T431" s="4">
        <v>24</v>
      </c>
      <c r="U431">
        <f t="shared" si="59"/>
        <v>41138.261999999995</v>
      </c>
      <c r="V431">
        <f t="shared" si="60"/>
        <v>22463.52</v>
      </c>
      <c r="W431">
        <f t="shared" si="61"/>
        <v>18674.741999999995</v>
      </c>
      <c r="X431">
        <f t="shared" si="62"/>
        <v>0.45395067978321491</v>
      </c>
    </row>
    <row r="432" spans="1:24" x14ac:dyDescent="0.25">
      <c r="A432" t="s">
        <v>444</v>
      </c>
      <c r="B432" s="13">
        <v>45597</v>
      </c>
      <c r="C432" s="8">
        <v>45608</v>
      </c>
      <c r="D432" s="8">
        <f t="shared" si="54"/>
        <v>45608</v>
      </c>
      <c r="E432" s="6">
        <f t="shared" si="55"/>
        <v>11</v>
      </c>
      <c r="F432" s="6" t="str">
        <f t="shared" si="56"/>
        <v>Q4-2024</v>
      </c>
      <c r="G432" t="s">
        <v>649</v>
      </c>
      <c r="H432" t="s">
        <v>656</v>
      </c>
      <c r="I432" t="s">
        <v>698</v>
      </c>
      <c r="J432" t="s">
        <v>704</v>
      </c>
      <c r="K432" t="s">
        <v>708</v>
      </c>
      <c r="L432" t="s">
        <v>717</v>
      </c>
      <c r="M432" t="s">
        <v>728</v>
      </c>
      <c r="N432">
        <f t="shared" si="57"/>
        <v>0.11854705506950049</v>
      </c>
      <c r="O432" t="s">
        <v>1163</v>
      </c>
      <c r="P432" s="4">
        <v>599.84</v>
      </c>
      <c r="Q432" s="4">
        <v>1330.85</v>
      </c>
      <c r="R432" s="4" t="str">
        <f t="shared" si="58"/>
        <v>Profit</v>
      </c>
      <c r="S432">
        <v>0.115</v>
      </c>
      <c r="T432" s="4">
        <v>11</v>
      </c>
      <c r="U432">
        <f t="shared" si="59"/>
        <v>12955.824749999998</v>
      </c>
      <c r="V432">
        <f t="shared" si="60"/>
        <v>6598.2400000000007</v>
      </c>
      <c r="W432">
        <f t="shared" si="61"/>
        <v>6357.5847499999973</v>
      </c>
      <c r="X432">
        <f t="shared" si="62"/>
        <v>0.49071246892252063</v>
      </c>
    </row>
    <row r="433" spans="1:24" x14ac:dyDescent="0.25">
      <c r="A433" t="s">
        <v>445</v>
      </c>
      <c r="B433" s="13">
        <v>45654</v>
      </c>
      <c r="C433" s="8">
        <v>45665</v>
      </c>
      <c r="D433" s="8">
        <f t="shared" si="54"/>
        <v>45665</v>
      </c>
      <c r="E433" s="6">
        <f t="shared" si="55"/>
        <v>11</v>
      </c>
      <c r="F433" s="6" t="str">
        <f t="shared" si="56"/>
        <v>Q4-2024</v>
      </c>
      <c r="G433" t="s">
        <v>647</v>
      </c>
      <c r="H433" t="s">
        <v>659</v>
      </c>
      <c r="I433" t="s">
        <v>676</v>
      </c>
      <c r="J433" t="s">
        <v>706</v>
      </c>
      <c r="K433" t="s">
        <v>708</v>
      </c>
      <c r="L433" t="s">
        <v>723</v>
      </c>
      <c r="M433" t="s">
        <v>731</v>
      </c>
      <c r="N433">
        <f t="shared" si="57"/>
        <v>0.53123313757048063</v>
      </c>
      <c r="O433" t="s">
        <v>1164</v>
      </c>
      <c r="P433" s="4">
        <v>1201.31</v>
      </c>
      <c r="Q433" s="4">
        <v>2764.65</v>
      </c>
      <c r="R433" s="4" t="str">
        <f t="shared" si="58"/>
        <v>Profit</v>
      </c>
      <c r="S433">
        <v>0</v>
      </c>
      <c r="T433" s="4">
        <v>21</v>
      </c>
      <c r="U433">
        <f t="shared" si="59"/>
        <v>58057.65</v>
      </c>
      <c r="V433">
        <f t="shared" si="60"/>
        <v>25227.51</v>
      </c>
      <c r="W433">
        <f t="shared" si="61"/>
        <v>32830.14</v>
      </c>
      <c r="X433">
        <f t="shared" si="62"/>
        <v>0.56547483406579491</v>
      </c>
    </row>
    <row r="434" spans="1:24" x14ac:dyDescent="0.25">
      <c r="A434" t="s">
        <v>446</v>
      </c>
      <c r="B434" s="13">
        <v>45220</v>
      </c>
      <c r="C434" s="8">
        <v>45220</v>
      </c>
      <c r="D434" s="8">
        <f t="shared" si="54"/>
        <v>45220</v>
      </c>
      <c r="E434" s="6">
        <f t="shared" si="55"/>
        <v>0</v>
      </c>
      <c r="F434" s="6" t="str">
        <f t="shared" si="56"/>
        <v>Q4-2023</v>
      </c>
      <c r="G434" t="s">
        <v>649</v>
      </c>
      <c r="H434" t="s">
        <v>658</v>
      </c>
      <c r="I434" t="s">
        <v>693</v>
      </c>
      <c r="J434" t="s">
        <v>706</v>
      </c>
      <c r="K434" t="s">
        <v>710</v>
      </c>
      <c r="L434" t="s">
        <v>713</v>
      </c>
      <c r="M434" t="s">
        <v>732</v>
      </c>
      <c r="N434">
        <f t="shared" si="57"/>
        <v>2.4043014863252235E-2</v>
      </c>
      <c r="O434" t="s">
        <v>1165</v>
      </c>
      <c r="P434" s="4">
        <v>384.19</v>
      </c>
      <c r="Q434" s="4">
        <v>278.35000000000002</v>
      </c>
      <c r="R434" s="4" t="str">
        <f t="shared" si="58"/>
        <v>Loss</v>
      </c>
      <c r="S434">
        <v>5.6000000000000001E-2</v>
      </c>
      <c r="T434" s="4">
        <v>10</v>
      </c>
      <c r="U434">
        <f t="shared" si="59"/>
        <v>2627.6239999999998</v>
      </c>
      <c r="V434">
        <f t="shared" si="60"/>
        <v>3841.9</v>
      </c>
      <c r="W434">
        <f t="shared" si="61"/>
        <v>-1214.2760000000003</v>
      </c>
      <c r="X434">
        <f t="shared" si="62"/>
        <v>-0.46211938998882657</v>
      </c>
    </row>
    <row r="435" spans="1:24" x14ac:dyDescent="0.25">
      <c r="A435" t="s">
        <v>447</v>
      </c>
      <c r="B435" s="13">
        <v>45636</v>
      </c>
      <c r="C435" s="8">
        <v>45645</v>
      </c>
      <c r="D435" s="8">
        <f t="shared" si="54"/>
        <v>45645</v>
      </c>
      <c r="E435" s="6">
        <f t="shared" si="55"/>
        <v>9</v>
      </c>
      <c r="F435" s="6" t="str">
        <f t="shared" si="56"/>
        <v>Q4-2024</v>
      </c>
      <c r="G435" t="s">
        <v>646</v>
      </c>
      <c r="H435" t="s">
        <v>651</v>
      </c>
      <c r="I435" t="s">
        <v>665</v>
      </c>
      <c r="J435" t="s">
        <v>701</v>
      </c>
      <c r="K435" t="s">
        <v>707</v>
      </c>
      <c r="L435" t="s">
        <v>719</v>
      </c>
      <c r="M435" t="s">
        <v>732</v>
      </c>
      <c r="N435">
        <f t="shared" si="57"/>
        <v>0.11865808134175983</v>
      </c>
      <c r="O435" t="s">
        <v>1166</v>
      </c>
      <c r="P435" s="4">
        <v>488.68</v>
      </c>
      <c r="Q435" s="4">
        <v>984.36</v>
      </c>
      <c r="R435" s="4" t="str">
        <f t="shared" si="58"/>
        <v>Profit</v>
      </c>
      <c r="S435">
        <v>5.8999999999999997E-2</v>
      </c>
      <c r="T435" s="4">
        <v>14</v>
      </c>
      <c r="U435">
        <f t="shared" si="59"/>
        <v>12967.958640000001</v>
      </c>
      <c r="V435">
        <f t="shared" si="60"/>
        <v>6841.52</v>
      </c>
      <c r="W435">
        <f t="shared" si="61"/>
        <v>6126.4386400000003</v>
      </c>
      <c r="X435">
        <f t="shared" si="62"/>
        <v>0.47242891576649876</v>
      </c>
    </row>
    <row r="436" spans="1:24" x14ac:dyDescent="0.25">
      <c r="A436" t="s">
        <v>448</v>
      </c>
      <c r="B436" s="13">
        <v>45542</v>
      </c>
      <c r="C436" s="8">
        <v>45553</v>
      </c>
      <c r="D436" s="8">
        <f t="shared" si="54"/>
        <v>45553</v>
      </c>
      <c r="E436" s="6">
        <f t="shared" si="55"/>
        <v>11</v>
      </c>
      <c r="F436" s="6" t="str">
        <f t="shared" si="56"/>
        <v>Q3-2024</v>
      </c>
      <c r="G436" t="s">
        <v>647</v>
      </c>
      <c r="H436" t="s">
        <v>659</v>
      </c>
      <c r="I436" t="s">
        <v>699</v>
      </c>
      <c r="J436" t="s">
        <v>704</v>
      </c>
      <c r="K436" t="s">
        <v>710</v>
      </c>
      <c r="L436" t="s">
        <v>719</v>
      </c>
      <c r="M436" t="s">
        <v>729</v>
      </c>
      <c r="N436">
        <f t="shared" si="57"/>
        <v>1.784271798307073E-2</v>
      </c>
      <c r="O436" t="s">
        <v>1167</v>
      </c>
      <c r="P436" s="4">
        <v>181.74</v>
      </c>
      <c r="Q436" s="4">
        <v>190.84</v>
      </c>
      <c r="R436" s="4" t="str">
        <f t="shared" si="58"/>
        <v>Profit</v>
      </c>
      <c r="S436">
        <v>0.214</v>
      </c>
      <c r="T436" s="4">
        <v>13</v>
      </c>
      <c r="U436">
        <f t="shared" si="59"/>
        <v>1950.0031200000001</v>
      </c>
      <c r="V436">
        <f t="shared" si="60"/>
        <v>2362.62</v>
      </c>
      <c r="W436">
        <f t="shared" si="61"/>
        <v>-412.61687999999981</v>
      </c>
      <c r="X436">
        <f t="shared" si="62"/>
        <v>-0.21159806144310159</v>
      </c>
    </row>
    <row r="437" spans="1:24" x14ac:dyDescent="0.25">
      <c r="A437" t="s">
        <v>449</v>
      </c>
      <c r="B437" s="13">
        <v>45217</v>
      </c>
      <c r="C437" s="8">
        <v>45219</v>
      </c>
      <c r="D437" s="8">
        <f t="shared" si="54"/>
        <v>45219</v>
      </c>
      <c r="E437" s="6">
        <f t="shared" si="55"/>
        <v>2</v>
      </c>
      <c r="F437" s="6" t="str">
        <f t="shared" si="56"/>
        <v>Q4-2023</v>
      </c>
      <c r="G437" t="s">
        <v>646</v>
      </c>
      <c r="H437" t="s">
        <v>650</v>
      </c>
      <c r="I437" t="s">
        <v>662</v>
      </c>
      <c r="J437" t="s">
        <v>704</v>
      </c>
      <c r="K437" t="s">
        <v>707</v>
      </c>
      <c r="L437" t="s">
        <v>713</v>
      </c>
      <c r="M437" t="s">
        <v>730</v>
      </c>
      <c r="N437">
        <f t="shared" si="57"/>
        <v>0.24933099713229909</v>
      </c>
      <c r="O437" t="s">
        <v>1168</v>
      </c>
      <c r="P437" s="4">
        <v>774.12</v>
      </c>
      <c r="Q437" s="4">
        <v>908.3</v>
      </c>
      <c r="R437" s="4" t="str">
        <f t="shared" si="58"/>
        <v>Profit</v>
      </c>
      <c r="S437">
        <v>0</v>
      </c>
      <c r="T437" s="4">
        <v>30</v>
      </c>
      <c r="U437">
        <f t="shared" si="59"/>
        <v>27249</v>
      </c>
      <c r="V437">
        <f t="shared" si="60"/>
        <v>23223.599999999999</v>
      </c>
      <c r="W437">
        <f t="shared" si="61"/>
        <v>4025.4000000000015</v>
      </c>
      <c r="X437">
        <f t="shared" si="62"/>
        <v>0.14772652207420461</v>
      </c>
    </row>
    <row r="438" spans="1:24" x14ac:dyDescent="0.25">
      <c r="A438" t="s">
        <v>450</v>
      </c>
      <c r="B438" s="13">
        <v>45650</v>
      </c>
      <c r="C438" s="8">
        <v>45670</v>
      </c>
      <c r="D438" s="8">
        <f t="shared" si="54"/>
        <v>45670</v>
      </c>
      <c r="E438" s="6">
        <f t="shared" si="55"/>
        <v>20</v>
      </c>
      <c r="F438" s="6" t="str">
        <f t="shared" si="56"/>
        <v>Q4-2024</v>
      </c>
      <c r="G438" t="s">
        <v>647</v>
      </c>
      <c r="H438" t="s">
        <v>654</v>
      </c>
      <c r="I438" t="s">
        <v>668</v>
      </c>
      <c r="J438" t="s">
        <v>701</v>
      </c>
      <c r="K438" t="s">
        <v>709</v>
      </c>
      <c r="L438" t="s">
        <v>726</v>
      </c>
      <c r="M438" t="s">
        <v>729</v>
      </c>
      <c r="N438">
        <f t="shared" si="57"/>
        <v>5.0750686430005493E-2</v>
      </c>
      <c r="O438" t="s">
        <v>1169</v>
      </c>
      <c r="P438" s="4">
        <v>126.15</v>
      </c>
      <c r="Q438" s="4">
        <v>284.23</v>
      </c>
      <c r="R438" s="4" t="str">
        <f t="shared" si="58"/>
        <v>Profit</v>
      </c>
      <c r="S438">
        <v>0.113</v>
      </c>
      <c r="T438" s="4">
        <v>22</v>
      </c>
      <c r="U438">
        <f t="shared" si="59"/>
        <v>5546.4642200000008</v>
      </c>
      <c r="V438">
        <f t="shared" si="60"/>
        <v>2775.3</v>
      </c>
      <c r="W438">
        <f t="shared" si="61"/>
        <v>2771.1642200000006</v>
      </c>
      <c r="X438">
        <f t="shared" si="62"/>
        <v>0.49962716968541088</v>
      </c>
    </row>
    <row r="439" spans="1:24" x14ac:dyDescent="0.25">
      <c r="A439" t="s">
        <v>451</v>
      </c>
      <c r="B439" s="13">
        <v>45037</v>
      </c>
      <c r="C439" s="8">
        <v>45035</v>
      </c>
      <c r="D439" s="8">
        <f t="shared" si="54"/>
        <v>45044</v>
      </c>
      <c r="E439" s="6">
        <f t="shared" si="55"/>
        <v>7</v>
      </c>
      <c r="F439" s="6" t="str">
        <f t="shared" si="56"/>
        <v>Q2-2023</v>
      </c>
      <c r="G439" t="s">
        <v>647</v>
      </c>
      <c r="H439" t="s">
        <v>652</v>
      </c>
      <c r="I439" t="s">
        <v>694</v>
      </c>
      <c r="J439" t="s">
        <v>705</v>
      </c>
      <c r="K439" t="s">
        <v>711</v>
      </c>
      <c r="L439" t="s">
        <v>724</v>
      </c>
      <c r="M439" t="s">
        <v>727</v>
      </c>
      <c r="N439">
        <f t="shared" si="57"/>
        <v>6.7165273720697985E-2</v>
      </c>
      <c r="O439" t="s">
        <v>1170</v>
      </c>
      <c r="P439" s="4">
        <v>607.04</v>
      </c>
      <c r="Q439" s="4">
        <v>1229.3399999999999</v>
      </c>
      <c r="R439" s="4" t="str">
        <f t="shared" si="58"/>
        <v>Profit</v>
      </c>
      <c r="S439">
        <v>0.14699999999999999</v>
      </c>
      <c r="T439" s="4">
        <v>7</v>
      </c>
      <c r="U439">
        <f t="shared" si="59"/>
        <v>7340.3891399999993</v>
      </c>
      <c r="V439">
        <f t="shared" si="60"/>
        <v>4249.28</v>
      </c>
      <c r="W439">
        <f t="shared" si="61"/>
        <v>3091.1091399999996</v>
      </c>
      <c r="X439">
        <f t="shared" si="62"/>
        <v>0.42110970972310058</v>
      </c>
    </row>
    <row r="440" spans="1:24" x14ac:dyDescent="0.25">
      <c r="A440" t="s">
        <v>452</v>
      </c>
      <c r="B440" s="13">
        <v>45290</v>
      </c>
      <c r="C440" s="8">
        <v>45299</v>
      </c>
      <c r="D440" s="8">
        <f t="shared" si="54"/>
        <v>45299</v>
      </c>
      <c r="E440" s="6">
        <f t="shared" si="55"/>
        <v>9</v>
      </c>
      <c r="F440" s="6" t="str">
        <f t="shared" si="56"/>
        <v>Q4-2023</v>
      </c>
      <c r="G440" t="s">
        <v>649</v>
      </c>
      <c r="H440" t="s">
        <v>657</v>
      </c>
      <c r="I440" t="s">
        <v>673</v>
      </c>
      <c r="J440" t="s">
        <v>704</v>
      </c>
      <c r="K440" t="s">
        <v>709</v>
      </c>
      <c r="L440" t="s">
        <v>716</v>
      </c>
      <c r="M440" t="s">
        <v>733</v>
      </c>
      <c r="N440">
        <f t="shared" si="57"/>
        <v>0.22215382950593424</v>
      </c>
      <c r="O440" t="s">
        <v>1171</v>
      </c>
      <c r="P440" s="4">
        <v>861.1</v>
      </c>
      <c r="Q440" s="4">
        <v>1224.72</v>
      </c>
      <c r="R440" s="4" t="str">
        <f t="shared" si="58"/>
        <v>Profit</v>
      </c>
      <c r="S440">
        <v>0.17399999999999999</v>
      </c>
      <c r="T440" s="4">
        <v>24</v>
      </c>
      <c r="U440">
        <f t="shared" si="59"/>
        <v>24278.849280000002</v>
      </c>
      <c r="V440">
        <f t="shared" si="60"/>
        <v>20666.400000000001</v>
      </c>
      <c r="W440">
        <f t="shared" si="61"/>
        <v>3612.4492800000007</v>
      </c>
      <c r="X440">
        <f t="shared" si="62"/>
        <v>0.14878997098827909</v>
      </c>
    </row>
    <row r="441" spans="1:24" x14ac:dyDescent="0.25">
      <c r="A441" t="s">
        <v>453</v>
      </c>
      <c r="B441" s="13">
        <v>44978</v>
      </c>
      <c r="C441" s="8">
        <v>44997</v>
      </c>
      <c r="D441" s="8">
        <f t="shared" si="54"/>
        <v>44997</v>
      </c>
      <c r="E441" s="6">
        <f t="shared" si="55"/>
        <v>19</v>
      </c>
      <c r="F441" s="6" t="str">
        <f t="shared" si="56"/>
        <v>Q1-2023</v>
      </c>
      <c r="G441" t="s">
        <v>646</v>
      </c>
      <c r="H441" t="s">
        <v>650</v>
      </c>
      <c r="I441" t="s">
        <v>678</v>
      </c>
      <c r="J441" t="s">
        <v>701</v>
      </c>
      <c r="K441" t="s">
        <v>708</v>
      </c>
      <c r="L441" t="s">
        <v>721</v>
      </c>
      <c r="M441" t="s">
        <v>729</v>
      </c>
      <c r="N441">
        <f t="shared" si="57"/>
        <v>2.5580363311188851E-2</v>
      </c>
      <c r="O441" t="s">
        <v>1172</v>
      </c>
      <c r="P441" s="4">
        <v>352.65</v>
      </c>
      <c r="Q441" s="4">
        <v>485.86</v>
      </c>
      <c r="R441" s="4" t="str">
        <f t="shared" si="58"/>
        <v>Profit</v>
      </c>
      <c r="S441">
        <v>4.1000000000000002E-2</v>
      </c>
      <c r="T441" s="4">
        <v>6</v>
      </c>
      <c r="U441">
        <f t="shared" si="59"/>
        <v>2795.6384399999997</v>
      </c>
      <c r="V441">
        <f t="shared" si="60"/>
        <v>2115.8999999999996</v>
      </c>
      <c r="W441">
        <f t="shared" si="61"/>
        <v>679.73844000000008</v>
      </c>
      <c r="X441">
        <f t="shared" si="62"/>
        <v>0.24314247159943908</v>
      </c>
    </row>
    <row r="442" spans="1:24" x14ac:dyDescent="0.25">
      <c r="A442" t="s">
        <v>454</v>
      </c>
      <c r="B442" s="13">
        <v>45063</v>
      </c>
      <c r="C442" s="8">
        <v>45080</v>
      </c>
      <c r="D442" s="8">
        <f t="shared" si="54"/>
        <v>45080</v>
      </c>
      <c r="E442" s="6">
        <f t="shared" si="55"/>
        <v>17</v>
      </c>
      <c r="F442" s="6" t="str">
        <f t="shared" si="56"/>
        <v>Q2-2023</v>
      </c>
      <c r="G442" t="s">
        <v>647</v>
      </c>
      <c r="H442" t="s">
        <v>659</v>
      </c>
      <c r="I442" t="s">
        <v>699</v>
      </c>
      <c r="J442" t="s">
        <v>703</v>
      </c>
      <c r="K442" t="s">
        <v>710</v>
      </c>
      <c r="L442" t="s">
        <v>724</v>
      </c>
      <c r="M442" t="s">
        <v>728</v>
      </c>
      <c r="N442">
        <f t="shared" si="57"/>
        <v>0.18915345258090419</v>
      </c>
      <c r="O442" t="s">
        <v>1173</v>
      </c>
      <c r="P442" s="4">
        <v>979.59</v>
      </c>
      <c r="Q442" s="4">
        <v>2210.94</v>
      </c>
      <c r="R442" s="4" t="str">
        <f t="shared" si="58"/>
        <v>Profit</v>
      </c>
      <c r="S442">
        <v>0.15</v>
      </c>
      <c r="T442" s="4">
        <v>11</v>
      </c>
      <c r="U442">
        <f t="shared" si="59"/>
        <v>20672.289000000001</v>
      </c>
      <c r="V442">
        <f t="shared" si="60"/>
        <v>10775.49</v>
      </c>
      <c r="W442">
        <f t="shared" si="61"/>
        <v>9896.7990000000009</v>
      </c>
      <c r="X442">
        <f t="shared" si="62"/>
        <v>0.47874712858358359</v>
      </c>
    </row>
    <row r="443" spans="1:24" x14ac:dyDescent="0.25">
      <c r="A443" t="s">
        <v>455</v>
      </c>
      <c r="B443" s="13">
        <v>45374</v>
      </c>
      <c r="C443" s="8">
        <v>45377</v>
      </c>
      <c r="D443" s="8">
        <f t="shared" si="54"/>
        <v>45377</v>
      </c>
      <c r="E443" s="6">
        <f t="shared" si="55"/>
        <v>3</v>
      </c>
      <c r="F443" s="6" t="str">
        <f t="shared" si="56"/>
        <v>Q1-2024</v>
      </c>
      <c r="G443" t="s">
        <v>647</v>
      </c>
      <c r="H443" t="s">
        <v>654</v>
      </c>
      <c r="I443" t="s">
        <v>668</v>
      </c>
      <c r="J443" t="s">
        <v>702</v>
      </c>
      <c r="K443" t="s">
        <v>711</v>
      </c>
      <c r="L443" t="s">
        <v>715</v>
      </c>
      <c r="M443" t="s">
        <v>730</v>
      </c>
      <c r="N443">
        <f t="shared" si="57"/>
        <v>0.11591807230724761</v>
      </c>
      <c r="O443" t="s">
        <v>1174</v>
      </c>
      <c r="P443" s="4">
        <v>382.21</v>
      </c>
      <c r="Q443" s="4">
        <v>571.89</v>
      </c>
      <c r="R443" s="4" t="str">
        <f t="shared" si="58"/>
        <v>Profit</v>
      </c>
      <c r="S443">
        <v>0.14799999999999999</v>
      </c>
      <c r="T443" s="4">
        <v>26</v>
      </c>
      <c r="U443">
        <f t="shared" si="59"/>
        <v>12668.50728</v>
      </c>
      <c r="V443">
        <f t="shared" si="60"/>
        <v>9937.4599999999991</v>
      </c>
      <c r="W443">
        <f t="shared" si="61"/>
        <v>2731.0472800000007</v>
      </c>
      <c r="X443">
        <f t="shared" si="62"/>
        <v>0.2155776698578809</v>
      </c>
    </row>
    <row r="444" spans="1:24" x14ac:dyDescent="0.25">
      <c r="A444" t="s">
        <v>456</v>
      </c>
      <c r="B444" s="13">
        <v>45189</v>
      </c>
      <c r="C444" s="8">
        <v>45197</v>
      </c>
      <c r="D444" s="8">
        <f t="shared" si="54"/>
        <v>45197</v>
      </c>
      <c r="E444" s="6">
        <f t="shared" si="55"/>
        <v>8</v>
      </c>
      <c r="F444" s="6" t="str">
        <f t="shared" si="56"/>
        <v>Q3-2023</v>
      </c>
      <c r="G444" t="s">
        <v>647</v>
      </c>
      <c r="H444" t="s">
        <v>654</v>
      </c>
      <c r="I444" t="s">
        <v>1422</v>
      </c>
      <c r="J444" t="s">
        <v>701</v>
      </c>
      <c r="K444" t="s">
        <v>1422</v>
      </c>
      <c r="L444" t="s">
        <v>717</v>
      </c>
      <c r="M444" t="s">
        <v>733</v>
      </c>
      <c r="N444">
        <f t="shared" si="57"/>
        <v>0.28834778921274934</v>
      </c>
      <c r="O444" t="s">
        <v>1175</v>
      </c>
      <c r="P444" s="4">
        <v>1362.06</v>
      </c>
      <c r="Q444" s="4">
        <v>3398.37</v>
      </c>
      <c r="R444" s="4" t="str">
        <f t="shared" si="58"/>
        <v>Profit</v>
      </c>
      <c r="S444">
        <v>0.157</v>
      </c>
      <c r="T444" s="4">
        <v>11</v>
      </c>
      <c r="U444">
        <f t="shared" si="59"/>
        <v>31513.085009999999</v>
      </c>
      <c r="V444">
        <f t="shared" si="60"/>
        <v>14982.66</v>
      </c>
      <c r="W444">
        <f t="shared" si="61"/>
        <v>16530.425009999999</v>
      </c>
      <c r="X444">
        <f t="shared" si="62"/>
        <v>0.52455749745714919</v>
      </c>
    </row>
    <row r="445" spans="1:24" x14ac:dyDescent="0.25">
      <c r="A445" t="s">
        <v>457</v>
      </c>
      <c r="B445" s="13">
        <v>45526</v>
      </c>
      <c r="C445" s="8">
        <v>45539</v>
      </c>
      <c r="D445" s="8">
        <f t="shared" si="54"/>
        <v>45539</v>
      </c>
      <c r="E445" s="6">
        <f t="shared" si="55"/>
        <v>13</v>
      </c>
      <c r="F445" s="6" t="str">
        <f t="shared" si="56"/>
        <v>Q3-2024</v>
      </c>
      <c r="G445" t="s">
        <v>649</v>
      </c>
      <c r="H445" t="s">
        <v>656</v>
      </c>
      <c r="I445" t="s">
        <v>698</v>
      </c>
      <c r="J445" t="s">
        <v>703</v>
      </c>
      <c r="K445" t="s">
        <v>707</v>
      </c>
      <c r="L445" t="s">
        <v>716</v>
      </c>
      <c r="M445" t="s">
        <v>728</v>
      </c>
      <c r="N445">
        <f t="shared" si="57"/>
        <v>5.4534971346532339E-2</v>
      </c>
      <c r="O445" t="s">
        <v>1176</v>
      </c>
      <c r="P445" s="4">
        <v>90.04</v>
      </c>
      <c r="Q445" s="4">
        <v>194.62</v>
      </c>
      <c r="R445" s="4" t="str">
        <f t="shared" si="58"/>
        <v>Profit</v>
      </c>
      <c r="S445">
        <v>4.2999999999999997E-2</v>
      </c>
      <c r="T445" s="4">
        <v>32</v>
      </c>
      <c r="U445">
        <f t="shared" si="59"/>
        <v>5960.04288</v>
      </c>
      <c r="V445">
        <f t="shared" si="60"/>
        <v>2881.28</v>
      </c>
      <c r="W445">
        <f t="shared" si="61"/>
        <v>3078.7628799999998</v>
      </c>
      <c r="X445">
        <f t="shared" si="62"/>
        <v>0.51656723650954672</v>
      </c>
    </row>
    <row r="446" spans="1:24" x14ac:dyDescent="0.25">
      <c r="A446" t="s">
        <v>458</v>
      </c>
      <c r="B446" s="13">
        <v>45560</v>
      </c>
      <c r="C446" s="8">
        <v>45568</v>
      </c>
      <c r="D446" s="8">
        <f t="shared" si="54"/>
        <v>45568</v>
      </c>
      <c r="E446" s="6">
        <f t="shared" si="55"/>
        <v>8</v>
      </c>
      <c r="F446" s="6" t="str">
        <f t="shared" si="56"/>
        <v>Q3-2024</v>
      </c>
      <c r="G446" t="s">
        <v>648</v>
      </c>
      <c r="H446" t="s">
        <v>653</v>
      </c>
      <c r="I446" t="s">
        <v>667</v>
      </c>
      <c r="J446" t="s">
        <v>704</v>
      </c>
      <c r="K446" t="s">
        <v>708</v>
      </c>
      <c r="L446" t="s">
        <v>718</v>
      </c>
      <c r="M446" t="s">
        <v>728</v>
      </c>
      <c r="N446">
        <f t="shared" si="57"/>
        <v>0.19823173061443966</v>
      </c>
      <c r="O446" t="s">
        <v>1177</v>
      </c>
      <c r="P446" s="4">
        <v>558.19000000000005</v>
      </c>
      <c r="Q446" s="4">
        <v>1031.6400000000001</v>
      </c>
      <c r="R446" s="4" t="str">
        <f t="shared" si="58"/>
        <v>Profit</v>
      </c>
      <c r="S446">
        <v>0</v>
      </c>
      <c r="T446" s="4">
        <v>21</v>
      </c>
      <c r="U446">
        <f t="shared" si="59"/>
        <v>21664.440000000002</v>
      </c>
      <c r="V446">
        <f t="shared" si="60"/>
        <v>11721.990000000002</v>
      </c>
      <c r="W446">
        <f t="shared" si="61"/>
        <v>9942.4500000000007</v>
      </c>
      <c r="X446">
        <f t="shared" si="62"/>
        <v>0.45892947152107322</v>
      </c>
    </row>
    <row r="447" spans="1:24" x14ac:dyDescent="0.25">
      <c r="A447" t="s">
        <v>459</v>
      </c>
      <c r="B447" s="13">
        <v>45090</v>
      </c>
      <c r="C447" s="8">
        <v>45101</v>
      </c>
      <c r="D447" s="8">
        <f t="shared" si="54"/>
        <v>45101</v>
      </c>
      <c r="E447" s="6">
        <f t="shared" si="55"/>
        <v>11</v>
      </c>
      <c r="F447" s="6" t="str">
        <f t="shared" si="56"/>
        <v>Q2-2023</v>
      </c>
      <c r="G447" t="s">
        <v>648</v>
      </c>
      <c r="H447" t="s">
        <v>653</v>
      </c>
      <c r="I447" t="s">
        <v>667</v>
      </c>
      <c r="J447" t="s">
        <v>701</v>
      </c>
      <c r="K447" t="s">
        <v>708</v>
      </c>
      <c r="L447" t="s">
        <v>712</v>
      </c>
      <c r="M447" t="s">
        <v>728</v>
      </c>
      <c r="N447">
        <f t="shared" si="57"/>
        <v>1.7616670323136227E-2</v>
      </c>
      <c r="O447" t="s">
        <v>1178</v>
      </c>
      <c r="P447" s="4">
        <v>247.07</v>
      </c>
      <c r="Q447" s="4">
        <v>495.19</v>
      </c>
      <c r="R447" s="4" t="str">
        <f t="shared" si="58"/>
        <v>Profit</v>
      </c>
      <c r="S447">
        <v>2.8000000000000001E-2</v>
      </c>
      <c r="T447" s="4">
        <v>4</v>
      </c>
      <c r="U447">
        <f t="shared" si="59"/>
        <v>1925.29872</v>
      </c>
      <c r="V447">
        <f t="shared" si="60"/>
        <v>988.28</v>
      </c>
      <c r="W447">
        <f t="shared" si="61"/>
        <v>937.01872000000003</v>
      </c>
      <c r="X447">
        <f t="shared" si="62"/>
        <v>0.48668744764968214</v>
      </c>
    </row>
    <row r="448" spans="1:24" x14ac:dyDescent="0.25">
      <c r="A448" t="s">
        <v>460</v>
      </c>
      <c r="B448" s="13">
        <v>45284</v>
      </c>
      <c r="C448" s="8">
        <v>45304</v>
      </c>
      <c r="D448" s="8">
        <f t="shared" si="54"/>
        <v>45304</v>
      </c>
      <c r="E448" s="6">
        <f t="shared" si="55"/>
        <v>20</v>
      </c>
      <c r="F448" s="6" t="str">
        <f t="shared" si="56"/>
        <v>Q4-2023</v>
      </c>
      <c r="G448" t="s">
        <v>647</v>
      </c>
      <c r="H448" t="s">
        <v>652</v>
      </c>
      <c r="I448" t="s">
        <v>694</v>
      </c>
      <c r="J448" t="s">
        <v>702</v>
      </c>
      <c r="K448" t="s">
        <v>711</v>
      </c>
      <c r="L448" t="s">
        <v>717</v>
      </c>
      <c r="M448" t="s">
        <v>731</v>
      </c>
      <c r="N448">
        <f t="shared" si="57"/>
        <v>8.9409701385457396E-2</v>
      </c>
      <c r="O448" t="s">
        <v>1179</v>
      </c>
      <c r="P448" s="4">
        <v>625.37</v>
      </c>
      <c r="Q448" s="4">
        <v>1319.04</v>
      </c>
      <c r="R448" s="4" t="str">
        <f t="shared" si="58"/>
        <v>Profit</v>
      </c>
      <c r="S448">
        <v>7.3999999999999996E-2</v>
      </c>
      <c r="T448" s="4">
        <v>8</v>
      </c>
      <c r="U448">
        <f t="shared" si="59"/>
        <v>9771.4483199999995</v>
      </c>
      <c r="V448">
        <f t="shared" si="60"/>
        <v>5002.96</v>
      </c>
      <c r="W448">
        <f t="shared" si="61"/>
        <v>4768.4883199999995</v>
      </c>
      <c r="X448">
        <f t="shared" si="62"/>
        <v>0.48800220436513547</v>
      </c>
    </row>
    <row r="449" spans="1:24" x14ac:dyDescent="0.25">
      <c r="A449" t="s">
        <v>461</v>
      </c>
      <c r="B449" s="13">
        <v>45746</v>
      </c>
      <c r="C449" s="8">
        <v>45776</v>
      </c>
      <c r="D449" s="8">
        <f t="shared" si="54"/>
        <v>45776</v>
      </c>
      <c r="E449" s="6">
        <f t="shared" si="55"/>
        <v>30</v>
      </c>
      <c r="F449" s="6" t="str">
        <f t="shared" si="56"/>
        <v>Q1-2025</v>
      </c>
      <c r="G449" t="s">
        <v>646</v>
      </c>
      <c r="H449" t="s">
        <v>661</v>
      </c>
      <c r="I449" t="s">
        <v>687</v>
      </c>
      <c r="J449" t="s">
        <v>704</v>
      </c>
      <c r="K449" t="s">
        <v>709</v>
      </c>
      <c r="L449" t="s">
        <v>713</v>
      </c>
      <c r="M449" t="s">
        <v>732</v>
      </c>
      <c r="N449">
        <f t="shared" si="57"/>
        <v>5.092328498697405E-2</v>
      </c>
      <c r="O449" t="s">
        <v>1180</v>
      </c>
      <c r="P449" s="4">
        <v>194.6</v>
      </c>
      <c r="Q449" s="4">
        <v>314.87</v>
      </c>
      <c r="R449" s="4" t="str">
        <f t="shared" si="58"/>
        <v>Profit</v>
      </c>
      <c r="S449">
        <v>0.29299999999999998</v>
      </c>
      <c r="T449" s="4">
        <v>25</v>
      </c>
      <c r="U449">
        <f t="shared" si="59"/>
        <v>5565.3272500000003</v>
      </c>
      <c r="V449">
        <f t="shared" si="60"/>
        <v>4865</v>
      </c>
      <c r="W449">
        <f t="shared" si="61"/>
        <v>700.32725000000028</v>
      </c>
      <c r="X449">
        <f t="shared" si="62"/>
        <v>0.1258375686712763</v>
      </c>
    </row>
    <row r="450" spans="1:24" x14ac:dyDescent="0.25">
      <c r="A450" t="s">
        <v>462</v>
      </c>
      <c r="B450" s="13">
        <v>45446</v>
      </c>
      <c r="C450" s="8">
        <v>45467</v>
      </c>
      <c r="D450" s="8">
        <f t="shared" si="54"/>
        <v>45467</v>
      </c>
      <c r="E450" s="6">
        <f t="shared" si="55"/>
        <v>21</v>
      </c>
      <c r="F450" s="6" t="str">
        <f t="shared" si="56"/>
        <v>Q2-2024</v>
      </c>
      <c r="G450" t="s">
        <v>648</v>
      </c>
      <c r="H450" t="s">
        <v>653</v>
      </c>
      <c r="I450" t="s">
        <v>667</v>
      </c>
      <c r="J450" t="s">
        <v>705</v>
      </c>
      <c r="K450" t="s">
        <v>711</v>
      </c>
      <c r="L450" t="s">
        <v>715</v>
      </c>
      <c r="M450" t="s">
        <v>732</v>
      </c>
      <c r="N450">
        <f t="shared" si="57"/>
        <v>0.41676115247225448</v>
      </c>
      <c r="O450" t="s">
        <v>1181</v>
      </c>
      <c r="P450" s="4">
        <v>1205.5</v>
      </c>
      <c r="Q450" s="4">
        <v>2210.17</v>
      </c>
      <c r="R450" s="4" t="str">
        <f t="shared" si="58"/>
        <v>Profit</v>
      </c>
      <c r="S450">
        <v>0.104</v>
      </c>
      <c r="T450" s="4">
        <v>23</v>
      </c>
      <c r="U450">
        <f t="shared" si="59"/>
        <v>45547.183360000003</v>
      </c>
      <c r="V450">
        <f t="shared" si="60"/>
        <v>27726.5</v>
      </c>
      <c r="W450">
        <f t="shared" si="61"/>
        <v>17820.683360000003</v>
      </c>
      <c r="X450">
        <f t="shared" si="62"/>
        <v>0.39125763758314652</v>
      </c>
    </row>
    <row r="451" spans="1:24" x14ac:dyDescent="0.25">
      <c r="A451" t="s">
        <v>463</v>
      </c>
      <c r="B451" s="13">
        <v>45454</v>
      </c>
      <c r="C451" s="8">
        <v>45482</v>
      </c>
      <c r="D451" s="8">
        <f t="shared" ref="D451:D514" si="63">IF(B451&gt;C451, B451+7, C451)</f>
        <v>45482</v>
      </c>
      <c r="E451" s="6">
        <f t="shared" ref="E451:E514" si="64">(D451-B451)</f>
        <v>28</v>
      </c>
      <c r="F451" s="6" t="str">
        <f t="shared" ref="F451:F514" si="65">"Q"&amp;ROUNDUP(MONTH(B451)/3,0)&amp;"-"&amp;YEAR(B451)</f>
        <v>Q2-2024</v>
      </c>
      <c r="G451" t="s">
        <v>646</v>
      </c>
      <c r="H451" t="s">
        <v>651</v>
      </c>
      <c r="I451" t="s">
        <v>663</v>
      </c>
      <c r="J451" t="s">
        <v>701</v>
      </c>
      <c r="K451" t="s">
        <v>709</v>
      </c>
      <c r="L451" t="s">
        <v>714</v>
      </c>
      <c r="M451" t="s">
        <v>730</v>
      </c>
      <c r="N451">
        <f t="shared" ref="N451:N514" si="66">(U451/$U$634)*100</f>
        <v>0.11244737384704943</v>
      </c>
      <c r="O451" t="s">
        <v>1182</v>
      </c>
      <c r="P451" s="4">
        <v>895.54</v>
      </c>
      <c r="Q451" s="4">
        <v>1045</v>
      </c>
      <c r="R451" s="4" t="str">
        <f t="shared" ref="R451:R514" si="67">IF(Q451&gt;P451, "Profit", IF(Q451&lt;P451, "Loss"))</f>
        <v>Profit</v>
      </c>
      <c r="S451">
        <v>0.216</v>
      </c>
      <c r="T451" s="4">
        <v>15</v>
      </c>
      <c r="U451">
        <f t="shared" ref="U451:U514" si="68">Q451*T451*(1-S451)</f>
        <v>12289.2</v>
      </c>
      <c r="V451">
        <f t="shared" ref="V451:V514" si="69">P451*T451</f>
        <v>13433.099999999999</v>
      </c>
      <c r="W451">
        <f t="shared" ref="W451:W514" si="70">U451-V451</f>
        <v>-1143.8999999999978</v>
      </c>
      <c r="X451">
        <f t="shared" ref="X451:X514" si="71">IF(U451=0, 0, W451/U451)</f>
        <v>-9.3081730299775234E-2</v>
      </c>
    </row>
    <row r="452" spans="1:24" x14ac:dyDescent="0.25">
      <c r="A452" t="s">
        <v>464</v>
      </c>
      <c r="B452" s="13">
        <v>45129</v>
      </c>
      <c r="C452" s="8">
        <v>45128</v>
      </c>
      <c r="D452" s="8">
        <f t="shared" si="63"/>
        <v>45136</v>
      </c>
      <c r="E452" s="6">
        <f t="shared" si="64"/>
        <v>7</v>
      </c>
      <c r="F452" s="6" t="str">
        <f t="shared" si="65"/>
        <v>Q3-2023</v>
      </c>
      <c r="G452" t="s">
        <v>647</v>
      </c>
      <c r="H452" t="s">
        <v>654</v>
      </c>
      <c r="I452" t="s">
        <v>680</v>
      </c>
      <c r="J452" t="s">
        <v>705</v>
      </c>
      <c r="K452" t="s">
        <v>710</v>
      </c>
      <c r="L452" t="s">
        <v>718</v>
      </c>
      <c r="M452" t="s">
        <v>728</v>
      </c>
      <c r="N452">
        <f t="shared" si="66"/>
        <v>0.11403446322958259</v>
      </c>
      <c r="O452" t="s">
        <v>1183</v>
      </c>
      <c r="P452" s="4">
        <v>946.99</v>
      </c>
      <c r="Q452" s="4">
        <v>2132.19</v>
      </c>
      <c r="R452" s="4" t="str">
        <f t="shared" si="67"/>
        <v>Profit</v>
      </c>
      <c r="S452">
        <v>0.16500000000000001</v>
      </c>
      <c r="T452" s="4">
        <v>7</v>
      </c>
      <c r="U452">
        <f t="shared" si="68"/>
        <v>12462.65055</v>
      </c>
      <c r="V452">
        <f t="shared" si="69"/>
        <v>6628.93</v>
      </c>
      <c r="W452">
        <f t="shared" si="70"/>
        <v>5833.72055</v>
      </c>
      <c r="X452">
        <f t="shared" si="71"/>
        <v>0.46809629513362228</v>
      </c>
    </row>
    <row r="453" spans="1:24" x14ac:dyDescent="0.25">
      <c r="A453" t="s">
        <v>465</v>
      </c>
      <c r="B453" s="13">
        <v>44945</v>
      </c>
      <c r="C453" s="8">
        <v>44960</v>
      </c>
      <c r="D453" s="8">
        <f t="shared" si="63"/>
        <v>44960</v>
      </c>
      <c r="E453" s="6">
        <f t="shared" si="64"/>
        <v>15</v>
      </c>
      <c r="F453" s="6" t="str">
        <f t="shared" si="65"/>
        <v>Q1-2023</v>
      </c>
      <c r="G453" t="s">
        <v>649</v>
      </c>
      <c r="H453" t="s">
        <v>658</v>
      </c>
      <c r="I453" t="s">
        <v>683</v>
      </c>
      <c r="J453" t="s">
        <v>706</v>
      </c>
      <c r="K453" t="s">
        <v>710</v>
      </c>
      <c r="L453" t="s">
        <v>715</v>
      </c>
      <c r="M453" t="s">
        <v>733</v>
      </c>
      <c r="N453">
        <f t="shared" si="66"/>
        <v>0.17960247137870741</v>
      </c>
      <c r="O453" t="s">
        <v>1184</v>
      </c>
      <c r="P453" s="4">
        <v>873.06</v>
      </c>
      <c r="Q453" s="4">
        <v>2101.5500000000002</v>
      </c>
      <c r="R453" s="4" t="str">
        <f t="shared" si="67"/>
        <v>Profit</v>
      </c>
      <c r="S453">
        <v>6.6000000000000003E-2</v>
      </c>
      <c r="T453" s="4">
        <v>10</v>
      </c>
      <c r="U453">
        <f t="shared" si="68"/>
        <v>19628.476999999999</v>
      </c>
      <c r="V453">
        <f t="shared" si="69"/>
        <v>8730.5999999999985</v>
      </c>
      <c r="W453">
        <f t="shared" si="70"/>
        <v>10897.877</v>
      </c>
      <c r="X453">
        <f t="shared" si="71"/>
        <v>0.55520746719167269</v>
      </c>
    </row>
    <row r="454" spans="1:24" x14ac:dyDescent="0.25">
      <c r="A454" t="s">
        <v>466</v>
      </c>
      <c r="B454" s="13">
        <v>45413</v>
      </c>
      <c r="C454" s="8">
        <v>45428</v>
      </c>
      <c r="D454" s="8">
        <f t="shared" si="63"/>
        <v>45428</v>
      </c>
      <c r="E454" s="6">
        <f t="shared" si="64"/>
        <v>15</v>
      </c>
      <c r="F454" s="6" t="str">
        <f t="shared" si="65"/>
        <v>Q2-2024</v>
      </c>
      <c r="G454" t="s">
        <v>647</v>
      </c>
      <c r="H454" t="s">
        <v>654</v>
      </c>
      <c r="I454" t="s">
        <v>668</v>
      </c>
      <c r="J454" t="s">
        <v>705</v>
      </c>
      <c r="K454" t="s">
        <v>707</v>
      </c>
      <c r="L454" t="s">
        <v>716</v>
      </c>
      <c r="M454" t="s">
        <v>727</v>
      </c>
      <c r="N454">
        <f t="shared" si="66"/>
        <v>0.2168061086655016</v>
      </c>
      <c r="O454" t="s">
        <v>1185</v>
      </c>
      <c r="P454" s="4">
        <v>901.19</v>
      </c>
      <c r="Q454" s="4">
        <v>2125.44</v>
      </c>
      <c r="R454" s="4" t="str">
        <f t="shared" si="67"/>
        <v>Profit</v>
      </c>
      <c r="S454">
        <v>7.0999999999999994E-2</v>
      </c>
      <c r="T454" s="4">
        <v>12</v>
      </c>
      <c r="U454">
        <f t="shared" si="68"/>
        <v>23694.405119999999</v>
      </c>
      <c r="V454">
        <f t="shared" si="69"/>
        <v>10814.28</v>
      </c>
      <c r="W454">
        <f t="shared" si="70"/>
        <v>12880.125119999999</v>
      </c>
      <c r="X454">
        <f t="shared" si="71"/>
        <v>0.54359352154100415</v>
      </c>
    </row>
    <row r="455" spans="1:24" x14ac:dyDescent="0.25">
      <c r="A455" t="s">
        <v>467</v>
      </c>
      <c r="B455" s="13">
        <v>45817</v>
      </c>
      <c r="C455" s="8">
        <v>45832</v>
      </c>
      <c r="D455" s="8">
        <f t="shared" si="63"/>
        <v>45832</v>
      </c>
      <c r="E455" s="6">
        <f t="shared" si="64"/>
        <v>15</v>
      </c>
      <c r="F455" s="6" t="str">
        <f t="shared" si="65"/>
        <v>Q2-2025</v>
      </c>
      <c r="G455" t="s">
        <v>647</v>
      </c>
      <c r="H455" t="s">
        <v>652</v>
      </c>
      <c r="I455" t="s">
        <v>694</v>
      </c>
      <c r="J455" t="s">
        <v>701</v>
      </c>
      <c r="K455" t="s">
        <v>711</v>
      </c>
      <c r="L455" t="s">
        <v>717</v>
      </c>
      <c r="M455" t="s">
        <v>730</v>
      </c>
      <c r="N455">
        <f t="shared" si="66"/>
        <v>0.10966291922216106</v>
      </c>
      <c r="O455" t="s">
        <v>1186</v>
      </c>
      <c r="P455" s="4">
        <v>400.39</v>
      </c>
      <c r="Q455" s="4">
        <v>712.75</v>
      </c>
      <c r="R455" s="4" t="str">
        <f t="shared" si="67"/>
        <v>Profit</v>
      </c>
      <c r="S455">
        <v>0.115</v>
      </c>
      <c r="T455" s="4">
        <v>19</v>
      </c>
      <c r="U455">
        <f t="shared" si="68"/>
        <v>11984.891250000001</v>
      </c>
      <c r="V455">
        <f t="shared" si="69"/>
        <v>7607.41</v>
      </c>
      <c r="W455">
        <f t="shared" si="70"/>
        <v>4377.4812500000007</v>
      </c>
      <c r="X455">
        <f t="shared" si="71"/>
        <v>0.36524997671547504</v>
      </c>
    </row>
    <row r="456" spans="1:24" x14ac:dyDescent="0.25">
      <c r="A456" t="s">
        <v>468</v>
      </c>
      <c r="B456" s="13">
        <v>45070</v>
      </c>
      <c r="C456" s="8">
        <v>45098</v>
      </c>
      <c r="D456" s="8">
        <f t="shared" si="63"/>
        <v>45098</v>
      </c>
      <c r="E456" s="6">
        <f t="shared" si="64"/>
        <v>28</v>
      </c>
      <c r="F456" s="6" t="str">
        <f t="shared" si="65"/>
        <v>Q2-2023</v>
      </c>
      <c r="G456" t="s">
        <v>648</v>
      </c>
      <c r="H456" t="s">
        <v>660</v>
      </c>
      <c r="I456" t="s">
        <v>697</v>
      </c>
      <c r="J456" t="s">
        <v>705</v>
      </c>
      <c r="K456" t="s">
        <v>709</v>
      </c>
      <c r="L456" t="s">
        <v>715</v>
      </c>
      <c r="M456" t="s">
        <v>732</v>
      </c>
      <c r="N456">
        <f t="shared" si="66"/>
        <v>0.21166369212327235</v>
      </c>
      <c r="O456" t="s">
        <v>1187</v>
      </c>
      <c r="P456" s="4">
        <v>813.97</v>
      </c>
      <c r="Q456" s="4">
        <v>1568.83</v>
      </c>
      <c r="R456" s="4" t="str">
        <f t="shared" si="67"/>
        <v>Profit</v>
      </c>
      <c r="S456">
        <v>1.7000000000000001E-2</v>
      </c>
      <c r="T456" s="4">
        <v>15</v>
      </c>
      <c r="U456">
        <f t="shared" si="68"/>
        <v>23132.398349999996</v>
      </c>
      <c r="V456">
        <f t="shared" si="69"/>
        <v>12209.550000000001</v>
      </c>
      <c r="W456">
        <f t="shared" si="70"/>
        <v>10922.848349999995</v>
      </c>
      <c r="X456">
        <f t="shared" si="71"/>
        <v>0.4721883215364911</v>
      </c>
    </row>
    <row r="457" spans="1:24" x14ac:dyDescent="0.25">
      <c r="A457" t="s">
        <v>469</v>
      </c>
      <c r="B457" s="13">
        <v>45653</v>
      </c>
      <c r="C457" s="8">
        <v>45655</v>
      </c>
      <c r="D457" s="8">
        <f t="shared" si="63"/>
        <v>45655</v>
      </c>
      <c r="E457" s="6">
        <f t="shared" si="64"/>
        <v>2</v>
      </c>
      <c r="F457" s="6" t="str">
        <f t="shared" si="65"/>
        <v>Q4-2024</v>
      </c>
      <c r="G457" t="s">
        <v>648</v>
      </c>
      <c r="H457" t="s">
        <v>653</v>
      </c>
      <c r="I457" t="s">
        <v>688</v>
      </c>
      <c r="J457" t="s">
        <v>706</v>
      </c>
      <c r="K457" t="s">
        <v>709</v>
      </c>
      <c r="L457" t="s">
        <v>712</v>
      </c>
      <c r="M457" t="s">
        <v>733</v>
      </c>
      <c r="N457">
        <f t="shared" si="66"/>
        <v>0.13498869379889653</v>
      </c>
      <c r="O457" t="s">
        <v>1188</v>
      </c>
      <c r="P457" s="4">
        <v>1146.72</v>
      </c>
      <c r="Q457" s="4">
        <v>2074.34</v>
      </c>
      <c r="R457" s="4" t="str">
        <f t="shared" si="67"/>
        <v>Profit</v>
      </c>
      <c r="S457">
        <v>0.111</v>
      </c>
      <c r="T457" s="4">
        <v>8</v>
      </c>
      <c r="U457">
        <f t="shared" si="68"/>
        <v>14752.706080000002</v>
      </c>
      <c r="V457">
        <f t="shared" si="69"/>
        <v>9173.76</v>
      </c>
      <c r="W457">
        <f t="shared" si="70"/>
        <v>5578.9460800000015</v>
      </c>
      <c r="X457">
        <f t="shared" si="71"/>
        <v>0.37816425337472737</v>
      </c>
    </row>
    <row r="458" spans="1:24" x14ac:dyDescent="0.25">
      <c r="A458" t="s">
        <v>470</v>
      </c>
      <c r="B458" s="13">
        <v>45265</v>
      </c>
      <c r="C458" s="8">
        <v>45272</v>
      </c>
      <c r="D458" s="8">
        <f t="shared" si="63"/>
        <v>45272</v>
      </c>
      <c r="E458" s="6">
        <f t="shared" si="64"/>
        <v>7</v>
      </c>
      <c r="F458" s="6" t="str">
        <f t="shared" si="65"/>
        <v>Q4-2023</v>
      </c>
      <c r="G458" t="s">
        <v>648</v>
      </c>
      <c r="H458" t="s">
        <v>655</v>
      </c>
      <c r="I458" t="s">
        <v>672</v>
      </c>
      <c r="J458" t="s">
        <v>701</v>
      </c>
      <c r="K458" t="s">
        <v>711</v>
      </c>
      <c r="L458" t="s">
        <v>721</v>
      </c>
      <c r="M458" t="s">
        <v>730</v>
      </c>
      <c r="N458">
        <f t="shared" si="66"/>
        <v>0.19030353744128642</v>
      </c>
      <c r="O458" t="s">
        <v>1189</v>
      </c>
      <c r="P458" s="4">
        <v>307.43</v>
      </c>
      <c r="Q458" s="4">
        <v>495.19</v>
      </c>
      <c r="R458" s="4" t="str">
        <f t="shared" si="67"/>
        <v>Profit</v>
      </c>
      <c r="S458">
        <v>0</v>
      </c>
      <c r="T458" s="4">
        <v>42</v>
      </c>
      <c r="U458">
        <f t="shared" si="68"/>
        <v>20797.98</v>
      </c>
      <c r="V458">
        <f t="shared" si="69"/>
        <v>12912.06</v>
      </c>
      <c r="W458">
        <f t="shared" si="70"/>
        <v>7885.92</v>
      </c>
      <c r="X458">
        <f t="shared" si="71"/>
        <v>0.37916759223732305</v>
      </c>
    </row>
    <row r="459" spans="1:24" x14ac:dyDescent="0.25">
      <c r="A459" t="s">
        <v>471</v>
      </c>
      <c r="B459" s="13">
        <v>45048</v>
      </c>
      <c r="C459" s="8">
        <v>45065</v>
      </c>
      <c r="D459" s="8">
        <f t="shared" si="63"/>
        <v>45065</v>
      </c>
      <c r="E459" s="6">
        <f t="shared" si="64"/>
        <v>17</v>
      </c>
      <c r="F459" s="6" t="str">
        <f t="shared" si="65"/>
        <v>Q2-2023</v>
      </c>
      <c r="G459" t="s">
        <v>647</v>
      </c>
      <c r="H459" t="s">
        <v>659</v>
      </c>
      <c r="I459" t="s">
        <v>685</v>
      </c>
      <c r="J459" t="s">
        <v>703</v>
      </c>
      <c r="K459" t="s">
        <v>711</v>
      </c>
      <c r="L459" t="s">
        <v>713</v>
      </c>
      <c r="M459" t="s">
        <v>732</v>
      </c>
      <c r="N459">
        <f t="shared" si="66"/>
        <v>7.1871205100290256E-2</v>
      </c>
      <c r="O459" t="s">
        <v>1190</v>
      </c>
      <c r="P459" s="4">
        <v>714.28</v>
      </c>
      <c r="Q459" s="4">
        <v>757.59</v>
      </c>
      <c r="R459" s="4" t="str">
        <f t="shared" si="67"/>
        <v>Profit</v>
      </c>
      <c r="S459">
        <v>0.13600000000000001</v>
      </c>
      <c r="T459" s="4">
        <v>12</v>
      </c>
      <c r="U459">
        <f t="shared" si="68"/>
        <v>7854.6931199999999</v>
      </c>
      <c r="V459">
        <f t="shared" si="69"/>
        <v>8571.36</v>
      </c>
      <c r="W459">
        <f t="shared" si="70"/>
        <v>-716.66688000000067</v>
      </c>
      <c r="X459">
        <f t="shared" si="71"/>
        <v>-9.1240595787910383E-2</v>
      </c>
    </row>
    <row r="460" spans="1:24" x14ac:dyDescent="0.25">
      <c r="A460" t="s">
        <v>472</v>
      </c>
      <c r="B460" s="13">
        <v>45260</v>
      </c>
      <c r="C460" s="8">
        <v>45270</v>
      </c>
      <c r="D460" s="8">
        <f t="shared" si="63"/>
        <v>45270</v>
      </c>
      <c r="E460" s="6">
        <f t="shared" si="64"/>
        <v>10</v>
      </c>
      <c r="F460" s="6" t="str">
        <f t="shared" si="65"/>
        <v>Q4-2023</v>
      </c>
      <c r="G460" t="s">
        <v>649</v>
      </c>
      <c r="H460" t="s">
        <v>656</v>
      </c>
      <c r="I460" t="s">
        <v>684</v>
      </c>
      <c r="J460" t="s">
        <v>705</v>
      </c>
      <c r="K460" t="s">
        <v>711</v>
      </c>
      <c r="L460" t="s">
        <v>721</v>
      </c>
      <c r="M460" t="s">
        <v>731</v>
      </c>
      <c r="N460">
        <f t="shared" si="66"/>
        <v>6.9936617262886774E-2</v>
      </c>
      <c r="O460" t="s">
        <v>1191</v>
      </c>
      <c r="P460" s="4">
        <v>174.74</v>
      </c>
      <c r="Q460" s="4">
        <v>415.96</v>
      </c>
      <c r="R460" s="4" t="str">
        <f t="shared" si="67"/>
        <v>Profit</v>
      </c>
      <c r="S460">
        <v>0.125</v>
      </c>
      <c r="T460" s="4">
        <v>21</v>
      </c>
      <c r="U460">
        <f t="shared" si="68"/>
        <v>7643.2649999999994</v>
      </c>
      <c r="V460">
        <f t="shared" si="69"/>
        <v>3669.54</v>
      </c>
      <c r="W460">
        <f t="shared" si="70"/>
        <v>3973.7249999999995</v>
      </c>
      <c r="X460">
        <f t="shared" si="71"/>
        <v>0.51989889137691803</v>
      </c>
    </row>
    <row r="461" spans="1:24" x14ac:dyDescent="0.25">
      <c r="A461" t="s">
        <v>473</v>
      </c>
      <c r="B461" s="13">
        <v>45417</v>
      </c>
      <c r="C461" s="8">
        <v>45430</v>
      </c>
      <c r="D461" s="8">
        <f t="shared" si="63"/>
        <v>45430</v>
      </c>
      <c r="E461" s="6">
        <f t="shared" si="64"/>
        <v>13</v>
      </c>
      <c r="F461" s="6" t="str">
        <f t="shared" si="65"/>
        <v>Q2-2024</v>
      </c>
      <c r="G461" t="s">
        <v>649</v>
      </c>
      <c r="H461" t="s">
        <v>657</v>
      </c>
      <c r="I461" t="s">
        <v>673</v>
      </c>
      <c r="J461" t="s">
        <v>701</v>
      </c>
      <c r="K461" t="s">
        <v>709</v>
      </c>
      <c r="L461" t="s">
        <v>720</v>
      </c>
      <c r="M461" t="s">
        <v>727</v>
      </c>
      <c r="N461">
        <f t="shared" si="66"/>
        <v>0.22254472824408278</v>
      </c>
      <c r="O461" t="s">
        <v>1192</v>
      </c>
      <c r="P461" s="4">
        <v>1264.04</v>
      </c>
      <c r="Q461" s="4">
        <v>1870.89</v>
      </c>
      <c r="R461" s="4" t="str">
        <f t="shared" si="67"/>
        <v>Profit</v>
      </c>
      <c r="S461">
        <v>0</v>
      </c>
      <c r="T461" s="4">
        <v>13</v>
      </c>
      <c r="U461">
        <f t="shared" si="68"/>
        <v>24321.57</v>
      </c>
      <c r="V461">
        <f t="shared" si="69"/>
        <v>16432.52</v>
      </c>
      <c r="W461">
        <f t="shared" si="70"/>
        <v>7889.0499999999993</v>
      </c>
      <c r="X461">
        <f t="shared" si="71"/>
        <v>0.32436433996653996</v>
      </c>
    </row>
    <row r="462" spans="1:24" x14ac:dyDescent="0.25">
      <c r="A462" t="s">
        <v>474</v>
      </c>
      <c r="B462" s="13">
        <v>45116</v>
      </c>
      <c r="C462" s="8">
        <v>45126</v>
      </c>
      <c r="D462" s="8">
        <f t="shared" si="63"/>
        <v>45126</v>
      </c>
      <c r="E462" s="6">
        <f t="shared" si="64"/>
        <v>10</v>
      </c>
      <c r="F462" s="6" t="str">
        <f t="shared" si="65"/>
        <v>Q3-2023</v>
      </c>
      <c r="G462" t="s">
        <v>647</v>
      </c>
      <c r="H462" t="s">
        <v>652</v>
      </c>
      <c r="I462" t="s">
        <v>689</v>
      </c>
      <c r="J462" t="s">
        <v>706</v>
      </c>
      <c r="K462" t="s">
        <v>710</v>
      </c>
      <c r="L462" t="s">
        <v>725</v>
      </c>
      <c r="M462" t="s">
        <v>727</v>
      </c>
      <c r="N462">
        <f t="shared" si="66"/>
        <v>1.5213816748183394E-2</v>
      </c>
      <c r="O462" t="s">
        <v>1193</v>
      </c>
      <c r="P462" s="4">
        <v>141.26</v>
      </c>
      <c r="Q462" s="4">
        <v>206.88</v>
      </c>
      <c r="R462" s="4" t="str">
        <f t="shared" si="67"/>
        <v>Profit</v>
      </c>
      <c r="S462">
        <v>0.107</v>
      </c>
      <c r="T462" s="4">
        <v>9</v>
      </c>
      <c r="U462">
        <f t="shared" si="68"/>
        <v>1662.6945600000001</v>
      </c>
      <c r="V462">
        <f t="shared" si="69"/>
        <v>1271.3399999999999</v>
      </c>
      <c r="W462">
        <f t="shared" si="70"/>
        <v>391.35456000000022</v>
      </c>
      <c r="X462">
        <f t="shared" si="71"/>
        <v>0.23537369365062469</v>
      </c>
    </row>
    <row r="463" spans="1:24" x14ac:dyDescent="0.25">
      <c r="A463" t="s">
        <v>475</v>
      </c>
      <c r="B463" s="13">
        <v>45063</v>
      </c>
      <c r="C463" s="8">
        <v>45092</v>
      </c>
      <c r="D463" s="8">
        <f t="shared" si="63"/>
        <v>45092</v>
      </c>
      <c r="E463" s="6">
        <f t="shared" si="64"/>
        <v>29</v>
      </c>
      <c r="F463" s="6" t="str">
        <f t="shared" si="65"/>
        <v>Q2-2023</v>
      </c>
      <c r="G463" t="s">
        <v>646</v>
      </c>
      <c r="H463" t="s">
        <v>661</v>
      </c>
      <c r="I463" t="s">
        <v>687</v>
      </c>
      <c r="J463" t="s">
        <v>706</v>
      </c>
      <c r="K463" t="s">
        <v>707</v>
      </c>
      <c r="L463" t="s">
        <v>723</v>
      </c>
      <c r="M463" t="s">
        <v>733</v>
      </c>
      <c r="N463">
        <f t="shared" si="66"/>
        <v>8.5111983838846994E-3</v>
      </c>
      <c r="O463" t="s">
        <v>1194</v>
      </c>
      <c r="P463" s="4">
        <v>40.89</v>
      </c>
      <c r="Q463" s="4">
        <v>62.82</v>
      </c>
      <c r="R463" s="4" t="str">
        <f t="shared" si="67"/>
        <v>Profit</v>
      </c>
      <c r="S463">
        <v>0.129</v>
      </c>
      <c r="T463" s="4">
        <v>17</v>
      </c>
      <c r="U463">
        <f t="shared" si="68"/>
        <v>930.17574000000002</v>
      </c>
      <c r="V463">
        <f t="shared" si="69"/>
        <v>695.13</v>
      </c>
      <c r="W463">
        <f t="shared" si="70"/>
        <v>235.04574000000002</v>
      </c>
      <c r="X463">
        <f t="shared" si="71"/>
        <v>0.25268960465470752</v>
      </c>
    </row>
    <row r="464" spans="1:24" x14ac:dyDescent="0.25">
      <c r="A464" t="s">
        <v>476</v>
      </c>
      <c r="B464" s="13">
        <v>45358</v>
      </c>
      <c r="C464" s="8">
        <v>45385</v>
      </c>
      <c r="D464" s="8">
        <f t="shared" si="63"/>
        <v>45385</v>
      </c>
      <c r="E464" s="6">
        <f t="shared" si="64"/>
        <v>27</v>
      </c>
      <c r="F464" s="6" t="str">
        <f t="shared" si="65"/>
        <v>Q1-2024</v>
      </c>
      <c r="G464" t="s">
        <v>649</v>
      </c>
      <c r="H464" t="s">
        <v>656</v>
      </c>
      <c r="I464" t="s">
        <v>698</v>
      </c>
      <c r="J464" t="s">
        <v>701</v>
      </c>
      <c r="K464" t="s">
        <v>711</v>
      </c>
      <c r="L464" t="s">
        <v>724</v>
      </c>
      <c r="M464" t="s">
        <v>728</v>
      </c>
      <c r="N464">
        <f t="shared" si="66"/>
        <v>3.7108380017453424E-2</v>
      </c>
      <c r="O464" t="s">
        <v>1195</v>
      </c>
      <c r="P464" s="4">
        <v>738.16</v>
      </c>
      <c r="Q464" s="4">
        <v>956.49</v>
      </c>
      <c r="R464" s="4" t="str">
        <f t="shared" si="67"/>
        <v>Profit</v>
      </c>
      <c r="S464">
        <v>0.152</v>
      </c>
      <c r="T464" s="4">
        <v>5</v>
      </c>
      <c r="U464">
        <f t="shared" si="68"/>
        <v>4055.5175999999997</v>
      </c>
      <c r="V464">
        <f t="shared" si="69"/>
        <v>3690.7999999999997</v>
      </c>
      <c r="W464">
        <f t="shared" si="70"/>
        <v>364.71759999999995</v>
      </c>
      <c r="X464">
        <f t="shared" si="71"/>
        <v>8.9931208780847108E-2</v>
      </c>
    </row>
    <row r="465" spans="1:24" x14ac:dyDescent="0.25">
      <c r="A465" t="s">
        <v>477</v>
      </c>
      <c r="B465" s="13">
        <v>45757</v>
      </c>
      <c r="C465" s="8">
        <v>45766</v>
      </c>
      <c r="D465" s="8">
        <f t="shared" si="63"/>
        <v>45766</v>
      </c>
      <c r="E465" s="6">
        <f t="shared" si="64"/>
        <v>9</v>
      </c>
      <c r="F465" s="6" t="str">
        <f t="shared" si="65"/>
        <v>Q2-2025</v>
      </c>
      <c r="G465" t="s">
        <v>646</v>
      </c>
      <c r="H465" t="s">
        <v>661</v>
      </c>
      <c r="I465" t="s">
        <v>687</v>
      </c>
      <c r="J465" t="s">
        <v>706</v>
      </c>
      <c r="K465" t="s">
        <v>1422</v>
      </c>
      <c r="L465" t="s">
        <v>715</v>
      </c>
      <c r="M465" t="s">
        <v>729</v>
      </c>
      <c r="N465">
        <f t="shared" si="66"/>
        <v>1.726615645375142E-2</v>
      </c>
      <c r="O465" t="s">
        <v>1196</v>
      </c>
      <c r="P465" s="4">
        <v>113.74</v>
      </c>
      <c r="Q465" s="4">
        <v>165.7</v>
      </c>
      <c r="R465" s="4" t="str">
        <f t="shared" si="67"/>
        <v>Profit</v>
      </c>
      <c r="S465">
        <v>0.124</v>
      </c>
      <c r="T465" s="4">
        <v>13</v>
      </c>
      <c r="U465">
        <f t="shared" si="68"/>
        <v>1886.9915999999998</v>
      </c>
      <c r="V465">
        <f t="shared" si="69"/>
        <v>1478.62</v>
      </c>
      <c r="W465">
        <f t="shared" si="70"/>
        <v>408.37159999999994</v>
      </c>
      <c r="X465">
        <f t="shared" si="71"/>
        <v>0.21641410592394794</v>
      </c>
    </row>
    <row r="466" spans="1:24" x14ac:dyDescent="0.25">
      <c r="A466" t="s">
        <v>478</v>
      </c>
      <c r="B466" s="13">
        <v>45865</v>
      </c>
      <c r="C466" s="8">
        <v>45884</v>
      </c>
      <c r="D466" s="8">
        <f t="shared" si="63"/>
        <v>45884</v>
      </c>
      <c r="E466" s="6">
        <f t="shared" si="64"/>
        <v>19</v>
      </c>
      <c r="F466" s="6" t="str">
        <f t="shared" si="65"/>
        <v>Q3-2025</v>
      </c>
      <c r="G466" t="s">
        <v>647</v>
      </c>
      <c r="H466" t="s">
        <v>652</v>
      </c>
      <c r="I466" t="s">
        <v>689</v>
      </c>
      <c r="J466" t="s">
        <v>705</v>
      </c>
      <c r="K466" t="s">
        <v>709</v>
      </c>
      <c r="L466" t="s">
        <v>713</v>
      </c>
      <c r="M466" t="s">
        <v>727</v>
      </c>
      <c r="N466">
        <f t="shared" si="66"/>
        <v>1.6543795812491654E-2</v>
      </c>
      <c r="O466" t="s">
        <v>1197</v>
      </c>
      <c r="P466" s="4">
        <v>275.43</v>
      </c>
      <c r="Q466" s="4">
        <v>608.36</v>
      </c>
      <c r="R466" s="4" t="str">
        <f t="shared" si="67"/>
        <v>Profit</v>
      </c>
      <c r="S466">
        <v>0.25700000000000001</v>
      </c>
      <c r="T466" s="4">
        <v>4</v>
      </c>
      <c r="U466">
        <f t="shared" si="68"/>
        <v>1808.04592</v>
      </c>
      <c r="V466">
        <f t="shared" si="69"/>
        <v>1101.72</v>
      </c>
      <c r="W466">
        <f t="shared" si="70"/>
        <v>706.32592</v>
      </c>
      <c r="X466">
        <f t="shared" si="71"/>
        <v>0.39065706915231446</v>
      </c>
    </row>
    <row r="467" spans="1:24" x14ac:dyDescent="0.25">
      <c r="A467" t="s">
        <v>479</v>
      </c>
      <c r="B467" s="13">
        <v>45618</v>
      </c>
      <c r="C467" s="8">
        <v>45641</v>
      </c>
      <c r="D467" s="8">
        <f t="shared" si="63"/>
        <v>45641</v>
      </c>
      <c r="E467" s="6">
        <f t="shared" si="64"/>
        <v>23</v>
      </c>
      <c r="F467" s="6" t="str">
        <f t="shared" si="65"/>
        <v>Q4-2024</v>
      </c>
      <c r="G467" t="s">
        <v>646</v>
      </c>
      <c r="H467" t="s">
        <v>650</v>
      </c>
      <c r="I467" t="s">
        <v>675</v>
      </c>
      <c r="J467" t="s">
        <v>703</v>
      </c>
      <c r="K467" t="s">
        <v>710</v>
      </c>
      <c r="L467" t="s">
        <v>712</v>
      </c>
      <c r="M467" t="s">
        <v>727</v>
      </c>
      <c r="N467">
        <f t="shared" si="66"/>
        <v>0.76985366783039288</v>
      </c>
      <c r="O467" t="s">
        <v>1198</v>
      </c>
      <c r="P467" s="4">
        <v>1335.76</v>
      </c>
      <c r="Q467" s="4">
        <v>2665.91</v>
      </c>
      <c r="R467" s="4" t="str">
        <f t="shared" si="67"/>
        <v>Profit</v>
      </c>
      <c r="S467">
        <v>0.21099999999999999</v>
      </c>
      <c r="T467" s="4">
        <v>40</v>
      </c>
      <c r="U467">
        <f t="shared" si="68"/>
        <v>84136.119600000005</v>
      </c>
      <c r="V467">
        <f t="shared" si="69"/>
        <v>53430.400000000001</v>
      </c>
      <c r="W467">
        <f t="shared" si="70"/>
        <v>30705.719600000004</v>
      </c>
      <c r="X467">
        <f t="shared" si="71"/>
        <v>0.36495288522909253</v>
      </c>
    </row>
    <row r="468" spans="1:24" x14ac:dyDescent="0.25">
      <c r="A468" t="s">
        <v>480</v>
      </c>
      <c r="B468" s="13">
        <v>45466</v>
      </c>
      <c r="C468" s="8">
        <v>45471</v>
      </c>
      <c r="D468" s="8">
        <f t="shared" si="63"/>
        <v>45471</v>
      </c>
      <c r="E468" s="6">
        <f t="shared" si="64"/>
        <v>5</v>
      </c>
      <c r="F468" s="6" t="str">
        <f t="shared" si="65"/>
        <v>Q2-2024</v>
      </c>
      <c r="G468" t="s">
        <v>646</v>
      </c>
      <c r="H468" t="s">
        <v>651</v>
      </c>
      <c r="I468" t="s">
        <v>663</v>
      </c>
      <c r="J468" t="s">
        <v>703</v>
      </c>
      <c r="K468" t="s">
        <v>711</v>
      </c>
      <c r="L468" t="s">
        <v>724</v>
      </c>
      <c r="M468" t="s">
        <v>733</v>
      </c>
      <c r="N468">
        <f t="shared" si="66"/>
        <v>2.4886953028293315E-2</v>
      </c>
      <c r="O468" t="s">
        <v>1199</v>
      </c>
      <c r="P468" s="4">
        <v>242.31</v>
      </c>
      <c r="Q468" s="4">
        <v>587.95000000000005</v>
      </c>
      <c r="R468" s="4" t="str">
        <f t="shared" si="67"/>
        <v>Profit</v>
      </c>
      <c r="S468">
        <v>0.22900000000000001</v>
      </c>
      <c r="T468" s="4">
        <v>6</v>
      </c>
      <c r="U468">
        <f t="shared" si="68"/>
        <v>2719.8567000000003</v>
      </c>
      <c r="V468">
        <f t="shared" si="69"/>
        <v>1453.8600000000001</v>
      </c>
      <c r="W468">
        <f t="shared" si="70"/>
        <v>1265.9967000000001</v>
      </c>
      <c r="X468">
        <f t="shared" si="71"/>
        <v>0.46546448568411714</v>
      </c>
    </row>
    <row r="469" spans="1:24" x14ac:dyDescent="0.25">
      <c r="A469" t="s">
        <v>481</v>
      </c>
      <c r="B469" s="13">
        <v>45278</v>
      </c>
      <c r="C469" s="8">
        <v>45305</v>
      </c>
      <c r="D469" s="8">
        <f t="shared" si="63"/>
        <v>45305</v>
      </c>
      <c r="E469" s="6">
        <f t="shared" si="64"/>
        <v>27</v>
      </c>
      <c r="F469" s="6" t="str">
        <f t="shared" si="65"/>
        <v>Q4-2023</v>
      </c>
      <c r="G469" t="s">
        <v>647</v>
      </c>
      <c r="H469" t="s">
        <v>654</v>
      </c>
      <c r="I469" t="s">
        <v>691</v>
      </c>
      <c r="J469" t="s">
        <v>704</v>
      </c>
      <c r="K469" t="s">
        <v>710</v>
      </c>
      <c r="L469" t="s">
        <v>726</v>
      </c>
      <c r="M469" t="s">
        <v>729</v>
      </c>
      <c r="N469">
        <f t="shared" si="66"/>
        <v>0.13049799365790143</v>
      </c>
      <c r="O469" t="s">
        <v>1200</v>
      </c>
      <c r="P469" s="4">
        <v>1408.3</v>
      </c>
      <c r="Q469" s="4">
        <v>2193.13</v>
      </c>
      <c r="R469" s="4" t="str">
        <f t="shared" si="67"/>
        <v>Profit</v>
      </c>
      <c r="S469">
        <v>7.0999999999999994E-2</v>
      </c>
      <c r="T469" s="4">
        <v>7</v>
      </c>
      <c r="U469">
        <f t="shared" si="68"/>
        <v>14261.92439</v>
      </c>
      <c r="V469">
        <f t="shared" si="69"/>
        <v>9858.1</v>
      </c>
      <c r="W469">
        <f t="shared" si="70"/>
        <v>4403.8243899999998</v>
      </c>
      <c r="X469">
        <f t="shared" si="71"/>
        <v>0.30878191957656281</v>
      </c>
    </row>
    <row r="470" spans="1:24" x14ac:dyDescent="0.25">
      <c r="A470" t="s">
        <v>482</v>
      </c>
      <c r="B470" s="13">
        <v>45809</v>
      </c>
      <c r="C470" s="8">
        <v>45813</v>
      </c>
      <c r="D470" s="8">
        <f t="shared" si="63"/>
        <v>45813</v>
      </c>
      <c r="E470" s="6">
        <f t="shared" si="64"/>
        <v>4</v>
      </c>
      <c r="F470" s="6" t="str">
        <f t="shared" si="65"/>
        <v>Q2-2025</v>
      </c>
      <c r="G470" t="s">
        <v>649</v>
      </c>
      <c r="H470" t="s">
        <v>656</v>
      </c>
      <c r="I470" t="s">
        <v>684</v>
      </c>
      <c r="J470" t="s">
        <v>706</v>
      </c>
      <c r="K470" t="s">
        <v>711</v>
      </c>
      <c r="L470" t="s">
        <v>724</v>
      </c>
      <c r="M470" t="s">
        <v>727</v>
      </c>
      <c r="N470">
        <f t="shared" si="66"/>
        <v>0.23121462829189354</v>
      </c>
      <c r="O470" t="s">
        <v>1201</v>
      </c>
      <c r="P470" s="4">
        <v>1171.42</v>
      </c>
      <c r="Q470" s="4">
        <v>2187.8000000000002</v>
      </c>
      <c r="R470" s="4" t="str">
        <f t="shared" si="67"/>
        <v>Profit</v>
      </c>
      <c r="S470">
        <v>0.23</v>
      </c>
      <c r="T470" s="4">
        <v>15</v>
      </c>
      <c r="U470">
        <f t="shared" si="68"/>
        <v>25269.09</v>
      </c>
      <c r="V470">
        <f t="shared" si="69"/>
        <v>17571.300000000003</v>
      </c>
      <c r="W470">
        <f t="shared" si="70"/>
        <v>7697.7899999999972</v>
      </c>
      <c r="X470">
        <f t="shared" si="71"/>
        <v>0.30463265594447592</v>
      </c>
    </row>
    <row r="471" spans="1:24" x14ac:dyDescent="0.25">
      <c r="A471" t="s">
        <v>483</v>
      </c>
      <c r="B471" s="13">
        <v>45739</v>
      </c>
      <c r="C471" s="8">
        <v>45749</v>
      </c>
      <c r="D471" s="8">
        <f t="shared" si="63"/>
        <v>45749</v>
      </c>
      <c r="E471" s="6">
        <f t="shared" si="64"/>
        <v>10</v>
      </c>
      <c r="F471" s="6" t="str">
        <f t="shared" si="65"/>
        <v>Q1-2025</v>
      </c>
      <c r="G471" t="s">
        <v>649</v>
      </c>
      <c r="H471" t="s">
        <v>656</v>
      </c>
      <c r="I471" t="s">
        <v>671</v>
      </c>
      <c r="J471" t="s">
        <v>706</v>
      </c>
      <c r="K471" t="s">
        <v>708</v>
      </c>
      <c r="L471" t="s">
        <v>718</v>
      </c>
      <c r="M471" t="s">
        <v>728</v>
      </c>
      <c r="N471">
        <f t="shared" si="66"/>
        <v>0.14870939165572583</v>
      </c>
      <c r="O471" t="s">
        <v>1202</v>
      </c>
      <c r="P471" s="4">
        <v>663.61</v>
      </c>
      <c r="Q471" s="4">
        <v>1002.11</v>
      </c>
      <c r="R471" s="4" t="str">
        <f t="shared" si="67"/>
        <v>Profit</v>
      </c>
      <c r="S471">
        <v>4.5999999999999999E-2</v>
      </c>
      <c r="T471" s="4">
        <v>17</v>
      </c>
      <c r="U471">
        <f t="shared" si="68"/>
        <v>16252.219979999998</v>
      </c>
      <c r="V471">
        <f t="shared" si="69"/>
        <v>11281.37</v>
      </c>
      <c r="W471">
        <f t="shared" si="70"/>
        <v>4970.8499799999972</v>
      </c>
      <c r="X471">
        <f t="shared" si="71"/>
        <v>0.30585667595670812</v>
      </c>
    </row>
    <row r="472" spans="1:24" x14ac:dyDescent="0.25">
      <c r="A472" t="s">
        <v>484</v>
      </c>
      <c r="B472" s="13">
        <v>45060</v>
      </c>
      <c r="C472" s="8">
        <v>45068</v>
      </c>
      <c r="D472" s="8">
        <f t="shared" si="63"/>
        <v>45068</v>
      </c>
      <c r="E472" s="6">
        <f t="shared" si="64"/>
        <v>8</v>
      </c>
      <c r="F472" s="6" t="str">
        <f t="shared" si="65"/>
        <v>Q2-2023</v>
      </c>
      <c r="G472" t="s">
        <v>646</v>
      </c>
      <c r="H472" t="s">
        <v>650</v>
      </c>
      <c r="I472" t="s">
        <v>675</v>
      </c>
      <c r="J472" t="s">
        <v>705</v>
      </c>
      <c r="K472" t="s">
        <v>710</v>
      </c>
      <c r="L472" t="s">
        <v>721</v>
      </c>
      <c r="M472" t="s">
        <v>728</v>
      </c>
      <c r="N472">
        <f t="shared" si="66"/>
        <v>9.5417737888421991E-2</v>
      </c>
      <c r="O472" t="s">
        <v>1203</v>
      </c>
      <c r="P472" s="4">
        <v>432.01</v>
      </c>
      <c r="Q472" s="4">
        <v>913.78</v>
      </c>
      <c r="R472" s="4" t="str">
        <f t="shared" si="67"/>
        <v>Profit</v>
      </c>
      <c r="S472">
        <v>4.9000000000000002E-2</v>
      </c>
      <c r="T472" s="4">
        <v>12</v>
      </c>
      <c r="U472">
        <f t="shared" si="68"/>
        <v>10428.057360000001</v>
      </c>
      <c r="V472">
        <f t="shared" si="69"/>
        <v>5184.12</v>
      </c>
      <c r="W472">
        <f t="shared" si="70"/>
        <v>5243.9373600000008</v>
      </c>
      <c r="X472">
        <f t="shared" si="71"/>
        <v>0.50286809699711899</v>
      </c>
    </row>
    <row r="473" spans="1:24" x14ac:dyDescent="0.25">
      <c r="A473" t="s">
        <v>485</v>
      </c>
      <c r="B473" s="13">
        <v>45167</v>
      </c>
      <c r="C473" s="8">
        <v>45188</v>
      </c>
      <c r="D473" s="8">
        <f t="shared" si="63"/>
        <v>45188</v>
      </c>
      <c r="E473" s="6">
        <f t="shared" si="64"/>
        <v>21</v>
      </c>
      <c r="F473" s="6" t="str">
        <f t="shared" si="65"/>
        <v>Q3-2023</v>
      </c>
      <c r="G473" t="s">
        <v>649</v>
      </c>
      <c r="H473" t="s">
        <v>657</v>
      </c>
      <c r="I473" t="s">
        <v>679</v>
      </c>
      <c r="J473" t="s">
        <v>705</v>
      </c>
      <c r="K473" t="s">
        <v>711</v>
      </c>
      <c r="L473" t="s">
        <v>717</v>
      </c>
      <c r="M473" t="s">
        <v>728</v>
      </c>
      <c r="N473">
        <f t="shared" si="66"/>
        <v>0.33443082836112259</v>
      </c>
      <c r="O473" t="s">
        <v>1204</v>
      </c>
      <c r="P473" s="4">
        <v>784.46</v>
      </c>
      <c r="Q473" s="4">
        <v>1843.51</v>
      </c>
      <c r="R473" s="4" t="str">
        <f t="shared" si="67"/>
        <v>Profit</v>
      </c>
      <c r="S473">
        <v>0.13800000000000001</v>
      </c>
      <c r="T473" s="4">
        <v>23</v>
      </c>
      <c r="U473">
        <f t="shared" si="68"/>
        <v>36549.429260000004</v>
      </c>
      <c r="V473">
        <f t="shared" si="69"/>
        <v>18042.580000000002</v>
      </c>
      <c r="W473">
        <f t="shared" si="70"/>
        <v>18506.849260000003</v>
      </c>
      <c r="X473">
        <f t="shared" si="71"/>
        <v>0.50635125184441798</v>
      </c>
    </row>
    <row r="474" spans="1:24" x14ac:dyDescent="0.25">
      <c r="A474" t="s">
        <v>486</v>
      </c>
      <c r="B474" s="13">
        <v>45841</v>
      </c>
      <c r="C474" s="8">
        <v>45861</v>
      </c>
      <c r="D474" s="8">
        <f t="shared" si="63"/>
        <v>45861</v>
      </c>
      <c r="E474" s="6">
        <f t="shared" si="64"/>
        <v>20</v>
      </c>
      <c r="F474" s="6" t="str">
        <f t="shared" si="65"/>
        <v>Q3-2025</v>
      </c>
      <c r="G474" t="s">
        <v>647</v>
      </c>
      <c r="H474" t="s">
        <v>659</v>
      </c>
      <c r="I474" t="s">
        <v>699</v>
      </c>
      <c r="J474" t="s">
        <v>705</v>
      </c>
      <c r="K474" t="s">
        <v>708</v>
      </c>
      <c r="L474" t="s">
        <v>724</v>
      </c>
      <c r="M474" t="s">
        <v>727</v>
      </c>
      <c r="N474">
        <f t="shared" si="66"/>
        <v>0.14067874685784987</v>
      </c>
      <c r="O474" t="s">
        <v>1205</v>
      </c>
      <c r="P474" s="4">
        <v>647.36</v>
      </c>
      <c r="Q474" s="4">
        <v>1383.6</v>
      </c>
      <c r="R474" s="4" t="str">
        <f t="shared" si="67"/>
        <v>Profit</v>
      </c>
      <c r="S474">
        <v>7.3999999999999996E-2</v>
      </c>
      <c r="T474" s="4">
        <v>12</v>
      </c>
      <c r="U474">
        <f t="shared" si="68"/>
        <v>15374.563199999999</v>
      </c>
      <c r="V474">
        <f t="shared" si="69"/>
        <v>7768.32</v>
      </c>
      <c r="W474">
        <f t="shared" si="70"/>
        <v>7606.243199999999</v>
      </c>
      <c r="X474">
        <f t="shared" si="71"/>
        <v>0.49472906000997802</v>
      </c>
    </row>
    <row r="475" spans="1:24" x14ac:dyDescent="0.25">
      <c r="A475" t="s">
        <v>487</v>
      </c>
      <c r="B475" s="13">
        <v>45328</v>
      </c>
      <c r="C475" s="8">
        <v>45350</v>
      </c>
      <c r="D475" s="8">
        <f t="shared" si="63"/>
        <v>45350</v>
      </c>
      <c r="E475" s="6">
        <f t="shared" si="64"/>
        <v>22</v>
      </c>
      <c r="F475" s="6" t="str">
        <f t="shared" si="65"/>
        <v>Q1-2024</v>
      </c>
      <c r="G475" t="s">
        <v>646</v>
      </c>
      <c r="H475" t="s">
        <v>650</v>
      </c>
      <c r="I475" t="s">
        <v>662</v>
      </c>
      <c r="J475" t="s">
        <v>703</v>
      </c>
      <c r="K475" t="s">
        <v>708</v>
      </c>
      <c r="L475" t="s">
        <v>723</v>
      </c>
      <c r="M475" t="s">
        <v>732</v>
      </c>
      <c r="N475">
        <f t="shared" si="66"/>
        <v>7.6222608828883653E-2</v>
      </c>
      <c r="O475" t="s">
        <v>1206</v>
      </c>
      <c r="P475" s="4">
        <v>834.93</v>
      </c>
      <c r="Q475" s="4">
        <v>1588.53</v>
      </c>
      <c r="R475" s="4" t="str">
        <f t="shared" si="67"/>
        <v>Profit</v>
      </c>
      <c r="S475">
        <v>0.126</v>
      </c>
      <c r="T475" s="4">
        <v>6</v>
      </c>
      <c r="U475">
        <f t="shared" si="68"/>
        <v>8330.2513199999994</v>
      </c>
      <c r="V475">
        <f t="shared" si="69"/>
        <v>5009.58</v>
      </c>
      <c r="W475">
        <f t="shared" si="70"/>
        <v>3320.6713199999995</v>
      </c>
      <c r="X475">
        <f t="shared" si="71"/>
        <v>0.39862798761274343</v>
      </c>
    </row>
    <row r="476" spans="1:24" x14ac:dyDescent="0.25">
      <c r="A476" t="s">
        <v>488</v>
      </c>
      <c r="B476" s="13">
        <v>45882</v>
      </c>
      <c r="C476" s="8">
        <v>45903</v>
      </c>
      <c r="D476" s="8">
        <f t="shared" si="63"/>
        <v>45903</v>
      </c>
      <c r="E476" s="6">
        <f t="shared" si="64"/>
        <v>21</v>
      </c>
      <c r="F476" s="6" t="str">
        <f t="shared" si="65"/>
        <v>Q3-2025</v>
      </c>
      <c r="G476" t="s">
        <v>649</v>
      </c>
      <c r="H476" t="s">
        <v>657</v>
      </c>
      <c r="I476" t="s">
        <v>690</v>
      </c>
      <c r="J476" t="s">
        <v>702</v>
      </c>
      <c r="K476" t="s">
        <v>707</v>
      </c>
      <c r="L476" t="s">
        <v>714</v>
      </c>
      <c r="M476" t="s">
        <v>730</v>
      </c>
      <c r="N476">
        <f t="shared" si="66"/>
        <v>0.17598707126922047</v>
      </c>
      <c r="O476" t="s">
        <v>1207</v>
      </c>
      <c r="P476" s="4">
        <v>603.47</v>
      </c>
      <c r="Q476" s="4">
        <v>1344.05</v>
      </c>
      <c r="R476" s="4" t="str">
        <f t="shared" si="67"/>
        <v>Profit</v>
      </c>
      <c r="S476">
        <v>0.20499999999999999</v>
      </c>
      <c r="T476" s="4">
        <v>18</v>
      </c>
      <c r="U476">
        <f t="shared" si="68"/>
        <v>19233.355499999998</v>
      </c>
      <c r="V476">
        <f t="shared" si="69"/>
        <v>10862.460000000001</v>
      </c>
      <c r="W476">
        <f t="shared" si="70"/>
        <v>8370.8954999999969</v>
      </c>
      <c r="X476">
        <f t="shared" si="71"/>
        <v>0.43522803392262976</v>
      </c>
    </row>
    <row r="477" spans="1:24" x14ac:dyDescent="0.25">
      <c r="A477" t="s">
        <v>489</v>
      </c>
      <c r="B477" s="13">
        <v>45069</v>
      </c>
      <c r="C477" s="8">
        <v>45071</v>
      </c>
      <c r="D477" s="8">
        <f t="shared" si="63"/>
        <v>45071</v>
      </c>
      <c r="E477" s="6">
        <f t="shared" si="64"/>
        <v>2</v>
      </c>
      <c r="F477" s="6" t="str">
        <f t="shared" si="65"/>
        <v>Q2-2023</v>
      </c>
      <c r="G477" t="s">
        <v>648</v>
      </c>
      <c r="H477" t="s">
        <v>655</v>
      </c>
      <c r="I477" t="s">
        <v>692</v>
      </c>
      <c r="J477" t="s">
        <v>706</v>
      </c>
      <c r="K477" t="s">
        <v>707</v>
      </c>
      <c r="L477" t="s">
        <v>724</v>
      </c>
      <c r="M477" t="s">
        <v>728</v>
      </c>
      <c r="N477">
        <f t="shared" si="66"/>
        <v>0.24882913297003725</v>
      </c>
      <c r="O477" t="s">
        <v>1208</v>
      </c>
      <c r="P477" s="4">
        <v>690.49</v>
      </c>
      <c r="Q477" s="4">
        <v>1290.29</v>
      </c>
      <c r="R477" s="4" t="str">
        <f t="shared" si="67"/>
        <v>Profit</v>
      </c>
      <c r="S477">
        <v>4.2000000000000003E-2</v>
      </c>
      <c r="T477" s="4">
        <v>22</v>
      </c>
      <c r="U477">
        <f t="shared" si="68"/>
        <v>27194.152039999997</v>
      </c>
      <c r="V477">
        <f t="shared" si="69"/>
        <v>15190.78</v>
      </c>
      <c r="W477">
        <f t="shared" si="70"/>
        <v>12003.372039999997</v>
      </c>
      <c r="X477">
        <f t="shared" si="71"/>
        <v>0.44139534199647718</v>
      </c>
    </row>
    <row r="478" spans="1:24" x14ac:dyDescent="0.25">
      <c r="A478" t="s">
        <v>490</v>
      </c>
      <c r="B478" s="13">
        <v>45422</v>
      </c>
      <c r="C478" s="8">
        <v>45428</v>
      </c>
      <c r="D478" s="8">
        <f t="shared" si="63"/>
        <v>45428</v>
      </c>
      <c r="E478" s="6">
        <f t="shared" si="64"/>
        <v>6</v>
      </c>
      <c r="F478" s="6" t="str">
        <f t="shared" si="65"/>
        <v>Q2-2024</v>
      </c>
      <c r="G478" t="s">
        <v>649</v>
      </c>
      <c r="H478" t="s">
        <v>658</v>
      </c>
      <c r="I478" t="s">
        <v>674</v>
      </c>
      <c r="J478" t="s">
        <v>703</v>
      </c>
      <c r="K478" t="s">
        <v>711</v>
      </c>
      <c r="L478" t="s">
        <v>715</v>
      </c>
      <c r="M478" t="s">
        <v>731</v>
      </c>
      <c r="N478">
        <f t="shared" si="66"/>
        <v>9.2351646841916553E-3</v>
      </c>
      <c r="O478" t="s">
        <v>1209</v>
      </c>
      <c r="P478" s="4">
        <v>210.76</v>
      </c>
      <c r="Q478" s="4">
        <v>221.58</v>
      </c>
      <c r="R478" s="4" t="str">
        <f t="shared" si="67"/>
        <v>Profit</v>
      </c>
      <c r="S478">
        <v>8.8999999999999996E-2</v>
      </c>
      <c r="T478" s="4">
        <v>5</v>
      </c>
      <c r="U478">
        <f t="shared" si="68"/>
        <v>1009.2969000000002</v>
      </c>
      <c r="V478">
        <f t="shared" si="69"/>
        <v>1053.8</v>
      </c>
      <c r="W478">
        <f t="shared" si="70"/>
        <v>-44.50309999999979</v>
      </c>
      <c r="X478">
        <f t="shared" si="71"/>
        <v>-4.4093170205912434E-2</v>
      </c>
    </row>
    <row r="479" spans="1:24" x14ac:dyDescent="0.25">
      <c r="A479" t="s">
        <v>491</v>
      </c>
      <c r="B479" s="13">
        <v>44999</v>
      </c>
      <c r="C479" s="8">
        <v>45003</v>
      </c>
      <c r="D479" s="8">
        <f t="shared" si="63"/>
        <v>45003</v>
      </c>
      <c r="E479" s="6">
        <f t="shared" si="64"/>
        <v>4</v>
      </c>
      <c r="F479" s="6" t="str">
        <f t="shared" si="65"/>
        <v>Q1-2023</v>
      </c>
      <c r="G479" t="s">
        <v>649</v>
      </c>
      <c r="H479" t="s">
        <v>656</v>
      </c>
      <c r="I479" t="s">
        <v>698</v>
      </c>
      <c r="J479" t="s">
        <v>706</v>
      </c>
      <c r="K479" t="s">
        <v>711</v>
      </c>
      <c r="L479" t="s">
        <v>720</v>
      </c>
      <c r="M479" t="s">
        <v>727</v>
      </c>
      <c r="N479">
        <f t="shared" si="66"/>
        <v>3.8543636805488987E-2</v>
      </c>
      <c r="O479" t="s">
        <v>1210</v>
      </c>
      <c r="P479" s="4">
        <v>472.33</v>
      </c>
      <c r="Q479" s="4">
        <v>360.34</v>
      </c>
      <c r="R479" s="4" t="str">
        <f t="shared" si="67"/>
        <v>Loss</v>
      </c>
      <c r="S479">
        <v>0.16500000000000001</v>
      </c>
      <c r="T479" s="4">
        <v>14</v>
      </c>
      <c r="U479">
        <f t="shared" si="68"/>
        <v>4212.3745999999992</v>
      </c>
      <c r="V479">
        <f t="shared" si="69"/>
        <v>6612.62</v>
      </c>
      <c r="W479">
        <f t="shared" si="70"/>
        <v>-2400.2454000000007</v>
      </c>
      <c r="X479">
        <f t="shared" si="71"/>
        <v>-0.56980815523861561</v>
      </c>
    </row>
    <row r="480" spans="1:24" x14ac:dyDescent="0.25">
      <c r="A480" t="s">
        <v>492</v>
      </c>
      <c r="B480" s="13">
        <v>45123</v>
      </c>
      <c r="C480" s="8">
        <v>45151</v>
      </c>
      <c r="D480" s="8">
        <f t="shared" si="63"/>
        <v>45151</v>
      </c>
      <c r="E480" s="6">
        <f t="shared" si="64"/>
        <v>28</v>
      </c>
      <c r="F480" s="6" t="str">
        <f t="shared" si="65"/>
        <v>Q3-2023</v>
      </c>
      <c r="G480" t="s">
        <v>649</v>
      </c>
      <c r="H480" t="s">
        <v>658</v>
      </c>
      <c r="I480" t="s">
        <v>693</v>
      </c>
      <c r="J480" t="s">
        <v>703</v>
      </c>
      <c r="K480" t="s">
        <v>708</v>
      </c>
      <c r="L480" t="s">
        <v>713</v>
      </c>
      <c r="M480" t="s">
        <v>731</v>
      </c>
      <c r="N480">
        <f t="shared" si="66"/>
        <v>0.38351914673586579</v>
      </c>
      <c r="O480" t="s">
        <v>1211</v>
      </c>
      <c r="P480" s="4">
        <v>1039.03</v>
      </c>
      <c r="Q480" s="4">
        <v>2545.81</v>
      </c>
      <c r="R480" s="4" t="str">
        <f t="shared" si="67"/>
        <v>Profit</v>
      </c>
      <c r="S480">
        <v>0.216</v>
      </c>
      <c r="T480" s="4">
        <v>21</v>
      </c>
      <c r="U480">
        <f t="shared" si="68"/>
        <v>41914.215840000004</v>
      </c>
      <c r="V480">
        <f t="shared" si="69"/>
        <v>21819.63</v>
      </c>
      <c r="W480">
        <f t="shared" si="70"/>
        <v>20094.585840000003</v>
      </c>
      <c r="X480">
        <f t="shared" si="71"/>
        <v>0.47942172929364774</v>
      </c>
    </row>
    <row r="481" spans="1:24" x14ac:dyDescent="0.25">
      <c r="A481" t="s">
        <v>493</v>
      </c>
      <c r="B481" s="13">
        <v>45032</v>
      </c>
      <c r="C481" s="8">
        <v>45035</v>
      </c>
      <c r="D481" s="8">
        <f t="shared" si="63"/>
        <v>45035</v>
      </c>
      <c r="E481" s="6">
        <f t="shared" si="64"/>
        <v>3</v>
      </c>
      <c r="F481" s="6" t="str">
        <f t="shared" si="65"/>
        <v>Q2-2023</v>
      </c>
      <c r="G481" t="s">
        <v>649</v>
      </c>
      <c r="H481" t="s">
        <v>656</v>
      </c>
      <c r="I481" t="s">
        <v>684</v>
      </c>
      <c r="J481" t="s">
        <v>701</v>
      </c>
      <c r="K481" t="s">
        <v>711</v>
      </c>
      <c r="L481" t="s">
        <v>717</v>
      </c>
      <c r="M481" t="s">
        <v>733</v>
      </c>
      <c r="N481">
        <f t="shared" si="66"/>
        <v>0.2069830646968307</v>
      </c>
      <c r="O481" t="s">
        <v>1212</v>
      </c>
      <c r="P481" s="4">
        <v>553.61</v>
      </c>
      <c r="Q481" s="4">
        <v>699.47</v>
      </c>
      <c r="R481" s="4" t="str">
        <f t="shared" si="67"/>
        <v>Profit</v>
      </c>
      <c r="S481">
        <v>0.02</v>
      </c>
      <c r="T481" s="4">
        <v>33</v>
      </c>
      <c r="U481">
        <f t="shared" si="68"/>
        <v>22620.859800000002</v>
      </c>
      <c r="V481">
        <f t="shared" si="69"/>
        <v>18269.13</v>
      </c>
      <c r="W481">
        <f t="shared" si="70"/>
        <v>4351.729800000001</v>
      </c>
      <c r="X481">
        <f t="shared" si="71"/>
        <v>0.19237685209472014</v>
      </c>
    </row>
    <row r="482" spans="1:24" x14ac:dyDescent="0.25">
      <c r="A482" t="s">
        <v>494</v>
      </c>
      <c r="B482" s="13">
        <v>45293</v>
      </c>
      <c r="C482" s="8">
        <v>45306</v>
      </c>
      <c r="D482" s="8">
        <f t="shared" si="63"/>
        <v>45306</v>
      </c>
      <c r="E482" s="6">
        <f t="shared" si="64"/>
        <v>13</v>
      </c>
      <c r="F482" s="6" t="str">
        <f t="shared" si="65"/>
        <v>Q1-2024</v>
      </c>
      <c r="G482" t="s">
        <v>647</v>
      </c>
      <c r="H482" t="s">
        <v>652</v>
      </c>
      <c r="I482" t="s">
        <v>694</v>
      </c>
      <c r="J482" t="s">
        <v>705</v>
      </c>
      <c r="K482" t="s">
        <v>709</v>
      </c>
      <c r="L482" t="s">
        <v>715</v>
      </c>
      <c r="M482" t="s">
        <v>729</v>
      </c>
      <c r="N482">
        <f t="shared" si="66"/>
        <v>0.37047638890968526</v>
      </c>
      <c r="O482" t="s">
        <v>1213</v>
      </c>
      <c r="P482" s="4">
        <v>1219.06</v>
      </c>
      <c r="Q482" s="4">
        <v>2738.69</v>
      </c>
      <c r="R482" s="4" t="str">
        <f t="shared" si="67"/>
        <v>Profit</v>
      </c>
      <c r="S482">
        <v>7.5999999999999998E-2</v>
      </c>
      <c r="T482" s="4">
        <v>16</v>
      </c>
      <c r="U482">
        <f t="shared" si="68"/>
        <v>40488.792960000006</v>
      </c>
      <c r="V482">
        <f t="shared" si="69"/>
        <v>19504.96</v>
      </c>
      <c r="W482">
        <f t="shared" si="70"/>
        <v>20983.832960000007</v>
      </c>
      <c r="X482">
        <f t="shared" si="71"/>
        <v>0.51826274447673737</v>
      </c>
    </row>
    <row r="483" spans="1:24" x14ac:dyDescent="0.25">
      <c r="A483" t="s">
        <v>495</v>
      </c>
      <c r="B483" s="13">
        <v>45538</v>
      </c>
      <c r="C483" s="8">
        <v>45542</v>
      </c>
      <c r="D483" s="8">
        <f t="shared" si="63"/>
        <v>45542</v>
      </c>
      <c r="E483" s="6">
        <f t="shared" si="64"/>
        <v>4</v>
      </c>
      <c r="F483" s="6" t="str">
        <f t="shared" si="65"/>
        <v>Q3-2024</v>
      </c>
      <c r="G483" t="s">
        <v>647</v>
      </c>
      <c r="H483" t="s">
        <v>652</v>
      </c>
      <c r="I483" t="s">
        <v>689</v>
      </c>
      <c r="J483" t="s">
        <v>705</v>
      </c>
      <c r="K483" t="s">
        <v>710</v>
      </c>
      <c r="L483" t="s">
        <v>725</v>
      </c>
      <c r="M483" t="s">
        <v>728</v>
      </c>
      <c r="N483">
        <f t="shared" si="66"/>
        <v>4.3357974144020858E-2</v>
      </c>
      <c r="O483" t="s">
        <v>1214</v>
      </c>
      <c r="P483" s="4">
        <v>43.23</v>
      </c>
      <c r="Q483" s="4">
        <v>94.78</v>
      </c>
      <c r="R483" s="4" t="str">
        <f t="shared" si="67"/>
        <v>Profit</v>
      </c>
      <c r="S483">
        <v>9.0999999999999998E-2</v>
      </c>
      <c r="T483" s="4">
        <v>55</v>
      </c>
      <c r="U483">
        <f t="shared" si="68"/>
        <v>4738.5261</v>
      </c>
      <c r="V483">
        <f t="shared" si="69"/>
        <v>2377.6499999999996</v>
      </c>
      <c r="W483">
        <f t="shared" si="70"/>
        <v>2360.8761000000004</v>
      </c>
      <c r="X483">
        <f t="shared" si="71"/>
        <v>0.49823005090127082</v>
      </c>
    </row>
    <row r="484" spans="1:24" x14ac:dyDescent="0.25">
      <c r="A484" t="s">
        <v>496</v>
      </c>
      <c r="B484" s="13">
        <v>45899</v>
      </c>
      <c r="C484" s="8">
        <v>45903</v>
      </c>
      <c r="D484" s="8">
        <f t="shared" si="63"/>
        <v>45903</v>
      </c>
      <c r="E484" s="6">
        <f t="shared" si="64"/>
        <v>4</v>
      </c>
      <c r="F484" s="6" t="str">
        <f t="shared" si="65"/>
        <v>Q3-2025</v>
      </c>
      <c r="G484" t="s">
        <v>649</v>
      </c>
      <c r="H484" t="s">
        <v>657</v>
      </c>
      <c r="I484" t="s">
        <v>673</v>
      </c>
      <c r="J484" t="s">
        <v>705</v>
      </c>
      <c r="K484" t="s">
        <v>709</v>
      </c>
      <c r="L484" t="s">
        <v>713</v>
      </c>
      <c r="M484" t="s">
        <v>731</v>
      </c>
      <c r="N484">
        <f t="shared" si="66"/>
        <v>0.33087755045718337</v>
      </c>
      <c r="O484" t="s">
        <v>1215</v>
      </c>
      <c r="P484" s="4">
        <v>1286.56</v>
      </c>
      <c r="Q484" s="4">
        <v>2777.35</v>
      </c>
      <c r="R484" s="4" t="str">
        <f t="shared" si="67"/>
        <v>Profit</v>
      </c>
      <c r="S484">
        <v>0.13200000000000001</v>
      </c>
      <c r="T484" s="4">
        <v>15</v>
      </c>
      <c r="U484">
        <f t="shared" si="68"/>
        <v>36161.097000000002</v>
      </c>
      <c r="V484">
        <f t="shared" si="69"/>
        <v>19298.399999999998</v>
      </c>
      <c r="W484">
        <f t="shared" si="70"/>
        <v>16862.697000000004</v>
      </c>
      <c r="X484">
        <f t="shared" si="71"/>
        <v>0.46632150014696744</v>
      </c>
    </row>
    <row r="485" spans="1:24" x14ac:dyDescent="0.25">
      <c r="A485" t="s">
        <v>497</v>
      </c>
      <c r="B485" s="13">
        <v>45775</v>
      </c>
      <c r="C485" s="8">
        <v>45796</v>
      </c>
      <c r="D485" s="8">
        <f t="shared" si="63"/>
        <v>45796</v>
      </c>
      <c r="E485" s="6">
        <f t="shared" si="64"/>
        <v>21</v>
      </c>
      <c r="F485" s="6" t="str">
        <f t="shared" si="65"/>
        <v>Q2-2025</v>
      </c>
      <c r="G485" t="s">
        <v>649</v>
      </c>
      <c r="H485" t="s">
        <v>656</v>
      </c>
      <c r="I485" t="s">
        <v>671</v>
      </c>
      <c r="J485" t="s">
        <v>701</v>
      </c>
      <c r="K485" t="s">
        <v>710</v>
      </c>
      <c r="L485" t="s">
        <v>717</v>
      </c>
      <c r="M485" t="s">
        <v>730</v>
      </c>
      <c r="N485">
        <f t="shared" si="66"/>
        <v>4.6912905470514348E-2</v>
      </c>
      <c r="O485" t="s">
        <v>1216</v>
      </c>
      <c r="P485" s="4">
        <v>350.76</v>
      </c>
      <c r="Q485" s="4">
        <v>492.18</v>
      </c>
      <c r="R485" s="4" t="str">
        <f t="shared" si="67"/>
        <v>Profit</v>
      </c>
      <c r="S485">
        <v>5.2999999999999999E-2</v>
      </c>
      <c r="T485" s="4">
        <v>11</v>
      </c>
      <c r="U485">
        <f t="shared" si="68"/>
        <v>5127.0390600000001</v>
      </c>
      <c r="V485">
        <f t="shared" si="69"/>
        <v>3858.3599999999997</v>
      </c>
      <c r="W485">
        <f t="shared" si="70"/>
        <v>1268.6790600000004</v>
      </c>
      <c r="X485">
        <f t="shared" si="71"/>
        <v>0.24744868239798437</v>
      </c>
    </row>
    <row r="486" spans="1:24" x14ac:dyDescent="0.25">
      <c r="A486" t="s">
        <v>498</v>
      </c>
      <c r="B486" s="13">
        <v>45148</v>
      </c>
      <c r="C486" s="8">
        <v>45153</v>
      </c>
      <c r="D486" s="8">
        <f t="shared" si="63"/>
        <v>45153</v>
      </c>
      <c r="E486" s="6">
        <f t="shared" si="64"/>
        <v>5</v>
      </c>
      <c r="F486" s="6" t="str">
        <f t="shared" si="65"/>
        <v>Q3-2023</v>
      </c>
      <c r="G486" t="s">
        <v>648</v>
      </c>
      <c r="H486" t="s">
        <v>655</v>
      </c>
      <c r="I486" t="s">
        <v>670</v>
      </c>
      <c r="J486" t="s">
        <v>702</v>
      </c>
      <c r="K486" t="s">
        <v>711</v>
      </c>
      <c r="L486" t="s">
        <v>715</v>
      </c>
      <c r="M486" t="s">
        <v>729</v>
      </c>
      <c r="N486">
        <f t="shared" si="66"/>
        <v>0.20046702294390478</v>
      </c>
      <c r="O486" t="s">
        <v>1217</v>
      </c>
      <c r="P486" s="4">
        <v>1307.52</v>
      </c>
      <c r="Q486" s="4">
        <v>1921.65</v>
      </c>
      <c r="R486" s="4" t="str">
        <f t="shared" si="67"/>
        <v>Profit</v>
      </c>
      <c r="S486">
        <v>0.123</v>
      </c>
      <c r="T486" s="4">
        <v>13</v>
      </c>
      <c r="U486">
        <f t="shared" si="68"/>
        <v>21908.731650000002</v>
      </c>
      <c r="V486">
        <f t="shared" si="69"/>
        <v>16997.759999999998</v>
      </c>
      <c r="W486">
        <f t="shared" si="70"/>
        <v>4910.9716500000031</v>
      </c>
      <c r="X486">
        <f t="shared" si="71"/>
        <v>0.22415590863289445</v>
      </c>
    </row>
    <row r="487" spans="1:24" x14ac:dyDescent="0.25">
      <c r="A487" t="s">
        <v>499</v>
      </c>
      <c r="B487" s="13">
        <v>45634</v>
      </c>
      <c r="C487" s="8">
        <v>45634</v>
      </c>
      <c r="D487" s="8">
        <f t="shared" si="63"/>
        <v>45634</v>
      </c>
      <c r="E487" s="6">
        <f t="shared" si="64"/>
        <v>0</v>
      </c>
      <c r="F487" s="6" t="str">
        <f t="shared" si="65"/>
        <v>Q4-2024</v>
      </c>
      <c r="G487" t="s">
        <v>649</v>
      </c>
      <c r="H487" t="s">
        <v>657</v>
      </c>
      <c r="I487" t="s">
        <v>679</v>
      </c>
      <c r="J487" t="s">
        <v>706</v>
      </c>
      <c r="K487" t="s">
        <v>707</v>
      </c>
      <c r="L487" t="s">
        <v>722</v>
      </c>
      <c r="M487" t="s">
        <v>727</v>
      </c>
      <c r="N487">
        <f t="shared" si="66"/>
        <v>5.5479342258861877E-2</v>
      </c>
      <c r="O487" t="s">
        <v>1218</v>
      </c>
      <c r="P487" s="4">
        <v>257.44</v>
      </c>
      <c r="Q487" s="4">
        <v>290.33</v>
      </c>
      <c r="R487" s="4" t="str">
        <f t="shared" si="67"/>
        <v>Profit</v>
      </c>
      <c r="S487">
        <v>9.1999999999999998E-2</v>
      </c>
      <c r="T487" s="4">
        <v>23</v>
      </c>
      <c r="U487">
        <f t="shared" si="68"/>
        <v>6063.2517199999993</v>
      </c>
      <c r="V487">
        <f t="shared" si="69"/>
        <v>5921.12</v>
      </c>
      <c r="W487">
        <f t="shared" si="70"/>
        <v>142.1317199999994</v>
      </c>
      <c r="X487">
        <f t="shared" si="71"/>
        <v>2.3441500792581216E-2</v>
      </c>
    </row>
    <row r="488" spans="1:24" x14ac:dyDescent="0.25">
      <c r="A488" t="s">
        <v>500</v>
      </c>
      <c r="B488" s="13">
        <v>45224</v>
      </c>
      <c r="C488" s="8">
        <v>45254</v>
      </c>
      <c r="D488" s="8">
        <f t="shared" si="63"/>
        <v>45254</v>
      </c>
      <c r="E488" s="6">
        <f t="shared" si="64"/>
        <v>30</v>
      </c>
      <c r="F488" s="6" t="str">
        <f t="shared" si="65"/>
        <v>Q4-2023</v>
      </c>
      <c r="G488" t="s">
        <v>649</v>
      </c>
      <c r="H488" t="s">
        <v>657</v>
      </c>
      <c r="I488" t="s">
        <v>690</v>
      </c>
      <c r="J488" t="s">
        <v>706</v>
      </c>
      <c r="K488" t="s">
        <v>710</v>
      </c>
      <c r="L488" t="s">
        <v>712</v>
      </c>
      <c r="M488" t="s">
        <v>730</v>
      </c>
      <c r="N488">
        <f t="shared" si="66"/>
        <v>4.7212573897076122E-2</v>
      </c>
      <c r="O488" t="s">
        <v>1219</v>
      </c>
      <c r="P488" s="4">
        <v>287.85000000000002</v>
      </c>
      <c r="Q488" s="4">
        <v>602.91999999999996</v>
      </c>
      <c r="R488" s="4" t="str">
        <f t="shared" si="67"/>
        <v>Profit</v>
      </c>
      <c r="S488">
        <v>0.222</v>
      </c>
      <c r="T488" s="4">
        <v>11</v>
      </c>
      <c r="U488">
        <f t="shared" si="68"/>
        <v>5159.7893599999998</v>
      </c>
      <c r="V488">
        <f t="shared" si="69"/>
        <v>3166.3500000000004</v>
      </c>
      <c r="W488">
        <f t="shared" si="70"/>
        <v>1993.4393599999994</v>
      </c>
      <c r="X488">
        <f t="shared" si="71"/>
        <v>0.38634122847216373</v>
      </c>
    </row>
    <row r="489" spans="1:24" x14ac:dyDescent="0.25">
      <c r="A489" t="s">
        <v>501</v>
      </c>
      <c r="B489" s="13">
        <v>45613</v>
      </c>
      <c r="C489" s="8">
        <v>45624</v>
      </c>
      <c r="D489" s="8">
        <f t="shared" si="63"/>
        <v>45624</v>
      </c>
      <c r="E489" s="6">
        <f t="shared" si="64"/>
        <v>11</v>
      </c>
      <c r="F489" s="6" t="str">
        <f t="shared" si="65"/>
        <v>Q4-2024</v>
      </c>
      <c r="G489" t="s">
        <v>648</v>
      </c>
      <c r="H489" t="s">
        <v>653</v>
      </c>
      <c r="I489" t="s">
        <v>1422</v>
      </c>
      <c r="J489" t="s">
        <v>704</v>
      </c>
      <c r="K489" t="s">
        <v>710</v>
      </c>
      <c r="L489" t="s">
        <v>720</v>
      </c>
      <c r="M489" t="s">
        <v>728</v>
      </c>
      <c r="N489">
        <f t="shared" si="66"/>
        <v>0.26403954954212122</v>
      </c>
      <c r="O489" t="s">
        <v>1220</v>
      </c>
      <c r="P489" s="4">
        <v>1008.16</v>
      </c>
      <c r="Q489" s="4">
        <v>2077.5</v>
      </c>
      <c r="R489" s="4" t="str">
        <f t="shared" si="67"/>
        <v>Profit</v>
      </c>
      <c r="S489">
        <v>7.3999999999999996E-2</v>
      </c>
      <c r="T489" s="4">
        <v>15</v>
      </c>
      <c r="U489">
        <f t="shared" si="68"/>
        <v>28856.475000000002</v>
      </c>
      <c r="V489">
        <f t="shared" si="69"/>
        <v>15122.4</v>
      </c>
      <c r="W489">
        <f t="shared" si="70"/>
        <v>13734.075000000003</v>
      </c>
      <c r="X489">
        <f t="shared" si="71"/>
        <v>0.47594430712691005</v>
      </c>
    </row>
    <row r="490" spans="1:24" x14ac:dyDescent="0.25">
      <c r="A490" t="s">
        <v>502</v>
      </c>
      <c r="B490" s="13">
        <v>45424</v>
      </c>
      <c r="C490" s="8">
        <v>45436</v>
      </c>
      <c r="D490" s="8">
        <f t="shared" si="63"/>
        <v>45436</v>
      </c>
      <c r="E490" s="6">
        <f t="shared" si="64"/>
        <v>12</v>
      </c>
      <c r="F490" s="6" t="str">
        <f t="shared" si="65"/>
        <v>Q2-2024</v>
      </c>
      <c r="G490" t="s">
        <v>649</v>
      </c>
      <c r="H490" t="s">
        <v>658</v>
      </c>
      <c r="I490" t="s">
        <v>693</v>
      </c>
      <c r="J490" t="s">
        <v>702</v>
      </c>
      <c r="K490" t="s">
        <v>709</v>
      </c>
      <c r="L490" t="s">
        <v>723</v>
      </c>
      <c r="M490" t="s">
        <v>728</v>
      </c>
      <c r="N490">
        <f t="shared" si="66"/>
        <v>3.6836978620001001E-2</v>
      </c>
      <c r="O490" t="s">
        <v>1221</v>
      </c>
      <c r="P490" s="4">
        <v>111.02</v>
      </c>
      <c r="Q490" s="4">
        <v>172.88</v>
      </c>
      <c r="R490" s="4" t="str">
        <f t="shared" si="67"/>
        <v>Profit</v>
      </c>
      <c r="S490">
        <v>0.19700000000000001</v>
      </c>
      <c r="T490" s="4">
        <v>29</v>
      </c>
      <c r="U490">
        <f t="shared" si="68"/>
        <v>4025.8565599999993</v>
      </c>
      <c r="V490">
        <f t="shared" si="69"/>
        <v>3219.58</v>
      </c>
      <c r="W490">
        <f t="shared" si="70"/>
        <v>806.27655999999934</v>
      </c>
      <c r="X490">
        <f t="shared" si="71"/>
        <v>0.20027453735212053</v>
      </c>
    </row>
    <row r="491" spans="1:24" x14ac:dyDescent="0.25">
      <c r="A491" t="s">
        <v>503</v>
      </c>
      <c r="B491" s="13">
        <v>45792</v>
      </c>
      <c r="C491" s="8">
        <v>45813</v>
      </c>
      <c r="D491" s="8">
        <f t="shared" si="63"/>
        <v>45813</v>
      </c>
      <c r="E491" s="6">
        <f t="shared" si="64"/>
        <v>21</v>
      </c>
      <c r="F491" s="6" t="str">
        <f t="shared" si="65"/>
        <v>Q2-2025</v>
      </c>
      <c r="G491" t="s">
        <v>647</v>
      </c>
      <c r="H491" t="s">
        <v>652</v>
      </c>
      <c r="I491" t="s">
        <v>666</v>
      </c>
      <c r="J491" t="s">
        <v>706</v>
      </c>
      <c r="K491" t="s">
        <v>711</v>
      </c>
      <c r="L491" t="s">
        <v>722</v>
      </c>
      <c r="M491" t="s">
        <v>730</v>
      </c>
      <c r="N491">
        <f t="shared" si="66"/>
        <v>8.7973063664760556E-2</v>
      </c>
      <c r="O491" t="s">
        <v>1222</v>
      </c>
      <c r="P491" s="4">
        <v>1466.5</v>
      </c>
      <c r="Q491" s="4">
        <v>2778.74</v>
      </c>
      <c r="R491" s="4" t="str">
        <f t="shared" si="67"/>
        <v>Profit</v>
      </c>
      <c r="S491">
        <v>0.13500000000000001</v>
      </c>
      <c r="T491" s="4">
        <v>4</v>
      </c>
      <c r="U491">
        <f t="shared" si="68"/>
        <v>9614.4403999999995</v>
      </c>
      <c r="V491">
        <f t="shared" si="69"/>
        <v>5866</v>
      </c>
      <c r="W491">
        <f t="shared" si="70"/>
        <v>3748.4403999999995</v>
      </c>
      <c r="X491">
        <f t="shared" si="71"/>
        <v>0.38987608680792279</v>
      </c>
    </row>
    <row r="492" spans="1:24" x14ac:dyDescent="0.25">
      <c r="A492" t="s">
        <v>504</v>
      </c>
      <c r="B492" s="13">
        <v>45403</v>
      </c>
      <c r="C492" s="8">
        <v>45431</v>
      </c>
      <c r="D492" s="8">
        <f t="shared" si="63"/>
        <v>45431</v>
      </c>
      <c r="E492" s="6">
        <f t="shared" si="64"/>
        <v>28</v>
      </c>
      <c r="F492" s="6" t="str">
        <f t="shared" si="65"/>
        <v>Q2-2024</v>
      </c>
      <c r="G492" t="s">
        <v>646</v>
      </c>
      <c r="H492" t="s">
        <v>651</v>
      </c>
      <c r="I492" t="s">
        <v>665</v>
      </c>
      <c r="J492" t="s">
        <v>701</v>
      </c>
      <c r="K492" t="s">
        <v>710</v>
      </c>
      <c r="L492" t="s">
        <v>720</v>
      </c>
      <c r="M492" t="s">
        <v>733</v>
      </c>
      <c r="N492">
        <f t="shared" si="66"/>
        <v>1.4158402818916768E-2</v>
      </c>
      <c r="O492" t="s">
        <v>1223</v>
      </c>
      <c r="P492" s="4">
        <v>187.22</v>
      </c>
      <c r="Q492" s="4">
        <v>309.47000000000003</v>
      </c>
      <c r="R492" s="4" t="str">
        <f t="shared" si="67"/>
        <v>Profit</v>
      </c>
      <c r="S492">
        <v>0</v>
      </c>
      <c r="T492" s="4">
        <v>5</v>
      </c>
      <c r="U492">
        <f t="shared" si="68"/>
        <v>1547.3500000000001</v>
      </c>
      <c r="V492">
        <f t="shared" si="69"/>
        <v>936.1</v>
      </c>
      <c r="W492">
        <f t="shared" si="70"/>
        <v>611.25000000000011</v>
      </c>
      <c r="X492">
        <f t="shared" si="71"/>
        <v>0.39503021294471197</v>
      </c>
    </row>
    <row r="493" spans="1:24" x14ac:dyDescent="0.25">
      <c r="A493" t="s">
        <v>505</v>
      </c>
      <c r="B493" s="13">
        <v>45523</v>
      </c>
      <c r="C493" s="8">
        <v>45542</v>
      </c>
      <c r="D493" s="8">
        <f t="shared" si="63"/>
        <v>45542</v>
      </c>
      <c r="E493" s="6">
        <f t="shared" si="64"/>
        <v>19</v>
      </c>
      <c r="F493" s="6" t="str">
        <f t="shared" si="65"/>
        <v>Q3-2024</v>
      </c>
      <c r="G493" t="s">
        <v>649</v>
      </c>
      <c r="H493" t="s">
        <v>657</v>
      </c>
      <c r="I493" t="s">
        <v>679</v>
      </c>
      <c r="J493" t="s">
        <v>701</v>
      </c>
      <c r="K493" t="s">
        <v>711</v>
      </c>
      <c r="L493" t="s">
        <v>713</v>
      </c>
      <c r="M493" t="s">
        <v>727</v>
      </c>
      <c r="N493">
        <f t="shared" si="66"/>
        <v>6.0977162390889725E-2</v>
      </c>
      <c r="O493" t="s">
        <v>1224</v>
      </c>
      <c r="P493" s="4">
        <v>297.58999999999997</v>
      </c>
      <c r="Q493" s="4">
        <v>666.41</v>
      </c>
      <c r="R493" s="4" t="str">
        <f t="shared" si="67"/>
        <v>Profit</v>
      </c>
      <c r="S493">
        <v>0</v>
      </c>
      <c r="T493" s="4">
        <v>10</v>
      </c>
      <c r="U493">
        <f t="shared" si="68"/>
        <v>6664.0999999999995</v>
      </c>
      <c r="V493">
        <f t="shared" si="69"/>
        <v>2975.8999999999996</v>
      </c>
      <c r="W493">
        <f t="shared" si="70"/>
        <v>3688.2</v>
      </c>
      <c r="X493">
        <f t="shared" si="71"/>
        <v>0.55344307558409989</v>
      </c>
    </row>
    <row r="494" spans="1:24" x14ac:dyDescent="0.25">
      <c r="A494" t="s">
        <v>506</v>
      </c>
      <c r="B494" s="13">
        <v>45861</v>
      </c>
      <c r="C494" s="8">
        <v>45888</v>
      </c>
      <c r="D494" s="8">
        <f t="shared" si="63"/>
        <v>45888</v>
      </c>
      <c r="E494" s="6">
        <f t="shared" si="64"/>
        <v>27</v>
      </c>
      <c r="F494" s="6" t="str">
        <f t="shared" si="65"/>
        <v>Q3-2025</v>
      </c>
      <c r="G494" t="s">
        <v>647</v>
      </c>
      <c r="H494" t="s">
        <v>652</v>
      </c>
      <c r="I494" t="s">
        <v>694</v>
      </c>
      <c r="J494" t="s">
        <v>704</v>
      </c>
      <c r="K494" t="s">
        <v>709</v>
      </c>
      <c r="L494" t="s">
        <v>717</v>
      </c>
      <c r="M494" t="s">
        <v>733</v>
      </c>
      <c r="N494">
        <f t="shared" si="66"/>
        <v>6.8693910452642823E-2</v>
      </c>
      <c r="O494" t="s">
        <v>1225</v>
      </c>
      <c r="P494" s="4">
        <v>896.09</v>
      </c>
      <c r="Q494" s="4">
        <v>744.27</v>
      </c>
      <c r="R494" s="4" t="str">
        <f t="shared" si="67"/>
        <v>Loss</v>
      </c>
      <c r="S494">
        <v>8.3000000000000004E-2</v>
      </c>
      <c r="T494" s="4">
        <v>11</v>
      </c>
      <c r="U494">
        <f t="shared" si="68"/>
        <v>7507.4514899999995</v>
      </c>
      <c r="V494">
        <f t="shared" si="69"/>
        <v>9856.99</v>
      </c>
      <c r="W494">
        <f t="shared" si="70"/>
        <v>-2349.5385100000003</v>
      </c>
      <c r="X494">
        <f t="shared" si="71"/>
        <v>-0.31296086469950679</v>
      </c>
    </row>
    <row r="495" spans="1:24" x14ac:dyDescent="0.25">
      <c r="A495" t="s">
        <v>507</v>
      </c>
      <c r="B495" s="13">
        <v>45352</v>
      </c>
      <c r="C495" s="8">
        <v>45351</v>
      </c>
      <c r="D495" s="8">
        <f t="shared" si="63"/>
        <v>45359</v>
      </c>
      <c r="E495" s="6">
        <f t="shared" si="64"/>
        <v>7</v>
      </c>
      <c r="F495" s="6" t="str">
        <f t="shared" si="65"/>
        <v>Q1-2024</v>
      </c>
      <c r="G495" t="s">
        <v>648</v>
      </c>
      <c r="H495" t="s">
        <v>655</v>
      </c>
      <c r="I495" t="s">
        <v>670</v>
      </c>
      <c r="J495" t="s">
        <v>703</v>
      </c>
      <c r="K495" t="s">
        <v>711</v>
      </c>
      <c r="L495" t="s">
        <v>714</v>
      </c>
      <c r="M495" t="s">
        <v>730</v>
      </c>
      <c r="N495">
        <f t="shared" si="66"/>
        <v>1.0078758805580036E-3</v>
      </c>
      <c r="O495" t="s">
        <v>1226</v>
      </c>
      <c r="P495" s="4">
        <v>5.34</v>
      </c>
      <c r="Q495" s="4">
        <v>12.69</v>
      </c>
      <c r="R495" s="4" t="str">
        <f t="shared" si="67"/>
        <v>Profit</v>
      </c>
      <c r="S495">
        <v>0.13200000000000001</v>
      </c>
      <c r="T495" s="4">
        <v>10</v>
      </c>
      <c r="U495">
        <f t="shared" si="68"/>
        <v>110.14919999999999</v>
      </c>
      <c r="V495">
        <f t="shared" si="69"/>
        <v>53.4</v>
      </c>
      <c r="W495">
        <f t="shared" si="70"/>
        <v>56.749199999999995</v>
      </c>
      <c r="X495">
        <f t="shared" si="71"/>
        <v>0.51520301554618642</v>
      </c>
    </row>
    <row r="496" spans="1:24" x14ac:dyDescent="0.25">
      <c r="A496" t="s">
        <v>508</v>
      </c>
      <c r="B496" s="13">
        <v>45439</v>
      </c>
      <c r="C496" s="8">
        <v>45460</v>
      </c>
      <c r="D496" s="8">
        <f t="shared" si="63"/>
        <v>45460</v>
      </c>
      <c r="E496" s="6">
        <f t="shared" si="64"/>
        <v>21</v>
      </c>
      <c r="F496" s="6" t="str">
        <f t="shared" si="65"/>
        <v>Q2-2024</v>
      </c>
      <c r="G496" t="s">
        <v>647</v>
      </c>
      <c r="H496" t="s">
        <v>654</v>
      </c>
      <c r="I496" t="s">
        <v>680</v>
      </c>
      <c r="J496" t="s">
        <v>705</v>
      </c>
      <c r="K496" t="s">
        <v>708</v>
      </c>
      <c r="L496" t="s">
        <v>722</v>
      </c>
      <c r="M496" t="s">
        <v>733</v>
      </c>
      <c r="N496">
        <f t="shared" si="66"/>
        <v>0.10851736247035344</v>
      </c>
      <c r="O496" t="s">
        <v>1227</v>
      </c>
      <c r="P496" s="4">
        <v>465.02</v>
      </c>
      <c r="Q496" s="4">
        <v>651.55999999999995</v>
      </c>
      <c r="R496" s="4" t="str">
        <f t="shared" si="67"/>
        <v>Profit</v>
      </c>
      <c r="S496">
        <v>4.2000000000000003E-2</v>
      </c>
      <c r="T496" s="4">
        <v>19</v>
      </c>
      <c r="U496">
        <f t="shared" si="68"/>
        <v>11859.695119999998</v>
      </c>
      <c r="V496">
        <f t="shared" si="69"/>
        <v>8835.3799999999992</v>
      </c>
      <c r="W496">
        <f t="shared" si="70"/>
        <v>3024.3151199999993</v>
      </c>
      <c r="X496">
        <f t="shared" si="71"/>
        <v>0.25500783025187918</v>
      </c>
    </row>
    <row r="497" spans="1:24" x14ac:dyDescent="0.25">
      <c r="A497" t="s">
        <v>509</v>
      </c>
      <c r="B497" s="13">
        <v>45508</v>
      </c>
      <c r="C497" s="8">
        <v>45521</v>
      </c>
      <c r="D497" s="8">
        <f t="shared" si="63"/>
        <v>45521</v>
      </c>
      <c r="E497" s="6">
        <f t="shared" si="64"/>
        <v>13</v>
      </c>
      <c r="F497" s="6" t="str">
        <f t="shared" si="65"/>
        <v>Q3-2024</v>
      </c>
      <c r="G497" t="s">
        <v>648</v>
      </c>
      <c r="H497" t="s">
        <v>660</v>
      </c>
      <c r="I497" t="s">
        <v>697</v>
      </c>
      <c r="J497" t="s">
        <v>704</v>
      </c>
      <c r="K497" t="s">
        <v>707</v>
      </c>
      <c r="L497" t="s">
        <v>726</v>
      </c>
      <c r="M497" t="s">
        <v>732</v>
      </c>
      <c r="N497">
        <f t="shared" si="66"/>
        <v>4.2849465547215464E-2</v>
      </c>
      <c r="O497" t="s">
        <v>1228</v>
      </c>
      <c r="P497" s="4">
        <v>352.79</v>
      </c>
      <c r="Q497" s="4">
        <v>754.22</v>
      </c>
      <c r="R497" s="4" t="str">
        <f t="shared" si="67"/>
        <v>Profit</v>
      </c>
      <c r="S497">
        <v>0.113</v>
      </c>
      <c r="T497" s="4">
        <v>7</v>
      </c>
      <c r="U497">
        <f t="shared" si="68"/>
        <v>4682.9519799999998</v>
      </c>
      <c r="V497">
        <f t="shared" si="69"/>
        <v>2469.5300000000002</v>
      </c>
      <c r="W497">
        <f t="shared" si="70"/>
        <v>2213.4219799999996</v>
      </c>
      <c r="X497">
        <f t="shared" si="71"/>
        <v>0.47265528014233443</v>
      </c>
    </row>
    <row r="498" spans="1:24" x14ac:dyDescent="0.25">
      <c r="A498" t="s">
        <v>510</v>
      </c>
      <c r="B498" s="13">
        <v>45097</v>
      </c>
      <c r="C498" s="8">
        <v>45111</v>
      </c>
      <c r="D498" s="8">
        <f t="shared" si="63"/>
        <v>45111</v>
      </c>
      <c r="E498" s="6">
        <f t="shared" si="64"/>
        <v>14</v>
      </c>
      <c r="F498" s="6" t="str">
        <f t="shared" si="65"/>
        <v>Q2-2023</v>
      </c>
      <c r="G498" t="s">
        <v>648</v>
      </c>
      <c r="H498" t="s">
        <v>655</v>
      </c>
      <c r="I498" t="s">
        <v>672</v>
      </c>
      <c r="J498" t="s">
        <v>703</v>
      </c>
      <c r="K498" t="s">
        <v>711</v>
      </c>
      <c r="L498" t="s">
        <v>712</v>
      </c>
      <c r="M498" t="s">
        <v>729</v>
      </c>
      <c r="N498">
        <f t="shared" si="66"/>
        <v>0.28083916413662557</v>
      </c>
      <c r="O498" t="s">
        <v>1229</v>
      </c>
      <c r="P498" s="4">
        <v>1292.8599999999999</v>
      </c>
      <c r="Q498" s="4">
        <v>2981.01</v>
      </c>
      <c r="R498" s="4" t="str">
        <f t="shared" si="67"/>
        <v>Profit</v>
      </c>
      <c r="S498">
        <v>0.14199999999999999</v>
      </c>
      <c r="T498" s="4">
        <v>12</v>
      </c>
      <c r="U498">
        <f t="shared" si="68"/>
        <v>30692.47896</v>
      </c>
      <c r="V498">
        <f t="shared" si="69"/>
        <v>15514.32</v>
      </c>
      <c r="W498">
        <f t="shared" si="70"/>
        <v>15178.158960000001</v>
      </c>
      <c r="X498">
        <f t="shared" si="71"/>
        <v>0.49452372288927687</v>
      </c>
    </row>
    <row r="499" spans="1:24" x14ac:dyDescent="0.25">
      <c r="A499" t="s">
        <v>511</v>
      </c>
      <c r="B499" s="13">
        <v>45544</v>
      </c>
      <c r="C499" s="8">
        <v>45548</v>
      </c>
      <c r="D499" s="8">
        <f t="shared" si="63"/>
        <v>45548</v>
      </c>
      <c r="E499" s="6">
        <f t="shared" si="64"/>
        <v>4</v>
      </c>
      <c r="F499" s="6" t="str">
        <f t="shared" si="65"/>
        <v>Q3-2024</v>
      </c>
      <c r="G499" t="s">
        <v>649</v>
      </c>
      <c r="H499" t="s">
        <v>658</v>
      </c>
      <c r="I499" t="s">
        <v>683</v>
      </c>
      <c r="J499" t="s">
        <v>704</v>
      </c>
      <c r="K499" t="s">
        <v>709</v>
      </c>
      <c r="L499" t="s">
        <v>721</v>
      </c>
      <c r="M499" t="s">
        <v>729</v>
      </c>
      <c r="N499">
        <f t="shared" si="66"/>
        <v>0.23103641386280163</v>
      </c>
      <c r="O499" t="s">
        <v>1230</v>
      </c>
      <c r="P499" s="4">
        <v>1133.08</v>
      </c>
      <c r="Q499" s="4">
        <v>976.17</v>
      </c>
      <c r="R499" s="4" t="str">
        <f t="shared" si="67"/>
        <v>Loss</v>
      </c>
      <c r="S499">
        <v>4.2000000000000003E-2</v>
      </c>
      <c r="T499" s="4">
        <v>27</v>
      </c>
      <c r="U499">
        <f t="shared" si="68"/>
        <v>25249.613219999999</v>
      </c>
      <c r="V499">
        <f t="shared" si="69"/>
        <v>30593.159999999996</v>
      </c>
      <c r="W499">
        <f t="shared" si="70"/>
        <v>-5343.5467799999969</v>
      </c>
      <c r="X499">
        <f t="shared" si="71"/>
        <v>-0.21162885678452373</v>
      </c>
    </row>
    <row r="500" spans="1:24" x14ac:dyDescent="0.25">
      <c r="A500" t="s">
        <v>512</v>
      </c>
      <c r="B500" s="13">
        <v>45224</v>
      </c>
      <c r="C500" s="8">
        <v>45227</v>
      </c>
      <c r="D500" s="8">
        <f t="shared" si="63"/>
        <v>45227</v>
      </c>
      <c r="E500" s="6">
        <f t="shared" si="64"/>
        <v>3</v>
      </c>
      <c r="F500" s="6" t="str">
        <f t="shared" si="65"/>
        <v>Q4-2023</v>
      </c>
      <c r="G500" t="s">
        <v>648</v>
      </c>
      <c r="H500" t="s">
        <v>655</v>
      </c>
      <c r="I500" t="s">
        <v>672</v>
      </c>
      <c r="J500" t="s">
        <v>701</v>
      </c>
      <c r="K500" t="s">
        <v>710</v>
      </c>
      <c r="L500" t="s">
        <v>716</v>
      </c>
      <c r="M500" t="s">
        <v>733</v>
      </c>
      <c r="N500">
        <f t="shared" si="66"/>
        <v>7.9099566635372806E-2</v>
      </c>
      <c r="O500" t="s">
        <v>1231</v>
      </c>
      <c r="P500" s="4">
        <v>509.31</v>
      </c>
      <c r="Q500" s="4">
        <v>1145.9000000000001</v>
      </c>
      <c r="R500" s="4" t="str">
        <f t="shared" si="67"/>
        <v>Profit</v>
      </c>
      <c r="S500">
        <v>5.7000000000000002E-2</v>
      </c>
      <c r="T500" s="4">
        <v>8</v>
      </c>
      <c r="U500">
        <f t="shared" si="68"/>
        <v>8644.6696000000011</v>
      </c>
      <c r="V500">
        <f t="shared" si="69"/>
        <v>4074.48</v>
      </c>
      <c r="W500">
        <f t="shared" si="70"/>
        <v>4570.1896000000015</v>
      </c>
      <c r="X500">
        <f t="shared" si="71"/>
        <v>0.52867140231709964</v>
      </c>
    </row>
    <row r="501" spans="1:24" x14ac:dyDescent="0.25">
      <c r="A501" t="s">
        <v>513</v>
      </c>
      <c r="B501" s="13">
        <v>45908</v>
      </c>
      <c r="C501" s="8">
        <v>45935</v>
      </c>
      <c r="D501" s="8">
        <f t="shared" si="63"/>
        <v>45935</v>
      </c>
      <c r="E501" s="6">
        <f t="shared" si="64"/>
        <v>27</v>
      </c>
      <c r="F501" s="6" t="str">
        <f t="shared" si="65"/>
        <v>Q3-2025</v>
      </c>
      <c r="G501" t="s">
        <v>648</v>
      </c>
      <c r="H501" t="s">
        <v>655</v>
      </c>
      <c r="I501" t="s">
        <v>692</v>
      </c>
      <c r="J501" t="s">
        <v>702</v>
      </c>
      <c r="K501" t="s">
        <v>708</v>
      </c>
      <c r="L501" t="s">
        <v>712</v>
      </c>
      <c r="M501" t="s">
        <v>732</v>
      </c>
      <c r="N501">
        <f t="shared" si="66"/>
        <v>0.15165869452229819</v>
      </c>
      <c r="O501" t="s">
        <v>1232</v>
      </c>
      <c r="P501" s="4">
        <v>660.78</v>
      </c>
      <c r="Q501" s="4">
        <v>1630.39</v>
      </c>
      <c r="R501" s="4" t="str">
        <f t="shared" si="67"/>
        <v>Profit</v>
      </c>
      <c r="S501">
        <v>0.218</v>
      </c>
      <c r="T501" s="4">
        <v>13</v>
      </c>
      <c r="U501">
        <f t="shared" si="68"/>
        <v>16574.544740000001</v>
      </c>
      <c r="V501">
        <f t="shared" si="69"/>
        <v>8590.14</v>
      </c>
      <c r="W501">
        <f t="shared" si="70"/>
        <v>7984.4047400000018</v>
      </c>
      <c r="X501">
        <f t="shared" si="71"/>
        <v>0.48172694123724097</v>
      </c>
    </row>
    <row r="502" spans="1:24" x14ac:dyDescent="0.25">
      <c r="A502" t="s">
        <v>514</v>
      </c>
      <c r="B502" s="13">
        <v>45048</v>
      </c>
      <c r="C502" s="8">
        <v>45062</v>
      </c>
      <c r="D502" s="8">
        <f t="shared" si="63"/>
        <v>45062</v>
      </c>
      <c r="E502" s="6">
        <f t="shared" si="64"/>
        <v>14</v>
      </c>
      <c r="F502" s="6" t="str">
        <f t="shared" si="65"/>
        <v>Q2-2023</v>
      </c>
      <c r="G502" t="s">
        <v>647</v>
      </c>
      <c r="H502" t="s">
        <v>654</v>
      </c>
      <c r="I502" t="s">
        <v>668</v>
      </c>
      <c r="J502" t="s">
        <v>703</v>
      </c>
      <c r="K502" t="s">
        <v>707</v>
      </c>
      <c r="L502" t="s">
        <v>716</v>
      </c>
      <c r="M502" t="s">
        <v>732</v>
      </c>
      <c r="N502">
        <f t="shared" si="66"/>
        <v>0.18604687143951781</v>
      </c>
      <c r="O502" t="s">
        <v>1233</v>
      </c>
      <c r="P502" s="4">
        <v>475.37</v>
      </c>
      <c r="Q502" s="4">
        <v>963.73</v>
      </c>
      <c r="R502" s="4" t="str">
        <f t="shared" si="67"/>
        <v>Profit</v>
      </c>
      <c r="S502">
        <v>4.1000000000000002E-2</v>
      </c>
      <c r="T502" s="4">
        <v>22</v>
      </c>
      <c r="U502">
        <f t="shared" si="68"/>
        <v>20332.775539999999</v>
      </c>
      <c r="V502">
        <f t="shared" si="69"/>
        <v>10458.14</v>
      </c>
      <c r="W502">
        <f t="shared" si="70"/>
        <v>9874.6355399999993</v>
      </c>
      <c r="X502">
        <f t="shared" si="71"/>
        <v>0.48565113604750881</v>
      </c>
    </row>
    <row r="503" spans="1:24" x14ac:dyDescent="0.25">
      <c r="A503" t="s">
        <v>515</v>
      </c>
      <c r="B503" s="13">
        <v>45408</v>
      </c>
      <c r="C503" s="8">
        <v>45406</v>
      </c>
      <c r="D503" s="8">
        <f t="shared" si="63"/>
        <v>45415</v>
      </c>
      <c r="E503" s="6">
        <f t="shared" si="64"/>
        <v>7</v>
      </c>
      <c r="F503" s="6" t="str">
        <f t="shared" si="65"/>
        <v>Q2-2024</v>
      </c>
      <c r="G503" t="s">
        <v>649</v>
      </c>
      <c r="H503" t="s">
        <v>658</v>
      </c>
      <c r="I503" t="s">
        <v>683</v>
      </c>
      <c r="J503" t="s">
        <v>703</v>
      </c>
      <c r="K503" t="s">
        <v>710</v>
      </c>
      <c r="L503" t="s">
        <v>725</v>
      </c>
      <c r="M503" t="s">
        <v>730</v>
      </c>
      <c r="N503">
        <f t="shared" si="66"/>
        <v>6.7967936346519112E-2</v>
      </c>
      <c r="O503" t="s">
        <v>1234</v>
      </c>
      <c r="P503" s="4">
        <v>1232.77</v>
      </c>
      <c r="Q503" s="4">
        <v>891.73</v>
      </c>
      <c r="R503" s="4" t="str">
        <f t="shared" si="67"/>
        <v>Loss</v>
      </c>
      <c r="S503">
        <v>0.16700000000000001</v>
      </c>
      <c r="T503" s="4">
        <v>10</v>
      </c>
      <c r="U503">
        <f t="shared" si="68"/>
        <v>7428.1108999999988</v>
      </c>
      <c r="V503">
        <f t="shared" si="69"/>
        <v>12327.7</v>
      </c>
      <c r="W503">
        <f t="shared" si="70"/>
        <v>-4899.589100000002</v>
      </c>
      <c r="X503">
        <f t="shared" si="71"/>
        <v>-0.65960096260813805</v>
      </c>
    </row>
    <row r="504" spans="1:24" x14ac:dyDescent="0.25">
      <c r="A504" t="s">
        <v>516</v>
      </c>
      <c r="B504" s="13">
        <v>44980</v>
      </c>
      <c r="C504" s="8">
        <v>45003</v>
      </c>
      <c r="D504" s="8">
        <f t="shared" si="63"/>
        <v>45003</v>
      </c>
      <c r="E504" s="6">
        <f t="shared" si="64"/>
        <v>23</v>
      </c>
      <c r="F504" s="6" t="str">
        <f t="shared" si="65"/>
        <v>Q1-2023</v>
      </c>
      <c r="G504" t="s">
        <v>647</v>
      </c>
      <c r="H504" t="s">
        <v>659</v>
      </c>
      <c r="I504" t="s">
        <v>699</v>
      </c>
      <c r="J504" t="s">
        <v>702</v>
      </c>
      <c r="K504" t="s">
        <v>710</v>
      </c>
      <c r="L504" t="s">
        <v>723</v>
      </c>
      <c r="M504" t="s">
        <v>728</v>
      </c>
      <c r="N504">
        <f t="shared" si="66"/>
        <v>9.9454079799022876E-2</v>
      </c>
      <c r="O504" t="s">
        <v>1235</v>
      </c>
      <c r="P504" s="4">
        <v>770.11</v>
      </c>
      <c r="Q504" s="4">
        <v>1667.82</v>
      </c>
      <c r="R504" s="4" t="str">
        <f t="shared" si="67"/>
        <v>Profit</v>
      </c>
      <c r="S504">
        <v>6.9000000000000006E-2</v>
      </c>
      <c r="T504" s="4">
        <v>7</v>
      </c>
      <c r="U504">
        <f t="shared" si="68"/>
        <v>10869.182940000001</v>
      </c>
      <c r="V504">
        <f t="shared" si="69"/>
        <v>5390.77</v>
      </c>
      <c r="W504">
        <f t="shared" si="70"/>
        <v>5478.4129400000002</v>
      </c>
      <c r="X504">
        <f t="shared" si="71"/>
        <v>0.50403171703355287</v>
      </c>
    </row>
    <row r="505" spans="1:24" x14ac:dyDescent="0.25">
      <c r="A505" t="s">
        <v>517</v>
      </c>
      <c r="B505" s="13">
        <v>45740</v>
      </c>
      <c r="C505" s="8">
        <v>45741</v>
      </c>
      <c r="D505" s="8">
        <f t="shared" si="63"/>
        <v>45741</v>
      </c>
      <c r="E505" s="6">
        <f t="shared" si="64"/>
        <v>1</v>
      </c>
      <c r="F505" s="6" t="str">
        <f t="shared" si="65"/>
        <v>Q1-2025</v>
      </c>
      <c r="G505" t="s">
        <v>647</v>
      </c>
      <c r="H505" t="s">
        <v>659</v>
      </c>
      <c r="I505" t="s">
        <v>699</v>
      </c>
      <c r="J505" t="s">
        <v>703</v>
      </c>
      <c r="K505" t="s">
        <v>708</v>
      </c>
      <c r="L505" t="s">
        <v>715</v>
      </c>
      <c r="M505" t="s">
        <v>729</v>
      </c>
      <c r="N505">
        <f t="shared" si="66"/>
        <v>7.9031104236011576E-2</v>
      </c>
      <c r="O505" t="s">
        <v>1236</v>
      </c>
      <c r="P505" s="4">
        <v>1133.03</v>
      </c>
      <c r="Q505" s="4">
        <v>1921.51</v>
      </c>
      <c r="R505" s="4" t="str">
        <f t="shared" si="67"/>
        <v>Profit</v>
      </c>
      <c r="S505">
        <v>0.10100000000000001</v>
      </c>
      <c r="T505" s="4">
        <v>5</v>
      </c>
      <c r="U505">
        <f t="shared" si="68"/>
        <v>8637.1874499999994</v>
      </c>
      <c r="V505">
        <f t="shared" si="69"/>
        <v>5665.15</v>
      </c>
      <c r="W505">
        <f t="shared" si="70"/>
        <v>2972.0374499999998</v>
      </c>
      <c r="X505">
        <f t="shared" si="71"/>
        <v>0.3440978289755654</v>
      </c>
    </row>
    <row r="506" spans="1:24" x14ac:dyDescent="0.25">
      <c r="A506" t="s">
        <v>518</v>
      </c>
      <c r="B506" s="13">
        <v>45726</v>
      </c>
      <c r="C506" s="8">
        <v>45743</v>
      </c>
      <c r="D506" s="8">
        <f t="shared" si="63"/>
        <v>45743</v>
      </c>
      <c r="E506" s="6">
        <f t="shared" si="64"/>
        <v>17</v>
      </c>
      <c r="F506" s="6" t="str">
        <f t="shared" si="65"/>
        <v>Q1-2025</v>
      </c>
      <c r="G506" t="s">
        <v>648</v>
      </c>
      <c r="H506" t="s">
        <v>655</v>
      </c>
      <c r="I506" t="s">
        <v>692</v>
      </c>
      <c r="J506" t="s">
        <v>706</v>
      </c>
      <c r="K506" t="s">
        <v>711</v>
      </c>
      <c r="L506" t="s">
        <v>721</v>
      </c>
      <c r="M506" t="s">
        <v>729</v>
      </c>
      <c r="N506">
        <f t="shared" si="66"/>
        <v>9.3238475172319923E-2</v>
      </c>
      <c r="O506" t="s">
        <v>1237</v>
      </c>
      <c r="P506" s="4">
        <v>996.73</v>
      </c>
      <c r="Q506" s="4">
        <v>1217.43</v>
      </c>
      <c r="R506" s="4" t="str">
        <f t="shared" si="67"/>
        <v>Profit</v>
      </c>
      <c r="S506">
        <v>7.0000000000000007E-2</v>
      </c>
      <c r="T506" s="4">
        <v>9</v>
      </c>
      <c r="U506">
        <f t="shared" si="68"/>
        <v>10189.8891</v>
      </c>
      <c r="V506">
        <f t="shared" si="69"/>
        <v>8970.57</v>
      </c>
      <c r="W506">
        <f t="shared" si="70"/>
        <v>1219.3191000000006</v>
      </c>
      <c r="X506">
        <f t="shared" si="71"/>
        <v>0.11965970267527255</v>
      </c>
    </row>
    <row r="507" spans="1:24" x14ac:dyDescent="0.25">
      <c r="A507" t="s">
        <v>519</v>
      </c>
      <c r="B507" s="13">
        <v>45387</v>
      </c>
      <c r="C507" s="8">
        <v>45391</v>
      </c>
      <c r="D507" s="8">
        <f t="shared" si="63"/>
        <v>45391</v>
      </c>
      <c r="E507" s="6">
        <f t="shared" si="64"/>
        <v>4</v>
      </c>
      <c r="F507" s="6" t="str">
        <f t="shared" si="65"/>
        <v>Q2-2024</v>
      </c>
      <c r="G507" t="s">
        <v>646</v>
      </c>
      <c r="H507" t="s">
        <v>651</v>
      </c>
      <c r="I507" t="s">
        <v>665</v>
      </c>
      <c r="J507" t="s">
        <v>703</v>
      </c>
      <c r="K507" t="s">
        <v>711</v>
      </c>
      <c r="L507" t="s">
        <v>723</v>
      </c>
      <c r="M507" t="s">
        <v>727</v>
      </c>
      <c r="N507">
        <f t="shared" si="66"/>
        <v>0.29587038612121125</v>
      </c>
      <c r="O507" t="s">
        <v>1238</v>
      </c>
      <c r="P507" s="4">
        <v>395.07</v>
      </c>
      <c r="Q507" s="4">
        <v>970.27</v>
      </c>
      <c r="R507" s="4" t="str">
        <f t="shared" si="67"/>
        <v>Profit</v>
      </c>
      <c r="S507">
        <v>0.123</v>
      </c>
      <c r="T507" s="4">
        <v>38</v>
      </c>
      <c r="U507">
        <f t="shared" si="68"/>
        <v>32335.21802</v>
      </c>
      <c r="V507">
        <f t="shared" si="69"/>
        <v>15012.66</v>
      </c>
      <c r="W507">
        <f t="shared" si="70"/>
        <v>17322.55802</v>
      </c>
      <c r="X507">
        <f t="shared" si="71"/>
        <v>0.53571799049833657</v>
      </c>
    </row>
    <row r="508" spans="1:24" x14ac:dyDescent="0.25">
      <c r="A508" t="s">
        <v>520</v>
      </c>
      <c r="B508" s="13">
        <v>45774</v>
      </c>
      <c r="C508" s="8">
        <v>45794</v>
      </c>
      <c r="D508" s="8">
        <f t="shared" si="63"/>
        <v>45794</v>
      </c>
      <c r="E508" s="6">
        <f t="shared" si="64"/>
        <v>20</v>
      </c>
      <c r="F508" s="6" t="str">
        <f t="shared" si="65"/>
        <v>Q2-2025</v>
      </c>
      <c r="G508" t="s">
        <v>648</v>
      </c>
      <c r="H508" t="s">
        <v>660</v>
      </c>
      <c r="I508" t="s">
        <v>697</v>
      </c>
      <c r="J508" t="s">
        <v>701</v>
      </c>
      <c r="K508" t="s">
        <v>711</v>
      </c>
      <c r="L508" t="s">
        <v>725</v>
      </c>
      <c r="M508" t="s">
        <v>730</v>
      </c>
      <c r="N508">
        <f t="shared" si="66"/>
        <v>0.31842732803391577</v>
      </c>
      <c r="O508" t="s">
        <v>1239</v>
      </c>
      <c r="P508" s="4">
        <v>932.26</v>
      </c>
      <c r="Q508" s="4">
        <v>1624.67</v>
      </c>
      <c r="R508" s="4" t="str">
        <f t="shared" si="67"/>
        <v>Profit</v>
      </c>
      <c r="S508">
        <v>0.23499999999999999</v>
      </c>
      <c r="T508" s="4">
        <v>28</v>
      </c>
      <c r="U508">
        <f t="shared" si="68"/>
        <v>34800.431400000001</v>
      </c>
      <c r="V508">
        <f t="shared" si="69"/>
        <v>26103.279999999999</v>
      </c>
      <c r="W508">
        <f t="shared" si="70"/>
        <v>8697.1514000000025</v>
      </c>
      <c r="X508">
        <f t="shared" si="71"/>
        <v>0.24991504559337163</v>
      </c>
    </row>
    <row r="509" spans="1:24" x14ac:dyDescent="0.25">
      <c r="A509" t="s">
        <v>521</v>
      </c>
      <c r="B509" s="13">
        <v>45589</v>
      </c>
      <c r="C509" s="8">
        <v>45593</v>
      </c>
      <c r="D509" s="8">
        <f t="shared" si="63"/>
        <v>45593</v>
      </c>
      <c r="E509" s="6">
        <f t="shared" si="64"/>
        <v>4</v>
      </c>
      <c r="F509" s="6" t="str">
        <f t="shared" si="65"/>
        <v>Q4-2024</v>
      </c>
      <c r="G509" t="s">
        <v>647</v>
      </c>
      <c r="H509" t="s">
        <v>659</v>
      </c>
      <c r="I509" t="s">
        <v>685</v>
      </c>
      <c r="J509" t="s">
        <v>705</v>
      </c>
      <c r="K509" t="s">
        <v>710</v>
      </c>
      <c r="L509" t="s">
        <v>714</v>
      </c>
      <c r="M509" t="s">
        <v>729</v>
      </c>
      <c r="N509">
        <f t="shared" si="66"/>
        <v>0.14021541887872441</v>
      </c>
      <c r="O509" t="s">
        <v>1240</v>
      </c>
      <c r="P509" s="4">
        <v>1331.77</v>
      </c>
      <c r="Q509" s="4">
        <v>2606.11</v>
      </c>
      <c r="R509" s="4" t="str">
        <f t="shared" si="67"/>
        <v>Profit</v>
      </c>
      <c r="S509">
        <v>0.02</v>
      </c>
      <c r="T509" s="4">
        <v>6</v>
      </c>
      <c r="U509">
        <f t="shared" si="68"/>
        <v>15323.926799999999</v>
      </c>
      <c r="V509">
        <f t="shared" si="69"/>
        <v>7990.62</v>
      </c>
      <c r="W509">
        <f t="shared" si="70"/>
        <v>7333.3067999999994</v>
      </c>
      <c r="X509">
        <f t="shared" si="71"/>
        <v>0.47855271665745619</v>
      </c>
    </row>
    <row r="510" spans="1:24" x14ac:dyDescent="0.25">
      <c r="A510" t="s">
        <v>522</v>
      </c>
      <c r="B510" s="13">
        <v>45029</v>
      </c>
      <c r="C510" s="8">
        <v>45036</v>
      </c>
      <c r="D510" s="8">
        <f t="shared" si="63"/>
        <v>45036</v>
      </c>
      <c r="E510" s="6">
        <f t="shared" si="64"/>
        <v>7</v>
      </c>
      <c r="F510" s="6" t="str">
        <f t="shared" si="65"/>
        <v>Q2-2023</v>
      </c>
      <c r="G510" t="s">
        <v>649</v>
      </c>
      <c r="H510" t="s">
        <v>657</v>
      </c>
      <c r="I510" t="s">
        <v>679</v>
      </c>
      <c r="J510" t="s">
        <v>705</v>
      </c>
      <c r="K510" t="s">
        <v>708</v>
      </c>
      <c r="L510" t="s">
        <v>720</v>
      </c>
      <c r="M510" t="s">
        <v>731</v>
      </c>
      <c r="N510">
        <f t="shared" si="66"/>
        <v>3.587912668654427E-2</v>
      </c>
      <c r="O510" t="s">
        <v>1241</v>
      </c>
      <c r="P510" s="4">
        <v>227.02</v>
      </c>
      <c r="Q510" s="4">
        <v>434.72</v>
      </c>
      <c r="R510" s="4" t="str">
        <f t="shared" si="67"/>
        <v>Profit</v>
      </c>
      <c r="S510">
        <v>9.8000000000000004E-2</v>
      </c>
      <c r="T510" s="4">
        <v>10</v>
      </c>
      <c r="U510">
        <f t="shared" si="68"/>
        <v>3921.1744000000008</v>
      </c>
      <c r="V510">
        <f t="shared" si="69"/>
        <v>2270.2000000000003</v>
      </c>
      <c r="W510">
        <f t="shared" si="70"/>
        <v>1650.9744000000005</v>
      </c>
      <c r="X510">
        <f t="shared" si="71"/>
        <v>0.42104079838938052</v>
      </c>
    </row>
    <row r="511" spans="1:24" x14ac:dyDescent="0.25">
      <c r="A511" t="s">
        <v>523</v>
      </c>
      <c r="B511" s="13">
        <v>45608</v>
      </c>
      <c r="C511" s="8">
        <v>45617</v>
      </c>
      <c r="D511" s="8">
        <f t="shared" si="63"/>
        <v>45617</v>
      </c>
      <c r="E511" s="6">
        <f t="shared" si="64"/>
        <v>9</v>
      </c>
      <c r="F511" s="6" t="str">
        <f t="shared" si="65"/>
        <v>Q4-2024</v>
      </c>
      <c r="G511" t="s">
        <v>647</v>
      </c>
      <c r="H511" t="s">
        <v>654</v>
      </c>
      <c r="I511" t="s">
        <v>691</v>
      </c>
      <c r="J511" t="s">
        <v>701</v>
      </c>
      <c r="K511" t="s">
        <v>711</v>
      </c>
      <c r="L511" t="s">
        <v>722</v>
      </c>
      <c r="M511" t="s">
        <v>731</v>
      </c>
      <c r="N511">
        <f t="shared" si="66"/>
        <v>7.5922277752286563E-2</v>
      </c>
      <c r="O511" t="s">
        <v>1242</v>
      </c>
      <c r="P511" s="4">
        <v>903.41</v>
      </c>
      <c r="Q511" s="4">
        <v>1860.41</v>
      </c>
      <c r="R511" s="4" t="str">
        <f t="shared" si="67"/>
        <v>Profit</v>
      </c>
      <c r="S511">
        <v>0.108</v>
      </c>
      <c r="T511" s="4">
        <v>5</v>
      </c>
      <c r="U511">
        <f t="shared" si="68"/>
        <v>8297.4286000000011</v>
      </c>
      <c r="V511">
        <f t="shared" si="69"/>
        <v>4517.05</v>
      </c>
      <c r="W511">
        <f t="shared" si="70"/>
        <v>3780.3786000000009</v>
      </c>
      <c r="X511">
        <f t="shared" si="71"/>
        <v>0.455608451996803</v>
      </c>
    </row>
    <row r="512" spans="1:24" x14ac:dyDescent="0.25">
      <c r="A512" t="s">
        <v>524</v>
      </c>
      <c r="B512" s="13">
        <v>45056</v>
      </c>
      <c r="C512" s="8">
        <v>45060</v>
      </c>
      <c r="D512" s="8">
        <f t="shared" si="63"/>
        <v>45060</v>
      </c>
      <c r="E512" s="6">
        <f t="shared" si="64"/>
        <v>4</v>
      </c>
      <c r="F512" s="6" t="str">
        <f t="shared" si="65"/>
        <v>Q2-2023</v>
      </c>
      <c r="G512" t="s">
        <v>647</v>
      </c>
      <c r="H512" t="s">
        <v>654</v>
      </c>
      <c r="I512" t="s">
        <v>680</v>
      </c>
      <c r="J512" t="s">
        <v>703</v>
      </c>
      <c r="K512" t="s">
        <v>710</v>
      </c>
      <c r="L512" t="s">
        <v>712</v>
      </c>
      <c r="M512" t="s">
        <v>732</v>
      </c>
      <c r="N512">
        <f t="shared" si="66"/>
        <v>8.4476286878690354E-2</v>
      </c>
      <c r="O512" t="s">
        <v>1243</v>
      </c>
      <c r="P512" s="4">
        <v>622.6</v>
      </c>
      <c r="Q512" s="4">
        <v>833.69</v>
      </c>
      <c r="R512" s="4" t="str">
        <f t="shared" si="67"/>
        <v>Profit</v>
      </c>
      <c r="S512">
        <v>0.20899999999999999</v>
      </c>
      <c r="T512" s="4">
        <v>14</v>
      </c>
      <c r="U512">
        <f t="shared" si="68"/>
        <v>9232.2830599999998</v>
      </c>
      <c r="V512">
        <f t="shared" si="69"/>
        <v>8716.4</v>
      </c>
      <c r="W512">
        <f t="shared" si="70"/>
        <v>515.88306000000011</v>
      </c>
      <c r="X512">
        <f t="shared" si="71"/>
        <v>5.5878167582959715E-2</v>
      </c>
    </row>
    <row r="513" spans="1:24" x14ac:dyDescent="0.25">
      <c r="A513" t="s">
        <v>525</v>
      </c>
      <c r="B513" s="13">
        <v>45353</v>
      </c>
      <c r="C513" s="8">
        <v>45374</v>
      </c>
      <c r="D513" s="8">
        <f t="shared" si="63"/>
        <v>45374</v>
      </c>
      <c r="E513" s="6">
        <f t="shared" si="64"/>
        <v>21</v>
      </c>
      <c r="F513" s="6" t="str">
        <f t="shared" si="65"/>
        <v>Q1-2024</v>
      </c>
      <c r="G513" t="s">
        <v>648</v>
      </c>
      <c r="H513" t="s">
        <v>660</v>
      </c>
      <c r="I513" t="s">
        <v>677</v>
      </c>
      <c r="J513" t="s">
        <v>705</v>
      </c>
      <c r="K513" t="s">
        <v>708</v>
      </c>
      <c r="L513" t="s">
        <v>721</v>
      </c>
      <c r="M513" t="s">
        <v>727</v>
      </c>
      <c r="N513">
        <f t="shared" si="66"/>
        <v>3.2259130117256979E-2</v>
      </c>
      <c r="O513" t="s">
        <v>1244</v>
      </c>
      <c r="P513" s="4">
        <v>225.01</v>
      </c>
      <c r="Q513" s="4">
        <v>333.48</v>
      </c>
      <c r="R513" s="4" t="str">
        <f t="shared" si="67"/>
        <v>Profit</v>
      </c>
      <c r="S513">
        <v>0.11899999999999999</v>
      </c>
      <c r="T513" s="4">
        <v>12</v>
      </c>
      <c r="U513">
        <f t="shared" si="68"/>
        <v>3525.5505600000001</v>
      </c>
      <c r="V513">
        <f t="shared" si="69"/>
        <v>2700.12</v>
      </c>
      <c r="W513">
        <f t="shared" si="70"/>
        <v>825.43056000000024</v>
      </c>
      <c r="X513">
        <f t="shared" si="71"/>
        <v>0.23412813004729685</v>
      </c>
    </row>
    <row r="514" spans="1:24" x14ac:dyDescent="0.25">
      <c r="A514" t="s">
        <v>526</v>
      </c>
      <c r="B514" s="13">
        <v>45575</v>
      </c>
      <c r="C514" s="8">
        <v>45576</v>
      </c>
      <c r="D514" s="8">
        <f t="shared" si="63"/>
        <v>45576</v>
      </c>
      <c r="E514" s="6">
        <f t="shared" si="64"/>
        <v>1</v>
      </c>
      <c r="F514" s="6" t="str">
        <f t="shared" si="65"/>
        <v>Q4-2024</v>
      </c>
      <c r="G514" t="s">
        <v>649</v>
      </c>
      <c r="H514" t="s">
        <v>658</v>
      </c>
      <c r="I514" t="s">
        <v>693</v>
      </c>
      <c r="J514" t="s">
        <v>703</v>
      </c>
      <c r="K514" t="s">
        <v>710</v>
      </c>
      <c r="L514" t="s">
        <v>716</v>
      </c>
      <c r="M514" t="s">
        <v>727</v>
      </c>
      <c r="N514">
        <f t="shared" si="66"/>
        <v>0.4602170870073149</v>
      </c>
      <c r="O514" t="s">
        <v>1245</v>
      </c>
      <c r="P514" s="4">
        <v>1389.46</v>
      </c>
      <c r="Q514" s="4">
        <v>1784.7</v>
      </c>
      <c r="R514" s="4" t="str">
        <f t="shared" si="67"/>
        <v>Profit</v>
      </c>
      <c r="S514">
        <v>0.14599999999999999</v>
      </c>
      <c r="T514" s="4">
        <v>33</v>
      </c>
      <c r="U514">
        <f t="shared" si="68"/>
        <v>50296.415399999998</v>
      </c>
      <c r="V514">
        <f t="shared" si="69"/>
        <v>45852.18</v>
      </c>
      <c r="W514">
        <f t="shared" si="70"/>
        <v>4444.2353999999978</v>
      </c>
      <c r="X514">
        <f t="shared" si="71"/>
        <v>8.8360877503011831E-2</v>
      </c>
    </row>
    <row r="515" spans="1:24" x14ac:dyDescent="0.25">
      <c r="A515" t="s">
        <v>527</v>
      </c>
      <c r="B515" s="13">
        <v>45078</v>
      </c>
      <c r="C515" s="8">
        <v>45085</v>
      </c>
      <c r="D515" s="8">
        <f t="shared" ref="D515:D578" si="72">IF(B515&gt;C515, B515+7, C515)</f>
        <v>45085</v>
      </c>
      <c r="E515" s="6">
        <f t="shared" ref="E515:E578" si="73">(D515-B515)</f>
        <v>7</v>
      </c>
      <c r="F515" s="6" t="str">
        <f t="shared" ref="F515:F578" si="74">"Q"&amp;ROUNDUP(MONTH(B515)/3,0)&amp;"-"&amp;YEAR(B515)</f>
        <v>Q2-2023</v>
      </c>
      <c r="G515" t="s">
        <v>649</v>
      </c>
      <c r="H515" t="s">
        <v>656</v>
      </c>
      <c r="I515" t="s">
        <v>698</v>
      </c>
      <c r="J515" t="s">
        <v>704</v>
      </c>
      <c r="K515" t="s">
        <v>708</v>
      </c>
      <c r="L515" t="s">
        <v>720</v>
      </c>
      <c r="M515" t="s">
        <v>730</v>
      </c>
      <c r="N515">
        <f t="shared" ref="N515:N578" si="75">(U515/$U$634)*100</f>
        <v>4.7487939116612213E-2</v>
      </c>
      <c r="O515" t="s">
        <v>1246</v>
      </c>
      <c r="P515" s="4">
        <v>804.17</v>
      </c>
      <c r="Q515" s="4">
        <v>1072.29</v>
      </c>
      <c r="R515" s="4" t="str">
        <f t="shared" ref="R515:R578" si="76">IF(Q515&gt;P515, "Profit", IF(Q515&lt;P515, "Loss"))</f>
        <v>Profit</v>
      </c>
      <c r="S515">
        <v>3.2000000000000001E-2</v>
      </c>
      <c r="T515" s="4">
        <v>5</v>
      </c>
      <c r="U515">
        <f t="shared" ref="U515:U578" si="77">Q515*T515*(1-S515)</f>
        <v>5189.8836000000001</v>
      </c>
      <c r="V515">
        <f t="shared" ref="V515:V578" si="78">P515*T515</f>
        <v>4020.85</v>
      </c>
      <c r="W515">
        <f t="shared" ref="W515:W578" si="79">U515-V515</f>
        <v>1169.0336000000002</v>
      </c>
      <c r="X515">
        <f t="shared" ref="X515:X578" si="80">IF(U515=0, 0, W515/U515)</f>
        <v>0.2252523736755869</v>
      </c>
    </row>
    <row r="516" spans="1:24" x14ac:dyDescent="0.25">
      <c r="A516" t="s">
        <v>528</v>
      </c>
      <c r="B516" s="13">
        <v>45661</v>
      </c>
      <c r="C516" s="8">
        <v>45662</v>
      </c>
      <c r="D516" s="8">
        <f t="shared" si="72"/>
        <v>45662</v>
      </c>
      <c r="E516" s="6">
        <f t="shared" si="73"/>
        <v>1</v>
      </c>
      <c r="F516" s="6" t="str">
        <f t="shared" si="74"/>
        <v>Q1-2025</v>
      </c>
      <c r="G516" t="s">
        <v>647</v>
      </c>
      <c r="H516" t="s">
        <v>654</v>
      </c>
      <c r="I516" t="s">
        <v>680</v>
      </c>
      <c r="J516" t="s">
        <v>702</v>
      </c>
      <c r="K516" t="s">
        <v>707</v>
      </c>
      <c r="L516" t="s">
        <v>714</v>
      </c>
      <c r="M516" t="s">
        <v>727</v>
      </c>
      <c r="N516">
        <f t="shared" si="75"/>
        <v>0.30477646829355359</v>
      </c>
      <c r="O516" t="s">
        <v>1247</v>
      </c>
      <c r="P516" s="4">
        <v>1428.33</v>
      </c>
      <c r="Q516" s="4">
        <v>3028.05</v>
      </c>
      <c r="R516" s="4" t="str">
        <f t="shared" si="76"/>
        <v>Profit</v>
      </c>
      <c r="S516">
        <v>0</v>
      </c>
      <c r="T516" s="4">
        <v>11</v>
      </c>
      <c r="U516">
        <f t="shared" si="77"/>
        <v>33308.550000000003</v>
      </c>
      <c r="V516">
        <f t="shared" si="78"/>
        <v>15711.63</v>
      </c>
      <c r="W516">
        <f t="shared" si="79"/>
        <v>17596.920000000006</v>
      </c>
      <c r="X516">
        <f t="shared" si="80"/>
        <v>0.52830039134096207</v>
      </c>
    </row>
    <row r="517" spans="1:24" x14ac:dyDescent="0.25">
      <c r="A517" t="s">
        <v>529</v>
      </c>
      <c r="B517" s="13">
        <v>45874</v>
      </c>
      <c r="C517" s="8">
        <v>45897</v>
      </c>
      <c r="D517" s="8">
        <f t="shared" si="72"/>
        <v>45897</v>
      </c>
      <c r="E517" s="6">
        <f t="shared" si="73"/>
        <v>23</v>
      </c>
      <c r="F517" s="6" t="str">
        <f t="shared" si="74"/>
        <v>Q3-2025</v>
      </c>
      <c r="G517" t="s">
        <v>647</v>
      </c>
      <c r="H517" t="s">
        <v>654</v>
      </c>
      <c r="I517" t="s">
        <v>691</v>
      </c>
      <c r="J517" t="s">
        <v>703</v>
      </c>
      <c r="K517" t="s">
        <v>710</v>
      </c>
      <c r="L517" t="s">
        <v>725</v>
      </c>
      <c r="M517" t="s">
        <v>731</v>
      </c>
      <c r="N517">
        <f t="shared" si="75"/>
        <v>9.9366760970964085E-2</v>
      </c>
      <c r="O517" t="s">
        <v>1248</v>
      </c>
      <c r="P517" s="4">
        <v>638.54</v>
      </c>
      <c r="Q517" s="4">
        <v>987.24</v>
      </c>
      <c r="R517" s="4" t="str">
        <f t="shared" si="76"/>
        <v>Profit</v>
      </c>
      <c r="S517">
        <v>0</v>
      </c>
      <c r="T517" s="4">
        <v>11</v>
      </c>
      <c r="U517">
        <f t="shared" si="77"/>
        <v>10859.64</v>
      </c>
      <c r="V517">
        <f t="shared" si="78"/>
        <v>7023.94</v>
      </c>
      <c r="W517">
        <f t="shared" si="79"/>
        <v>3835.7</v>
      </c>
      <c r="X517">
        <f t="shared" si="80"/>
        <v>0.35320692030306716</v>
      </c>
    </row>
    <row r="518" spans="1:24" x14ac:dyDescent="0.25">
      <c r="A518" t="s">
        <v>530</v>
      </c>
      <c r="B518" s="13">
        <v>45199</v>
      </c>
      <c r="C518" s="8">
        <v>45229</v>
      </c>
      <c r="D518" s="8">
        <f t="shared" si="72"/>
        <v>45229</v>
      </c>
      <c r="E518" s="6">
        <f t="shared" si="73"/>
        <v>30</v>
      </c>
      <c r="F518" s="6" t="str">
        <f t="shared" si="74"/>
        <v>Q3-2023</v>
      </c>
      <c r="G518" t="s">
        <v>647</v>
      </c>
      <c r="H518" t="s">
        <v>652</v>
      </c>
      <c r="I518" t="s">
        <v>689</v>
      </c>
      <c r="J518" t="s">
        <v>706</v>
      </c>
      <c r="K518" t="s">
        <v>708</v>
      </c>
      <c r="L518" t="s">
        <v>726</v>
      </c>
      <c r="M518" t="s">
        <v>728</v>
      </c>
      <c r="N518">
        <f t="shared" si="75"/>
        <v>0.2031482812176636</v>
      </c>
      <c r="O518" t="s">
        <v>1249</v>
      </c>
      <c r="P518" s="4">
        <v>649.13</v>
      </c>
      <c r="Q518" s="4">
        <v>975.43</v>
      </c>
      <c r="R518" s="4" t="str">
        <f t="shared" si="76"/>
        <v>Profit</v>
      </c>
      <c r="S518">
        <v>0.157</v>
      </c>
      <c r="T518" s="4">
        <v>27</v>
      </c>
      <c r="U518">
        <f t="shared" si="77"/>
        <v>22201.762229999997</v>
      </c>
      <c r="V518">
        <f t="shared" si="78"/>
        <v>17526.509999999998</v>
      </c>
      <c r="W518">
        <f t="shared" si="79"/>
        <v>4675.2522299999982</v>
      </c>
      <c r="X518">
        <f t="shared" si="80"/>
        <v>0.21058023149543473</v>
      </c>
    </row>
    <row r="519" spans="1:24" x14ac:dyDescent="0.25">
      <c r="A519" t="s">
        <v>531</v>
      </c>
      <c r="B519" s="13">
        <v>45794</v>
      </c>
      <c r="C519" s="8">
        <v>45807</v>
      </c>
      <c r="D519" s="8">
        <f t="shared" si="72"/>
        <v>45807</v>
      </c>
      <c r="E519" s="6">
        <f t="shared" si="73"/>
        <v>13</v>
      </c>
      <c r="F519" s="6" t="str">
        <f t="shared" si="74"/>
        <v>Q2-2025</v>
      </c>
      <c r="G519" t="s">
        <v>646</v>
      </c>
      <c r="H519" t="s">
        <v>651</v>
      </c>
      <c r="I519" t="s">
        <v>665</v>
      </c>
      <c r="J519" t="s">
        <v>704</v>
      </c>
      <c r="K519" t="s">
        <v>710</v>
      </c>
      <c r="L519" t="s">
        <v>721</v>
      </c>
      <c r="M519" t="s">
        <v>733</v>
      </c>
      <c r="N519">
        <f t="shared" si="75"/>
        <v>9.2450378220141679E-3</v>
      </c>
      <c r="O519" t="s">
        <v>1250</v>
      </c>
      <c r="P519" s="4">
        <v>66.400000000000006</v>
      </c>
      <c r="Q519" s="4">
        <v>141.43</v>
      </c>
      <c r="R519" s="4" t="str">
        <f t="shared" si="76"/>
        <v>Profit</v>
      </c>
      <c r="S519">
        <v>0.107</v>
      </c>
      <c r="T519" s="4">
        <v>8</v>
      </c>
      <c r="U519">
        <f t="shared" si="77"/>
        <v>1010.3759200000001</v>
      </c>
      <c r="V519">
        <f t="shared" si="78"/>
        <v>531.20000000000005</v>
      </c>
      <c r="W519">
        <f t="shared" si="79"/>
        <v>479.17592000000002</v>
      </c>
      <c r="X519">
        <f t="shared" si="80"/>
        <v>0.47425508715607551</v>
      </c>
    </row>
    <row r="520" spans="1:24" x14ac:dyDescent="0.25">
      <c r="A520" t="s">
        <v>532</v>
      </c>
      <c r="B520" s="13">
        <v>45413</v>
      </c>
      <c r="C520" s="8">
        <v>45438</v>
      </c>
      <c r="D520" s="8">
        <f t="shared" si="72"/>
        <v>45438</v>
      </c>
      <c r="E520" s="6">
        <f t="shared" si="73"/>
        <v>25</v>
      </c>
      <c r="F520" s="6" t="str">
        <f t="shared" si="74"/>
        <v>Q2-2024</v>
      </c>
      <c r="G520" t="s">
        <v>649</v>
      </c>
      <c r="H520" t="s">
        <v>656</v>
      </c>
      <c r="I520" t="s">
        <v>671</v>
      </c>
      <c r="J520" t="s">
        <v>703</v>
      </c>
      <c r="K520" t="s">
        <v>707</v>
      </c>
      <c r="L520" t="s">
        <v>717</v>
      </c>
      <c r="M520" t="s">
        <v>729</v>
      </c>
      <c r="N520">
        <f t="shared" si="75"/>
        <v>8.9742178949351839E-2</v>
      </c>
      <c r="O520" t="s">
        <v>1251</v>
      </c>
      <c r="P520" s="4">
        <v>930.71</v>
      </c>
      <c r="Q520" s="4">
        <v>1625.42</v>
      </c>
      <c r="R520" s="4" t="str">
        <f t="shared" si="76"/>
        <v>Profit</v>
      </c>
      <c r="S520">
        <v>0.13800000000000001</v>
      </c>
      <c r="T520" s="4">
        <v>7</v>
      </c>
      <c r="U520">
        <f t="shared" si="77"/>
        <v>9807.7842799999999</v>
      </c>
      <c r="V520">
        <f t="shared" si="78"/>
        <v>6514.97</v>
      </c>
      <c r="W520">
        <f t="shared" si="79"/>
        <v>3292.8142799999996</v>
      </c>
      <c r="X520">
        <f t="shared" si="80"/>
        <v>0.33573477821231196</v>
      </c>
    </row>
    <row r="521" spans="1:24" x14ac:dyDescent="0.25">
      <c r="A521" t="s">
        <v>533</v>
      </c>
      <c r="B521" s="13">
        <v>45047</v>
      </c>
      <c r="C521" s="8">
        <v>45064</v>
      </c>
      <c r="D521" s="8">
        <f t="shared" si="72"/>
        <v>45064</v>
      </c>
      <c r="E521" s="6">
        <f t="shared" si="73"/>
        <v>17</v>
      </c>
      <c r="F521" s="6" t="str">
        <f t="shared" si="74"/>
        <v>Q2-2023</v>
      </c>
      <c r="G521" t="s">
        <v>646</v>
      </c>
      <c r="H521" t="s">
        <v>651</v>
      </c>
      <c r="I521" t="s">
        <v>663</v>
      </c>
      <c r="J521" t="s">
        <v>701</v>
      </c>
      <c r="K521" t="s">
        <v>711</v>
      </c>
      <c r="L521" t="s">
        <v>721</v>
      </c>
      <c r="M521" t="s">
        <v>727</v>
      </c>
      <c r="N521">
        <f t="shared" si="75"/>
        <v>7.8300018336616255E-3</v>
      </c>
      <c r="O521" t="s">
        <v>1252</v>
      </c>
      <c r="P521" s="4">
        <v>327.97</v>
      </c>
      <c r="Q521" s="4">
        <v>299.94</v>
      </c>
      <c r="R521" s="4" t="str">
        <f t="shared" si="76"/>
        <v>Loss</v>
      </c>
      <c r="S521">
        <v>4.9000000000000002E-2</v>
      </c>
      <c r="T521" s="4">
        <v>3</v>
      </c>
      <c r="U521">
        <f t="shared" si="77"/>
        <v>855.72881999999993</v>
      </c>
      <c r="V521">
        <f t="shared" si="78"/>
        <v>983.91000000000008</v>
      </c>
      <c r="W521">
        <f t="shared" si="79"/>
        <v>-128.18118000000015</v>
      </c>
      <c r="X521">
        <f t="shared" si="80"/>
        <v>-0.14979182306843442</v>
      </c>
    </row>
    <row r="522" spans="1:24" x14ac:dyDescent="0.25">
      <c r="A522" t="s">
        <v>534</v>
      </c>
      <c r="B522" s="13">
        <v>45482</v>
      </c>
      <c r="C522" s="8">
        <v>45512</v>
      </c>
      <c r="D522" s="8">
        <f t="shared" si="72"/>
        <v>45512</v>
      </c>
      <c r="E522" s="6">
        <f t="shared" si="73"/>
        <v>30</v>
      </c>
      <c r="F522" s="6" t="str">
        <f t="shared" si="74"/>
        <v>Q3-2024</v>
      </c>
      <c r="G522" t="s">
        <v>649</v>
      </c>
      <c r="H522" t="s">
        <v>657</v>
      </c>
      <c r="I522" t="s">
        <v>673</v>
      </c>
      <c r="J522" t="s">
        <v>701</v>
      </c>
      <c r="K522" t="s">
        <v>711</v>
      </c>
      <c r="L522" t="s">
        <v>713</v>
      </c>
      <c r="M522" t="s">
        <v>727</v>
      </c>
      <c r="N522">
        <f t="shared" si="75"/>
        <v>6.7705990110451586E-2</v>
      </c>
      <c r="O522" t="s">
        <v>1253</v>
      </c>
      <c r="P522" s="4">
        <v>1062.3800000000001</v>
      </c>
      <c r="Q522" s="4">
        <v>1503.96</v>
      </c>
      <c r="R522" s="4" t="str">
        <f t="shared" si="76"/>
        <v>Profit</v>
      </c>
      <c r="S522">
        <v>0.18</v>
      </c>
      <c r="T522" s="4">
        <v>6</v>
      </c>
      <c r="U522">
        <f t="shared" si="77"/>
        <v>7399.4832000000006</v>
      </c>
      <c r="V522">
        <f t="shared" si="78"/>
        <v>6374.2800000000007</v>
      </c>
      <c r="W522">
        <f t="shared" si="79"/>
        <v>1025.2031999999999</v>
      </c>
      <c r="X522">
        <f t="shared" si="80"/>
        <v>0.13855064905073369</v>
      </c>
    </row>
    <row r="523" spans="1:24" x14ac:dyDescent="0.25">
      <c r="A523" t="s">
        <v>535</v>
      </c>
      <c r="B523" s="13">
        <v>45056</v>
      </c>
      <c r="C523" s="8">
        <v>45073</v>
      </c>
      <c r="D523" s="8">
        <f t="shared" si="72"/>
        <v>45073</v>
      </c>
      <c r="E523" s="6">
        <f t="shared" si="73"/>
        <v>17</v>
      </c>
      <c r="F523" s="6" t="str">
        <f t="shared" si="74"/>
        <v>Q2-2023</v>
      </c>
      <c r="G523" t="s">
        <v>647</v>
      </c>
      <c r="H523" t="s">
        <v>654</v>
      </c>
      <c r="I523" t="s">
        <v>691</v>
      </c>
      <c r="J523" t="s">
        <v>704</v>
      </c>
      <c r="K523" t="s">
        <v>707</v>
      </c>
      <c r="L523" t="s">
        <v>724</v>
      </c>
      <c r="M523" t="s">
        <v>731</v>
      </c>
      <c r="N523">
        <f t="shared" si="75"/>
        <v>0.58737197564317001</v>
      </c>
      <c r="O523" t="s">
        <v>1254</v>
      </c>
      <c r="P523" s="4">
        <v>1286.1600000000001</v>
      </c>
      <c r="Q523" s="4">
        <v>3101.11</v>
      </c>
      <c r="R523" s="4" t="str">
        <f t="shared" si="76"/>
        <v>Profit</v>
      </c>
      <c r="S523">
        <v>0.1</v>
      </c>
      <c r="T523" s="4">
        <v>23</v>
      </c>
      <c r="U523">
        <f t="shared" si="77"/>
        <v>64192.976999999999</v>
      </c>
      <c r="V523">
        <f t="shared" si="78"/>
        <v>29581.68</v>
      </c>
      <c r="W523">
        <f t="shared" si="79"/>
        <v>34611.296999999999</v>
      </c>
      <c r="X523">
        <f t="shared" si="80"/>
        <v>0.53917575749758417</v>
      </c>
    </row>
    <row r="524" spans="1:24" x14ac:dyDescent="0.25">
      <c r="A524" t="s">
        <v>536</v>
      </c>
      <c r="B524" s="13">
        <v>45482</v>
      </c>
      <c r="C524" s="8">
        <v>45485</v>
      </c>
      <c r="D524" s="8">
        <f t="shared" si="72"/>
        <v>45485</v>
      </c>
      <c r="E524" s="6">
        <f t="shared" si="73"/>
        <v>3</v>
      </c>
      <c r="F524" s="6" t="str">
        <f t="shared" si="74"/>
        <v>Q3-2024</v>
      </c>
      <c r="G524" t="s">
        <v>647</v>
      </c>
      <c r="H524" t="s">
        <v>659</v>
      </c>
      <c r="I524" t="s">
        <v>685</v>
      </c>
      <c r="J524" t="s">
        <v>705</v>
      </c>
      <c r="K524" t="s">
        <v>707</v>
      </c>
      <c r="L524" t="s">
        <v>726</v>
      </c>
      <c r="M524" t="s">
        <v>733</v>
      </c>
      <c r="N524">
        <f t="shared" si="75"/>
        <v>0.20612112737569366</v>
      </c>
      <c r="O524" t="s">
        <v>1255</v>
      </c>
      <c r="P524" s="4">
        <v>748.39</v>
      </c>
      <c r="Q524" s="4">
        <v>979.42</v>
      </c>
      <c r="R524" s="4" t="str">
        <f t="shared" si="76"/>
        <v>Profit</v>
      </c>
      <c r="S524">
        <v>0</v>
      </c>
      <c r="T524" s="4">
        <v>23</v>
      </c>
      <c r="U524">
        <f t="shared" si="77"/>
        <v>22526.66</v>
      </c>
      <c r="V524">
        <f t="shared" si="78"/>
        <v>17212.97</v>
      </c>
      <c r="W524">
        <f t="shared" si="79"/>
        <v>5313.6899999999987</v>
      </c>
      <c r="X524">
        <f t="shared" si="80"/>
        <v>0.23588450307324738</v>
      </c>
    </row>
    <row r="525" spans="1:24" x14ac:dyDescent="0.25">
      <c r="A525" t="s">
        <v>537</v>
      </c>
      <c r="B525" s="13">
        <v>45406</v>
      </c>
      <c r="C525" s="8">
        <v>45422</v>
      </c>
      <c r="D525" s="8">
        <f t="shared" si="72"/>
        <v>45422</v>
      </c>
      <c r="E525" s="6">
        <f t="shared" si="73"/>
        <v>16</v>
      </c>
      <c r="F525" s="6" t="str">
        <f t="shared" si="74"/>
        <v>Q2-2024</v>
      </c>
      <c r="G525" t="s">
        <v>646</v>
      </c>
      <c r="H525" t="s">
        <v>650</v>
      </c>
      <c r="I525" t="s">
        <v>662</v>
      </c>
      <c r="J525" t="s">
        <v>703</v>
      </c>
      <c r="K525" t="s">
        <v>708</v>
      </c>
      <c r="L525" t="s">
        <v>725</v>
      </c>
      <c r="M525" t="s">
        <v>732</v>
      </c>
      <c r="N525">
        <f t="shared" si="75"/>
        <v>0.14751121772778486</v>
      </c>
      <c r="O525" t="s">
        <v>1256</v>
      </c>
      <c r="P525" s="4">
        <v>513.30999999999995</v>
      </c>
      <c r="Q525" s="4">
        <v>1186.26</v>
      </c>
      <c r="R525" s="4" t="str">
        <f t="shared" si="76"/>
        <v>Profit</v>
      </c>
      <c r="S525">
        <v>9.4E-2</v>
      </c>
      <c r="T525" s="4">
        <v>15</v>
      </c>
      <c r="U525">
        <f t="shared" si="77"/>
        <v>16121.273400000002</v>
      </c>
      <c r="V525">
        <f t="shared" si="78"/>
        <v>7699.65</v>
      </c>
      <c r="W525">
        <f t="shared" si="79"/>
        <v>8421.6234000000022</v>
      </c>
      <c r="X525">
        <f t="shared" si="80"/>
        <v>0.52239194702820446</v>
      </c>
    </row>
    <row r="526" spans="1:24" x14ac:dyDescent="0.25">
      <c r="A526" t="s">
        <v>538</v>
      </c>
      <c r="B526" s="13">
        <v>45304</v>
      </c>
      <c r="C526" s="8">
        <v>45306</v>
      </c>
      <c r="D526" s="8">
        <f t="shared" si="72"/>
        <v>45306</v>
      </c>
      <c r="E526" s="6">
        <f t="shared" si="73"/>
        <v>2</v>
      </c>
      <c r="F526" s="6" t="str">
        <f t="shared" si="74"/>
        <v>Q1-2024</v>
      </c>
      <c r="G526" t="s">
        <v>648</v>
      </c>
      <c r="H526" t="s">
        <v>660</v>
      </c>
      <c r="I526" t="s">
        <v>686</v>
      </c>
      <c r="J526" t="s">
        <v>703</v>
      </c>
      <c r="K526" t="s">
        <v>711</v>
      </c>
      <c r="L526" t="s">
        <v>718</v>
      </c>
      <c r="M526" t="s">
        <v>727</v>
      </c>
      <c r="N526">
        <f t="shared" si="75"/>
        <v>5.8883213899563712E-2</v>
      </c>
      <c r="O526" t="s">
        <v>1257</v>
      </c>
      <c r="P526" s="4">
        <v>1061.3699999999999</v>
      </c>
      <c r="Q526" s="4">
        <v>1938.33</v>
      </c>
      <c r="R526" s="4" t="str">
        <f t="shared" si="76"/>
        <v>Profit</v>
      </c>
      <c r="S526">
        <v>0.17</v>
      </c>
      <c r="T526" s="4">
        <v>4</v>
      </c>
      <c r="U526">
        <f t="shared" si="77"/>
        <v>6435.2555999999995</v>
      </c>
      <c r="V526">
        <f t="shared" si="78"/>
        <v>4245.4799999999996</v>
      </c>
      <c r="W526">
        <f t="shared" si="79"/>
        <v>2189.7755999999999</v>
      </c>
      <c r="X526">
        <f t="shared" si="80"/>
        <v>0.34027795259600879</v>
      </c>
    </row>
    <row r="527" spans="1:24" x14ac:dyDescent="0.25">
      <c r="A527" t="s">
        <v>539</v>
      </c>
      <c r="B527" s="13">
        <v>45398</v>
      </c>
      <c r="C527" s="8">
        <v>45409</v>
      </c>
      <c r="D527" s="8">
        <f t="shared" si="72"/>
        <v>45409</v>
      </c>
      <c r="E527" s="6">
        <f t="shared" si="73"/>
        <v>11</v>
      </c>
      <c r="F527" s="6" t="str">
        <f t="shared" si="74"/>
        <v>Q2-2024</v>
      </c>
      <c r="G527" t="s">
        <v>646</v>
      </c>
      <c r="H527" t="s">
        <v>650</v>
      </c>
      <c r="I527" t="s">
        <v>678</v>
      </c>
      <c r="J527" t="s">
        <v>706</v>
      </c>
      <c r="K527" t="s">
        <v>708</v>
      </c>
      <c r="L527" t="s">
        <v>726</v>
      </c>
      <c r="M527" t="s">
        <v>728</v>
      </c>
      <c r="N527">
        <f t="shared" si="75"/>
        <v>7.618997894195409E-2</v>
      </c>
      <c r="O527" t="s">
        <v>1258</v>
      </c>
      <c r="P527" s="4">
        <v>401.3</v>
      </c>
      <c r="Q527" s="4">
        <v>826.47</v>
      </c>
      <c r="R527" s="4" t="str">
        <f t="shared" si="76"/>
        <v>Profit</v>
      </c>
      <c r="S527">
        <v>0.22500000000000001</v>
      </c>
      <c r="T527" s="4">
        <v>13</v>
      </c>
      <c r="U527">
        <f t="shared" si="77"/>
        <v>8326.6852500000005</v>
      </c>
      <c r="V527">
        <f t="shared" si="78"/>
        <v>5216.9000000000005</v>
      </c>
      <c r="W527">
        <f t="shared" si="79"/>
        <v>3109.7852499999999</v>
      </c>
      <c r="X527">
        <f t="shared" si="80"/>
        <v>0.37347217489696755</v>
      </c>
    </row>
    <row r="528" spans="1:24" x14ac:dyDescent="0.25">
      <c r="A528" t="s">
        <v>540</v>
      </c>
      <c r="B528" s="13">
        <v>45695</v>
      </c>
      <c r="C528" s="8">
        <v>45704</v>
      </c>
      <c r="D528" s="8">
        <f t="shared" si="72"/>
        <v>45704</v>
      </c>
      <c r="E528" s="6">
        <f t="shared" si="73"/>
        <v>9</v>
      </c>
      <c r="F528" s="6" t="str">
        <f t="shared" si="74"/>
        <v>Q1-2025</v>
      </c>
      <c r="G528" t="s">
        <v>646</v>
      </c>
      <c r="H528" t="s">
        <v>651</v>
      </c>
      <c r="I528" t="s">
        <v>665</v>
      </c>
      <c r="J528" t="s">
        <v>705</v>
      </c>
      <c r="K528" t="s">
        <v>710</v>
      </c>
      <c r="L528" t="s">
        <v>712</v>
      </c>
      <c r="M528" t="s">
        <v>728</v>
      </c>
      <c r="N528">
        <f t="shared" si="75"/>
        <v>1.9641214687102778E-2</v>
      </c>
      <c r="O528" t="s">
        <v>1259</v>
      </c>
      <c r="P528" s="4">
        <v>90.68</v>
      </c>
      <c r="Q528" s="4">
        <v>118.17</v>
      </c>
      <c r="R528" s="4" t="str">
        <f t="shared" si="76"/>
        <v>Profit</v>
      </c>
      <c r="S528">
        <v>0.13500000000000001</v>
      </c>
      <c r="T528" s="4">
        <v>21</v>
      </c>
      <c r="U528">
        <f t="shared" si="77"/>
        <v>2146.5580500000001</v>
      </c>
      <c r="V528">
        <f t="shared" si="78"/>
        <v>1904.2800000000002</v>
      </c>
      <c r="W528">
        <f t="shared" si="79"/>
        <v>242.27804999999989</v>
      </c>
      <c r="X528">
        <f t="shared" si="80"/>
        <v>0.11286815653552899</v>
      </c>
    </row>
    <row r="529" spans="1:24" x14ac:dyDescent="0.25">
      <c r="A529" t="s">
        <v>541</v>
      </c>
      <c r="B529" s="13">
        <v>44938</v>
      </c>
      <c r="C529" s="8">
        <v>44952</v>
      </c>
      <c r="D529" s="8">
        <f t="shared" si="72"/>
        <v>44952</v>
      </c>
      <c r="E529" s="6">
        <f t="shared" si="73"/>
        <v>14</v>
      </c>
      <c r="F529" s="6" t="str">
        <f t="shared" si="74"/>
        <v>Q1-2023</v>
      </c>
      <c r="G529" t="s">
        <v>647</v>
      </c>
      <c r="H529" t="s">
        <v>659</v>
      </c>
      <c r="I529" t="s">
        <v>676</v>
      </c>
      <c r="J529" t="s">
        <v>703</v>
      </c>
      <c r="K529" t="s">
        <v>707</v>
      </c>
      <c r="L529" t="s">
        <v>724</v>
      </c>
      <c r="M529" t="s">
        <v>728</v>
      </c>
      <c r="N529">
        <f t="shared" si="75"/>
        <v>0.10437479214093177</v>
      </c>
      <c r="O529" t="s">
        <v>1260</v>
      </c>
      <c r="P529" s="4">
        <v>1083.0899999999999</v>
      </c>
      <c r="Q529" s="4">
        <v>1425.87</v>
      </c>
      <c r="R529" s="4" t="str">
        <f t="shared" si="76"/>
        <v>Profit</v>
      </c>
      <c r="S529">
        <v>0</v>
      </c>
      <c r="T529" s="4">
        <v>8</v>
      </c>
      <c r="U529">
        <f t="shared" si="77"/>
        <v>11406.96</v>
      </c>
      <c r="V529">
        <f t="shared" si="78"/>
        <v>8664.7199999999993</v>
      </c>
      <c r="W529">
        <f t="shared" si="79"/>
        <v>2742.24</v>
      </c>
      <c r="X529">
        <f t="shared" si="80"/>
        <v>0.24040059752992909</v>
      </c>
    </row>
    <row r="530" spans="1:24" x14ac:dyDescent="0.25">
      <c r="A530" t="s">
        <v>542</v>
      </c>
      <c r="B530" s="13">
        <v>45448</v>
      </c>
      <c r="C530" s="8">
        <v>45466</v>
      </c>
      <c r="D530" s="8">
        <f t="shared" si="72"/>
        <v>45466</v>
      </c>
      <c r="E530" s="6">
        <f t="shared" si="73"/>
        <v>18</v>
      </c>
      <c r="F530" s="6" t="str">
        <f t="shared" si="74"/>
        <v>Q2-2024</v>
      </c>
      <c r="G530" t="s">
        <v>646</v>
      </c>
      <c r="H530" t="s">
        <v>650</v>
      </c>
      <c r="I530" t="s">
        <v>664</v>
      </c>
      <c r="J530" t="s">
        <v>704</v>
      </c>
      <c r="K530" t="s">
        <v>710</v>
      </c>
      <c r="L530" t="s">
        <v>726</v>
      </c>
      <c r="M530" t="s">
        <v>731</v>
      </c>
      <c r="N530">
        <f t="shared" si="75"/>
        <v>0.53552619131257562</v>
      </c>
      <c r="O530" t="s">
        <v>1261</v>
      </c>
      <c r="P530" s="4">
        <v>1208.74</v>
      </c>
      <c r="Q530" s="4">
        <v>1594.78</v>
      </c>
      <c r="R530" s="4" t="str">
        <f t="shared" si="76"/>
        <v>Profit</v>
      </c>
      <c r="S530">
        <v>5.8999999999999997E-2</v>
      </c>
      <c r="T530" s="4">
        <v>39</v>
      </c>
      <c r="U530">
        <f t="shared" si="77"/>
        <v>58526.83122</v>
      </c>
      <c r="V530">
        <f t="shared" si="78"/>
        <v>47140.86</v>
      </c>
      <c r="W530">
        <f t="shared" si="79"/>
        <v>11385.971219999999</v>
      </c>
      <c r="X530">
        <f t="shared" si="80"/>
        <v>0.1945427589817838</v>
      </c>
    </row>
    <row r="531" spans="1:24" x14ac:dyDescent="0.25">
      <c r="A531" t="s">
        <v>543</v>
      </c>
      <c r="B531" s="13">
        <v>45162</v>
      </c>
      <c r="C531" s="8">
        <v>45189</v>
      </c>
      <c r="D531" s="8">
        <f t="shared" si="72"/>
        <v>45189</v>
      </c>
      <c r="E531" s="6">
        <f t="shared" si="73"/>
        <v>27</v>
      </c>
      <c r="F531" s="6" t="str">
        <f t="shared" si="74"/>
        <v>Q3-2023</v>
      </c>
      <c r="G531" t="s">
        <v>646</v>
      </c>
      <c r="H531" t="s">
        <v>661</v>
      </c>
      <c r="I531" t="s">
        <v>687</v>
      </c>
      <c r="J531" t="s">
        <v>705</v>
      </c>
      <c r="K531" t="s">
        <v>709</v>
      </c>
      <c r="L531" t="s">
        <v>724</v>
      </c>
      <c r="M531" t="s">
        <v>728</v>
      </c>
      <c r="N531">
        <f t="shared" si="75"/>
        <v>0.30580631172733974</v>
      </c>
      <c r="O531" t="s">
        <v>1262</v>
      </c>
      <c r="P531" s="4">
        <v>1399.64</v>
      </c>
      <c r="Q531" s="4">
        <v>3342.11</v>
      </c>
      <c r="R531" s="4" t="str">
        <f t="shared" si="76"/>
        <v>Profit</v>
      </c>
      <c r="S531">
        <v>0</v>
      </c>
      <c r="T531" s="4">
        <v>10</v>
      </c>
      <c r="U531">
        <f t="shared" si="77"/>
        <v>33421.1</v>
      </c>
      <c r="V531">
        <f t="shared" si="78"/>
        <v>13996.400000000001</v>
      </c>
      <c r="W531">
        <f t="shared" si="79"/>
        <v>19424.699999999997</v>
      </c>
      <c r="X531">
        <f t="shared" si="80"/>
        <v>0.58121067229983447</v>
      </c>
    </row>
    <row r="532" spans="1:24" x14ac:dyDescent="0.25">
      <c r="A532" t="s">
        <v>544</v>
      </c>
      <c r="B532" s="13">
        <v>45316</v>
      </c>
      <c r="C532" s="8">
        <v>45330</v>
      </c>
      <c r="D532" s="8">
        <f t="shared" si="72"/>
        <v>45330</v>
      </c>
      <c r="E532" s="6">
        <f t="shared" si="73"/>
        <v>14</v>
      </c>
      <c r="F532" s="6" t="str">
        <f t="shared" si="74"/>
        <v>Q1-2024</v>
      </c>
      <c r="G532" t="s">
        <v>647</v>
      </c>
      <c r="H532" t="s">
        <v>652</v>
      </c>
      <c r="I532" t="s">
        <v>666</v>
      </c>
      <c r="J532" t="s">
        <v>704</v>
      </c>
      <c r="K532" t="s">
        <v>709</v>
      </c>
      <c r="L532" t="s">
        <v>714</v>
      </c>
      <c r="M532" t="s">
        <v>729</v>
      </c>
      <c r="N532">
        <f t="shared" si="75"/>
        <v>8.4748828012243288E-2</v>
      </c>
      <c r="O532" t="s">
        <v>1263</v>
      </c>
      <c r="P532" s="4">
        <v>937.16</v>
      </c>
      <c r="Q532" s="4">
        <v>1069.77</v>
      </c>
      <c r="R532" s="4" t="str">
        <f t="shared" si="76"/>
        <v>Profit</v>
      </c>
      <c r="S532">
        <v>3.7999999999999999E-2</v>
      </c>
      <c r="T532" s="4">
        <v>9</v>
      </c>
      <c r="U532">
        <f t="shared" si="77"/>
        <v>9262.0686600000008</v>
      </c>
      <c r="V532">
        <f t="shared" si="78"/>
        <v>8434.44</v>
      </c>
      <c r="W532">
        <f t="shared" si="79"/>
        <v>827.62866000000031</v>
      </c>
      <c r="X532">
        <f t="shared" si="80"/>
        <v>8.9356783066645962E-2</v>
      </c>
    </row>
    <row r="533" spans="1:24" x14ac:dyDescent="0.25">
      <c r="A533" t="s">
        <v>545</v>
      </c>
      <c r="B533" s="13">
        <v>45727</v>
      </c>
      <c r="C533" s="8">
        <v>45742</v>
      </c>
      <c r="D533" s="8">
        <f t="shared" si="72"/>
        <v>45742</v>
      </c>
      <c r="E533" s="6">
        <f t="shared" si="73"/>
        <v>15</v>
      </c>
      <c r="F533" s="6" t="str">
        <f t="shared" si="74"/>
        <v>Q1-2025</v>
      </c>
      <c r="G533" t="s">
        <v>649</v>
      </c>
      <c r="H533" t="s">
        <v>656</v>
      </c>
      <c r="I533" t="s">
        <v>671</v>
      </c>
      <c r="J533" t="s">
        <v>705</v>
      </c>
      <c r="K533" t="s">
        <v>708</v>
      </c>
      <c r="L533" t="s">
        <v>714</v>
      </c>
      <c r="M533" t="s">
        <v>730</v>
      </c>
      <c r="N533">
        <f t="shared" si="75"/>
        <v>5.6565882256592107E-3</v>
      </c>
      <c r="O533" t="s">
        <v>1264</v>
      </c>
      <c r="P533" s="4">
        <v>116.97</v>
      </c>
      <c r="Q533" s="4">
        <v>140.82</v>
      </c>
      <c r="R533" s="4" t="str">
        <f t="shared" si="76"/>
        <v>Profit</v>
      </c>
      <c r="S533">
        <v>0.122</v>
      </c>
      <c r="T533" s="4">
        <v>5</v>
      </c>
      <c r="U533">
        <f t="shared" si="77"/>
        <v>618.19979999999987</v>
      </c>
      <c r="V533">
        <f t="shared" si="78"/>
        <v>584.85</v>
      </c>
      <c r="W533">
        <f t="shared" si="79"/>
        <v>33.349799999999846</v>
      </c>
      <c r="X533">
        <f t="shared" si="80"/>
        <v>5.3946636669891926E-2</v>
      </c>
    </row>
    <row r="534" spans="1:24" x14ac:dyDescent="0.25">
      <c r="A534" t="s">
        <v>546</v>
      </c>
      <c r="B534" s="13">
        <v>45769</v>
      </c>
      <c r="C534" s="8">
        <v>45789</v>
      </c>
      <c r="D534" s="8">
        <f t="shared" si="72"/>
        <v>45789</v>
      </c>
      <c r="E534" s="6">
        <f t="shared" si="73"/>
        <v>20</v>
      </c>
      <c r="F534" s="6" t="str">
        <f t="shared" si="74"/>
        <v>Q2-2025</v>
      </c>
      <c r="G534" t="s">
        <v>649</v>
      </c>
      <c r="H534" t="s">
        <v>657</v>
      </c>
      <c r="I534" t="s">
        <v>679</v>
      </c>
      <c r="J534" t="s">
        <v>706</v>
      </c>
      <c r="K534" t="s">
        <v>709</v>
      </c>
      <c r="L534" t="s">
        <v>723</v>
      </c>
      <c r="M534" t="s">
        <v>732</v>
      </c>
      <c r="N534">
        <f t="shared" si="75"/>
        <v>4.8914311160318967E-3</v>
      </c>
      <c r="O534" t="s">
        <v>1265</v>
      </c>
      <c r="P534" s="4">
        <v>59.51</v>
      </c>
      <c r="Q534" s="4">
        <v>67.040000000000006</v>
      </c>
      <c r="R534" s="4" t="str">
        <f t="shared" si="76"/>
        <v>Profit</v>
      </c>
      <c r="S534">
        <v>0.114</v>
      </c>
      <c r="T534" s="4">
        <v>9</v>
      </c>
      <c r="U534">
        <f t="shared" si="77"/>
        <v>534.57695999999999</v>
      </c>
      <c r="V534">
        <f t="shared" si="78"/>
        <v>535.59</v>
      </c>
      <c r="W534">
        <f t="shared" si="79"/>
        <v>-1.0130400000000463</v>
      </c>
      <c r="X534">
        <f t="shared" si="80"/>
        <v>-1.8950311663264469E-3</v>
      </c>
    </row>
    <row r="535" spans="1:24" x14ac:dyDescent="0.25">
      <c r="A535" t="s">
        <v>547</v>
      </c>
      <c r="B535" s="13">
        <v>45155</v>
      </c>
      <c r="C535" s="8">
        <v>45172</v>
      </c>
      <c r="D535" s="8">
        <f t="shared" si="72"/>
        <v>45172</v>
      </c>
      <c r="E535" s="6">
        <f t="shared" si="73"/>
        <v>17</v>
      </c>
      <c r="F535" s="6" t="str">
        <f t="shared" si="74"/>
        <v>Q3-2023</v>
      </c>
      <c r="G535" t="s">
        <v>646</v>
      </c>
      <c r="H535" t="s">
        <v>661</v>
      </c>
      <c r="I535" t="s">
        <v>687</v>
      </c>
      <c r="J535" t="s">
        <v>706</v>
      </c>
      <c r="K535" t="s">
        <v>707</v>
      </c>
      <c r="L535" t="s">
        <v>720</v>
      </c>
      <c r="M535" t="s">
        <v>730</v>
      </c>
      <c r="N535">
        <f t="shared" si="75"/>
        <v>0.10910665324881845</v>
      </c>
      <c r="O535" t="s">
        <v>1266</v>
      </c>
      <c r="P535" s="4">
        <v>676.37</v>
      </c>
      <c r="Q535" s="4">
        <v>1276.67</v>
      </c>
      <c r="R535" s="4" t="str">
        <f t="shared" si="76"/>
        <v>Profit</v>
      </c>
      <c r="S535">
        <v>6.6000000000000003E-2</v>
      </c>
      <c r="T535" s="4">
        <v>10</v>
      </c>
      <c r="U535">
        <f t="shared" si="77"/>
        <v>11924.0978</v>
      </c>
      <c r="V535">
        <f t="shared" si="78"/>
        <v>6763.7</v>
      </c>
      <c r="W535">
        <f t="shared" si="79"/>
        <v>5160.3977999999997</v>
      </c>
      <c r="X535">
        <f t="shared" si="80"/>
        <v>0.4327705027712872</v>
      </c>
    </row>
    <row r="536" spans="1:24" x14ac:dyDescent="0.25">
      <c r="A536" t="s">
        <v>548</v>
      </c>
      <c r="B536" s="13">
        <v>45832</v>
      </c>
      <c r="C536" s="8">
        <v>45852</v>
      </c>
      <c r="D536" s="8">
        <f t="shared" si="72"/>
        <v>45852</v>
      </c>
      <c r="E536" s="6">
        <f t="shared" si="73"/>
        <v>20</v>
      </c>
      <c r="F536" s="6" t="str">
        <f t="shared" si="74"/>
        <v>Q2-2025</v>
      </c>
      <c r="G536" t="s">
        <v>646</v>
      </c>
      <c r="H536" t="s">
        <v>661</v>
      </c>
      <c r="I536" t="s">
        <v>682</v>
      </c>
      <c r="J536" t="s">
        <v>706</v>
      </c>
      <c r="K536" t="s">
        <v>709</v>
      </c>
      <c r="L536" t="s">
        <v>713</v>
      </c>
      <c r="M536" t="s">
        <v>731</v>
      </c>
      <c r="N536">
        <f t="shared" si="75"/>
        <v>0.38826839998240376</v>
      </c>
      <c r="O536" t="s">
        <v>1267</v>
      </c>
      <c r="P536" s="4">
        <v>1151.06</v>
      </c>
      <c r="Q536" s="4">
        <v>2821.36</v>
      </c>
      <c r="R536" s="4" t="str">
        <f t="shared" si="76"/>
        <v>Profit</v>
      </c>
      <c r="S536">
        <v>0.248</v>
      </c>
      <c r="T536" s="4">
        <v>20</v>
      </c>
      <c r="U536">
        <f t="shared" si="77"/>
        <v>42433.254400000005</v>
      </c>
      <c r="V536">
        <f t="shared" si="78"/>
        <v>23021.199999999997</v>
      </c>
      <c r="W536">
        <f t="shared" si="79"/>
        <v>19412.054400000008</v>
      </c>
      <c r="X536">
        <f t="shared" si="80"/>
        <v>0.45747267501594235</v>
      </c>
    </row>
    <row r="537" spans="1:24" x14ac:dyDescent="0.25">
      <c r="A537" t="s">
        <v>549</v>
      </c>
      <c r="B537" s="13">
        <v>45667</v>
      </c>
      <c r="C537" s="8">
        <v>45694</v>
      </c>
      <c r="D537" s="8">
        <f t="shared" si="72"/>
        <v>45694</v>
      </c>
      <c r="E537" s="6">
        <f t="shared" si="73"/>
        <v>27</v>
      </c>
      <c r="F537" s="6" t="str">
        <f t="shared" si="74"/>
        <v>Q1-2025</v>
      </c>
      <c r="G537" t="s">
        <v>648</v>
      </c>
      <c r="H537" t="s">
        <v>655</v>
      </c>
      <c r="I537" t="s">
        <v>672</v>
      </c>
      <c r="J537" t="s">
        <v>703</v>
      </c>
      <c r="K537" t="s">
        <v>707</v>
      </c>
      <c r="L537" t="s">
        <v>717</v>
      </c>
      <c r="M537" t="s">
        <v>731</v>
      </c>
      <c r="N537">
        <f t="shared" si="75"/>
        <v>0.13867271249990296</v>
      </c>
      <c r="O537" t="s">
        <v>1268</v>
      </c>
      <c r="P537" s="4">
        <v>725.62</v>
      </c>
      <c r="Q537" s="4">
        <v>1559.19</v>
      </c>
      <c r="R537" s="4" t="str">
        <f t="shared" si="76"/>
        <v>Profit</v>
      </c>
      <c r="S537">
        <v>0.19</v>
      </c>
      <c r="T537" s="4">
        <v>12</v>
      </c>
      <c r="U537">
        <f t="shared" si="77"/>
        <v>15155.326800000001</v>
      </c>
      <c r="V537">
        <f t="shared" si="78"/>
        <v>8707.44</v>
      </c>
      <c r="W537">
        <f t="shared" si="79"/>
        <v>6447.8868000000002</v>
      </c>
      <c r="X537">
        <f t="shared" si="80"/>
        <v>0.42545349797405885</v>
      </c>
    </row>
    <row r="538" spans="1:24" x14ac:dyDescent="0.25">
      <c r="A538" t="s">
        <v>550</v>
      </c>
      <c r="B538" s="13">
        <v>45108</v>
      </c>
      <c r="C538" s="8">
        <v>45118</v>
      </c>
      <c r="D538" s="8">
        <f t="shared" si="72"/>
        <v>45118</v>
      </c>
      <c r="E538" s="6">
        <f t="shared" si="73"/>
        <v>10</v>
      </c>
      <c r="F538" s="6" t="str">
        <f t="shared" si="74"/>
        <v>Q3-2023</v>
      </c>
      <c r="G538" t="s">
        <v>649</v>
      </c>
      <c r="H538" t="s">
        <v>657</v>
      </c>
      <c r="I538" t="s">
        <v>690</v>
      </c>
      <c r="J538" t="s">
        <v>701</v>
      </c>
      <c r="K538" t="s">
        <v>711</v>
      </c>
      <c r="L538" t="s">
        <v>721</v>
      </c>
      <c r="M538" t="s">
        <v>729</v>
      </c>
      <c r="N538">
        <f t="shared" si="75"/>
        <v>7.1585302262876918E-2</v>
      </c>
      <c r="O538" t="s">
        <v>1269</v>
      </c>
      <c r="P538" s="4">
        <v>479.5</v>
      </c>
      <c r="Q538" s="4">
        <v>656.66</v>
      </c>
      <c r="R538" s="4" t="str">
        <f t="shared" si="76"/>
        <v>Profit</v>
      </c>
      <c r="S538">
        <v>0.14899999999999999</v>
      </c>
      <c r="T538" s="4">
        <v>14</v>
      </c>
      <c r="U538">
        <f t="shared" si="77"/>
        <v>7823.4472399999995</v>
      </c>
      <c r="V538">
        <f t="shared" si="78"/>
        <v>6713</v>
      </c>
      <c r="W538">
        <f t="shared" si="79"/>
        <v>1110.4472399999995</v>
      </c>
      <c r="X538">
        <f t="shared" si="80"/>
        <v>0.14193835606412289</v>
      </c>
    </row>
    <row r="539" spans="1:24" x14ac:dyDescent="0.25">
      <c r="A539" t="s">
        <v>551</v>
      </c>
      <c r="B539" s="13">
        <v>45520</v>
      </c>
      <c r="C539" s="8">
        <v>45530</v>
      </c>
      <c r="D539" s="8">
        <f t="shared" si="72"/>
        <v>45530</v>
      </c>
      <c r="E539" s="6">
        <f t="shared" si="73"/>
        <v>10</v>
      </c>
      <c r="F539" s="6" t="str">
        <f t="shared" si="74"/>
        <v>Q3-2024</v>
      </c>
      <c r="G539" t="s">
        <v>648</v>
      </c>
      <c r="H539" t="s">
        <v>660</v>
      </c>
      <c r="I539" t="s">
        <v>677</v>
      </c>
      <c r="J539" t="s">
        <v>701</v>
      </c>
      <c r="K539" t="s">
        <v>710</v>
      </c>
      <c r="L539" t="s">
        <v>716</v>
      </c>
      <c r="M539" t="s">
        <v>731</v>
      </c>
      <c r="N539">
        <f t="shared" si="75"/>
        <v>0.46627766227008038</v>
      </c>
      <c r="O539" t="s">
        <v>1121</v>
      </c>
      <c r="P539" s="4">
        <v>1291.7</v>
      </c>
      <c r="Q539" s="4">
        <v>2657.84</v>
      </c>
      <c r="R539" s="4" t="str">
        <f t="shared" si="76"/>
        <v>Profit</v>
      </c>
      <c r="S539">
        <v>8.6999999999999994E-2</v>
      </c>
      <c r="T539" s="4">
        <v>21</v>
      </c>
      <c r="U539">
        <f t="shared" si="77"/>
        <v>50958.766320000002</v>
      </c>
      <c r="V539">
        <f t="shared" si="78"/>
        <v>27125.7</v>
      </c>
      <c r="W539">
        <f t="shared" si="79"/>
        <v>23833.066320000002</v>
      </c>
      <c r="X539">
        <f t="shared" si="80"/>
        <v>0.46769315745083367</v>
      </c>
    </row>
    <row r="540" spans="1:24" x14ac:dyDescent="0.25">
      <c r="A540" t="s">
        <v>552</v>
      </c>
      <c r="B540" s="13">
        <v>45114</v>
      </c>
      <c r="C540" s="8">
        <v>45120</v>
      </c>
      <c r="D540" s="8">
        <f t="shared" si="72"/>
        <v>45120</v>
      </c>
      <c r="E540" s="6">
        <f t="shared" si="73"/>
        <v>6</v>
      </c>
      <c r="F540" s="6" t="str">
        <f t="shared" si="74"/>
        <v>Q3-2023</v>
      </c>
      <c r="G540" t="s">
        <v>646</v>
      </c>
      <c r="H540" t="s">
        <v>661</v>
      </c>
      <c r="I540" t="s">
        <v>695</v>
      </c>
      <c r="J540" t="s">
        <v>705</v>
      </c>
      <c r="K540" t="s">
        <v>709</v>
      </c>
      <c r="L540" t="s">
        <v>717</v>
      </c>
      <c r="M540" t="s">
        <v>733</v>
      </c>
      <c r="N540">
        <f t="shared" si="75"/>
        <v>0.18694354490844642</v>
      </c>
      <c r="O540" t="s">
        <v>1270</v>
      </c>
      <c r="P540" s="4">
        <v>612.59</v>
      </c>
      <c r="Q540" s="4">
        <v>1424.74</v>
      </c>
      <c r="R540" s="4" t="str">
        <f t="shared" si="76"/>
        <v>Profit</v>
      </c>
      <c r="S540">
        <v>4.3999999999999997E-2</v>
      </c>
      <c r="T540" s="4">
        <v>15</v>
      </c>
      <c r="U540">
        <f t="shared" si="77"/>
        <v>20430.771599999996</v>
      </c>
      <c r="V540">
        <f t="shared" si="78"/>
        <v>9188.85</v>
      </c>
      <c r="W540">
        <f t="shared" si="79"/>
        <v>11241.921599999996</v>
      </c>
      <c r="X540">
        <f t="shared" si="80"/>
        <v>0.55024459281802152</v>
      </c>
    </row>
    <row r="541" spans="1:24" x14ac:dyDescent="0.25">
      <c r="A541" t="s">
        <v>553</v>
      </c>
      <c r="B541" s="13">
        <v>45288</v>
      </c>
      <c r="C541" s="8">
        <v>45292</v>
      </c>
      <c r="D541" s="8">
        <f t="shared" si="72"/>
        <v>45292</v>
      </c>
      <c r="E541" s="6">
        <f t="shared" si="73"/>
        <v>4</v>
      </c>
      <c r="F541" s="6" t="str">
        <f t="shared" si="74"/>
        <v>Q4-2023</v>
      </c>
      <c r="G541" t="s">
        <v>646</v>
      </c>
      <c r="H541" t="s">
        <v>661</v>
      </c>
      <c r="I541" t="s">
        <v>695</v>
      </c>
      <c r="J541" t="s">
        <v>702</v>
      </c>
      <c r="K541" t="s">
        <v>710</v>
      </c>
      <c r="L541" t="s">
        <v>720</v>
      </c>
      <c r="M541" t="s">
        <v>728</v>
      </c>
      <c r="N541">
        <f t="shared" si="75"/>
        <v>0.60628831222278523</v>
      </c>
      <c r="O541" t="s">
        <v>1271</v>
      </c>
      <c r="P541" s="4">
        <v>1141.8</v>
      </c>
      <c r="Q541" s="4">
        <v>2318.7399999999998</v>
      </c>
      <c r="R541" s="4" t="str">
        <f t="shared" si="76"/>
        <v>Profit</v>
      </c>
      <c r="S541">
        <v>0.107</v>
      </c>
      <c r="T541" s="4">
        <v>32</v>
      </c>
      <c r="U541">
        <f t="shared" si="77"/>
        <v>66260.314239999992</v>
      </c>
      <c r="V541">
        <f t="shared" si="78"/>
        <v>36537.599999999999</v>
      </c>
      <c r="W541">
        <f t="shared" si="79"/>
        <v>29722.714239999994</v>
      </c>
      <c r="X541">
        <f t="shared" si="80"/>
        <v>0.44857490612468304</v>
      </c>
    </row>
    <row r="542" spans="1:24" x14ac:dyDescent="0.25">
      <c r="A542" t="s">
        <v>554</v>
      </c>
      <c r="B542" s="13">
        <v>44952</v>
      </c>
      <c r="C542" s="8">
        <v>44972</v>
      </c>
      <c r="D542" s="8">
        <f t="shared" si="72"/>
        <v>44972</v>
      </c>
      <c r="E542" s="6">
        <f t="shared" si="73"/>
        <v>20</v>
      </c>
      <c r="F542" s="6" t="str">
        <f t="shared" si="74"/>
        <v>Q1-2023</v>
      </c>
      <c r="G542" t="s">
        <v>649</v>
      </c>
      <c r="H542" t="s">
        <v>656</v>
      </c>
      <c r="I542" t="s">
        <v>671</v>
      </c>
      <c r="J542" t="s">
        <v>705</v>
      </c>
      <c r="K542" t="s">
        <v>708</v>
      </c>
      <c r="L542" t="s">
        <v>719</v>
      </c>
      <c r="M542" t="s">
        <v>729</v>
      </c>
      <c r="N542">
        <f t="shared" si="75"/>
        <v>3.0567153079637869E-2</v>
      </c>
      <c r="O542" t="s">
        <v>1272</v>
      </c>
      <c r="P542" s="4">
        <v>492.62</v>
      </c>
      <c r="Q542" s="4">
        <v>366.7</v>
      </c>
      <c r="R542" s="4" t="str">
        <f t="shared" si="76"/>
        <v>Loss</v>
      </c>
      <c r="S542">
        <v>8.8999999999999996E-2</v>
      </c>
      <c r="T542" s="4">
        <v>10</v>
      </c>
      <c r="U542">
        <f t="shared" si="77"/>
        <v>3340.6370000000002</v>
      </c>
      <c r="V542">
        <f t="shared" si="78"/>
        <v>4926.2</v>
      </c>
      <c r="W542">
        <f t="shared" si="79"/>
        <v>-1585.5629999999996</v>
      </c>
      <c r="X542">
        <f t="shared" si="80"/>
        <v>-0.47462894052840809</v>
      </c>
    </row>
    <row r="543" spans="1:24" x14ac:dyDescent="0.25">
      <c r="A543" t="s">
        <v>555</v>
      </c>
      <c r="B543" s="13">
        <v>45115</v>
      </c>
      <c r="C543" s="8">
        <v>45116</v>
      </c>
      <c r="D543" s="8">
        <f t="shared" si="72"/>
        <v>45116</v>
      </c>
      <c r="E543" s="6">
        <f t="shared" si="73"/>
        <v>1</v>
      </c>
      <c r="F543" s="6" t="str">
        <f t="shared" si="74"/>
        <v>Q3-2023</v>
      </c>
      <c r="G543" t="s">
        <v>646</v>
      </c>
      <c r="H543" t="s">
        <v>650</v>
      </c>
      <c r="I543" t="s">
        <v>664</v>
      </c>
      <c r="J543" t="s">
        <v>704</v>
      </c>
      <c r="K543" t="s">
        <v>708</v>
      </c>
      <c r="L543" t="s">
        <v>726</v>
      </c>
      <c r="M543" t="s">
        <v>731</v>
      </c>
      <c r="N543">
        <f t="shared" si="75"/>
        <v>0.17917601280102216</v>
      </c>
      <c r="O543" t="s">
        <v>1273</v>
      </c>
      <c r="P543" s="4">
        <v>1258.72</v>
      </c>
      <c r="Q543" s="4">
        <v>2797.41</v>
      </c>
      <c r="R543" s="4" t="str">
        <f t="shared" si="76"/>
        <v>Profit</v>
      </c>
      <c r="S543">
        <v>0</v>
      </c>
      <c r="T543" s="4">
        <v>7</v>
      </c>
      <c r="U543">
        <f t="shared" si="77"/>
        <v>19581.87</v>
      </c>
      <c r="V543">
        <f t="shared" si="78"/>
        <v>8811.0400000000009</v>
      </c>
      <c r="W543">
        <f t="shared" si="79"/>
        <v>10770.829999999998</v>
      </c>
      <c r="X543">
        <f t="shared" si="80"/>
        <v>0.55004093071805704</v>
      </c>
    </row>
    <row r="544" spans="1:24" x14ac:dyDescent="0.25">
      <c r="A544" t="s">
        <v>556</v>
      </c>
      <c r="B544" s="13">
        <v>45450</v>
      </c>
      <c r="C544" s="8">
        <v>45452</v>
      </c>
      <c r="D544" s="8">
        <f t="shared" si="72"/>
        <v>45452</v>
      </c>
      <c r="E544" s="6">
        <f t="shared" si="73"/>
        <v>2</v>
      </c>
      <c r="F544" s="6" t="str">
        <f t="shared" si="74"/>
        <v>Q2-2024</v>
      </c>
      <c r="G544" t="s">
        <v>647</v>
      </c>
      <c r="H544" t="s">
        <v>659</v>
      </c>
      <c r="I544" t="s">
        <v>685</v>
      </c>
      <c r="J544" t="s">
        <v>701</v>
      </c>
      <c r="K544" t="s">
        <v>707</v>
      </c>
      <c r="L544" t="s">
        <v>719</v>
      </c>
      <c r="M544" t="s">
        <v>732</v>
      </c>
      <c r="N544">
        <f t="shared" si="75"/>
        <v>0.28047246996745545</v>
      </c>
      <c r="O544" t="s">
        <v>1274</v>
      </c>
      <c r="P544" s="4">
        <v>1370.28</v>
      </c>
      <c r="Q544" s="4">
        <v>2209.66</v>
      </c>
      <c r="R544" s="4" t="str">
        <f t="shared" si="76"/>
        <v>Profit</v>
      </c>
      <c r="S544">
        <v>0.13300000000000001</v>
      </c>
      <c r="T544" s="4">
        <v>16</v>
      </c>
      <c r="U544">
        <f t="shared" si="77"/>
        <v>30652.403519999996</v>
      </c>
      <c r="V544">
        <f t="shared" si="78"/>
        <v>21924.48</v>
      </c>
      <c r="W544">
        <f t="shared" si="79"/>
        <v>8727.9235199999966</v>
      </c>
      <c r="X544">
        <f t="shared" si="80"/>
        <v>0.28473863442079589</v>
      </c>
    </row>
    <row r="545" spans="1:24" x14ac:dyDescent="0.25">
      <c r="A545" t="s">
        <v>557</v>
      </c>
      <c r="B545" s="13">
        <v>44968</v>
      </c>
      <c r="C545" s="8">
        <v>44969</v>
      </c>
      <c r="D545" s="8">
        <f t="shared" si="72"/>
        <v>44969</v>
      </c>
      <c r="E545" s="6">
        <f t="shared" si="73"/>
        <v>1</v>
      </c>
      <c r="F545" s="6" t="str">
        <f t="shared" si="74"/>
        <v>Q1-2023</v>
      </c>
      <c r="G545" t="s">
        <v>646</v>
      </c>
      <c r="H545" t="s">
        <v>651</v>
      </c>
      <c r="I545" t="s">
        <v>663</v>
      </c>
      <c r="J545" t="s">
        <v>703</v>
      </c>
      <c r="K545" t="s">
        <v>711</v>
      </c>
      <c r="L545" t="s">
        <v>726</v>
      </c>
      <c r="M545" t="s">
        <v>733</v>
      </c>
      <c r="N545">
        <f t="shared" si="75"/>
        <v>4.3346021738122881E-2</v>
      </c>
      <c r="O545" t="s">
        <v>1275</v>
      </c>
      <c r="P545" s="4">
        <v>944.61</v>
      </c>
      <c r="Q545" s="4">
        <v>839.04</v>
      </c>
      <c r="R545" s="4" t="str">
        <f t="shared" si="76"/>
        <v>Loss</v>
      </c>
      <c r="S545">
        <v>5.8999999999999997E-2</v>
      </c>
      <c r="T545" s="4">
        <v>6</v>
      </c>
      <c r="U545">
        <f t="shared" si="77"/>
        <v>4737.2198399999997</v>
      </c>
      <c r="V545">
        <f t="shared" si="78"/>
        <v>5667.66</v>
      </c>
      <c r="W545">
        <f t="shared" si="79"/>
        <v>-930.44016000000011</v>
      </c>
      <c r="X545">
        <f t="shared" si="80"/>
        <v>-0.19641059343363726</v>
      </c>
    </row>
    <row r="546" spans="1:24" x14ac:dyDescent="0.25">
      <c r="A546" t="s">
        <v>558</v>
      </c>
      <c r="B546" s="13">
        <v>45108</v>
      </c>
      <c r="C546" s="8">
        <v>45115</v>
      </c>
      <c r="D546" s="8">
        <f t="shared" si="72"/>
        <v>45115</v>
      </c>
      <c r="E546" s="6">
        <f t="shared" si="73"/>
        <v>7</v>
      </c>
      <c r="F546" s="6" t="str">
        <f t="shared" si="74"/>
        <v>Q3-2023</v>
      </c>
      <c r="G546" t="s">
        <v>649</v>
      </c>
      <c r="H546" t="s">
        <v>656</v>
      </c>
      <c r="I546" t="s">
        <v>698</v>
      </c>
      <c r="J546" t="s">
        <v>705</v>
      </c>
      <c r="K546" t="s">
        <v>710</v>
      </c>
      <c r="L546" t="s">
        <v>725</v>
      </c>
      <c r="M546" t="s">
        <v>731</v>
      </c>
      <c r="N546">
        <f t="shared" si="75"/>
        <v>0.12914509790078804</v>
      </c>
      <c r="O546" t="s">
        <v>1276</v>
      </c>
      <c r="P546" s="4">
        <v>460.21</v>
      </c>
      <c r="Q546" s="4">
        <v>1139.1500000000001</v>
      </c>
      <c r="R546" s="4" t="str">
        <f t="shared" si="76"/>
        <v>Profit</v>
      </c>
      <c r="S546">
        <v>0.115</v>
      </c>
      <c r="T546" s="4">
        <v>14</v>
      </c>
      <c r="U546">
        <f t="shared" si="77"/>
        <v>14114.068500000001</v>
      </c>
      <c r="V546">
        <f t="shared" si="78"/>
        <v>6442.94</v>
      </c>
      <c r="W546">
        <f t="shared" si="79"/>
        <v>7671.1285000000016</v>
      </c>
      <c r="X546">
        <f t="shared" si="80"/>
        <v>0.54350937151821255</v>
      </c>
    </row>
    <row r="547" spans="1:24" x14ac:dyDescent="0.25">
      <c r="A547" t="s">
        <v>559</v>
      </c>
      <c r="B547" s="13">
        <v>45889</v>
      </c>
      <c r="C547" s="8">
        <v>45895</v>
      </c>
      <c r="D547" s="8">
        <f t="shared" si="72"/>
        <v>45895</v>
      </c>
      <c r="E547" s="6">
        <f t="shared" si="73"/>
        <v>6</v>
      </c>
      <c r="F547" s="6" t="str">
        <f t="shared" si="74"/>
        <v>Q3-2025</v>
      </c>
      <c r="G547" t="s">
        <v>648</v>
      </c>
      <c r="H547" t="s">
        <v>660</v>
      </c>
      <c r="I547" t="s">
        <v>700</v>
      </c>
      <c r="J547" t="s">
        <v>701</v>
      </c>
      <c r="K547" t="s">
        <v>707</v>
      </c>
      <c r="L547" t="s">
        <v>724</v>
      </c>
      <c r="M547" t="s">
        <v>729</v>
      </c>
      <c r="N547">
        <f t="shared" si="75"/>
        <v>9.8753678109899976E-2</v>
      </c>
      <c r="O547" t="s">
        <v>1277</v>
      </c>
      <c r="P547" s="4">
        <v>1304.95</v>
      </c>
      <c r="Q547" s="4">
        <v>1712.03</v>
      </c>
      <c r="R547" s="4" t="str">
        <f t="shared" si="76"/>
        <v>Profit</v>
      </c>
      <c r="S547">
        <v>0.21199999999999999</v>
      </c>
      <c r="T547" s="4">
        <v>8</v>
      </c>
      <c r="U547">
        <f t="shared" si="77"/>
        <v>10792.637119999999</v>
      </c>
      <c r="V547">
        <f t="shared" si="78"/>
        <v>10439.6</v>
      </c>
      <c r="W547">
        <f t="shared" si="79"/>
        <v>353.03711999999905</v>
      </c>
      <c r="X547">
        <f t="shared" si="80"/>
        <v>3.2710922833287949E-2</v>
      </c>
    </row>
    <row r="548" spans="1:24" x14ac:dyDescent="0.25">
      <c r="A548" t="s">
        <v>560</v>
      </c>
      <c r="B548" s="13">
        <v>45355</v>
      </c>
      <c r="C548" s="8">
        <v>45367</v>
      </c>
      <c r="D548" s="8">
        <f t="shared" si="72"/>
        <v>45367</v>
      </c>
      <c r="E548" s="6">
        <f t="shared" si="73"/>
        <v>12</v>
      </c>
      <c r="F548" s="6" t="str">
        <f t="shared" si="74"/>
        <v>Q1-2024</v>
      </c>
      <c r="G548" t="s">
        <v>646</v>
      </c>
      <c r="H548" t="s">
        <v>661</v>
      </c>
      <c r="I548" t="s">
        <v>682</v>
      </c>
      <c r="J548" t="s">
        <v>706</v>
      </c>
      <c r="K548" t="s">
        <v>710</v>
      </c>
      <c r="L548" t="s">
        <v>724</v>
      </c>
      <c r="M548" t="s">
        <v>732</v>
      </c>
      <c r="N548">
        <f t="shared" si="75"/>
        <v>4.4163306402185326E-2</v>
      </c>
      <c r="O548" t="s">
        <v>1278</v>
      </c>
      <c r="P548" s="4">
        <v>441.08</v>
      </c>
      <c r="Q548" s="4">
        <v>1054.29</v>
      </c>
      <c r="R548" s="4" t="str">
        <f t="shared" si="76"/>
        <v>Profit</v>
      </c>
      <c r="S548">
        <v>0.23699999999999999</v>
      </c>
      <c r="T548" s="4">
        <v>6</v>
      </c>
      <c r="U548">
        <f t="shared" si="77"/>
        <v>4826.5396199999996</v>
      </c>
      <c r="V548">
        <f t="shared" si="78"/>
        <v>2646.48</v>
      </c>
      <c r="W548">
        <f t="shared" si="79"/>
        <v>2180.0596199999995</v>
      </c>
      <c r="X548">
        <f t="shared" si="80"/>
        <v>0.45168169985932899</v>
      </c>
    </row>
    <row r="549" spans="1:24" x14ac:dyDescent="0.25">
      <c r="A549" t="s">
        <v>561</v>
      </c>
      <c r="B549" s="13">
        <v>45177</v>
      </c>
      <c r="C549" s="8">
        <v>45201</v>
      </c>
      <c r="D549" s="8">
        <f t="shared" si="72"/>
        <v>45201</v>
      </c>
      <c r="E549" s="6">
        <f t="shared" si="73"/>
        <v>24</v>
      </c>
      <c r="F549" s="6" t="str">
        <f t="shared" si="74"/>
        <v>Q3-2023</v>
      </c>
      <c r="G549" t="s">
        <v>648</v>
      </c>
      <c r="H549" t="s">
        <v>653</v>
      </c>
      <c r="I549" t="s">
        <v>667</v>
      </c>
      <c r="J549" t="s">
        <v>702</v>
      </c>
      <c r="K549" t="s">
        <v>711</v>
      </c>
      <c r="L549" t="s">
        <v>720</v>
      </c>
      <c r="M549" t="s">
        <v>733</v>
      </c>
      <c r="N549">
        <f t="shared" si="75"/>
        <v>0.14210951753625664</v>
      </c>
      <c r="O549" t="s">
        <v>1279</v>
      </c>
      <c r="P549" s="4">
        <v>1299.03</v>
      </c>
      <c r="Q549" s="4">
        <v>2451.2199999999998</v>
      </c>
      <c r="R549" s="4" t="str">
        <f t="shared" si="76"/>
        <v>Profit</v>
      </c>
      <c r="S549">
        <v>0.20799999999999999</v>
      </c>
      <c r="T549" s="4">
        <v>8</v>
      </c>
      <c r="U549">
        <f t="shared" si="77"/>
        <v>15530.929919999999</v>
      </c>
      <c r="V549">
        <f t="shared" si="78"/>
        <v>10392.24</v>
      </c>
      <c r="W549">
        <f t="shared" si="79"/>
        <v>5138.6899199999989</v>
      </c>
      <c r="X549">
        <f t="shared" si="80"/>
        <v>0.3308681416032041</v>
      </c>
    </row>
    <row r="550" spans="1:24" x14ac:dyDescent="0.25">
      <c r="A550" t="s">
        <v>562</v>
      </c>
      <c r="B550" s="13">
        <v>44985</v>
      </c>
      <c r="C550" s="8">
        <v>44991</v>
      </c>
      <c r="D550" s="8">
        <f t="shared" si="72"/>
        <v>44991</v>
      </c>
      <c r="E550" s="6">
        <f t="shared" si="73"/>
        <v>6</v>
      </c>
      <c r="F550" s="6" t="str">
        <f t="shared" si="74"/>
        <v>Q1-2023</v>
      </c>
      <c r="G550" t="s">
        <v>649</v>
      </c>
      <c r="H550" t="s">
        <v>656</v>
      </c>
      <c r="I550" t="s">
        <v>698</v>
      </c>
      <c r="J550" t="s">
        <v>705</v>
      </c>
      <c r="K550" t="s">
        <v>709</v>
      </c>
      <c r="L550" t="s">
        <v>726</v>
      </c>
      <c r="M550" t="s">
        <v>728</v>
      </c>
      <c r="N550">
        <f t="shared" si="75"/>
        <v>0.2911746103429404</v>
      </c>
      <c r="O550" t="s">
        <v>1280</v>
      </c>
      <c r="P550" s="4">
        <v>880.02</v>
      </c>
      <c r="Q550" s="4">
        <v>1251.21</v>
      </c>
      <c r="R550" s="4" t="str">
        <f t="shared" si="76"/>
        <v>Profit</v>
      </c>
      <c r="S550">
        <v>0.123</v>
      </c>
      <c r="T550" s="4">
        <v>29</v>
      </c>
      <c r="U550">
        <f t="shared" si="77"/>
        <v>31822.023930000003</v>
      </c>
      <c r="V550">
        <f t="shared" si="78"/>
        <v>25520.579999999998</v>
      </c>
      <c r="W550">
        <f t="shared" si="79"/>
        <v>6301.4439300000049</v>
      </c>
      <c r="X550">
        <f t="shared" si="80"/>
        <v>0.19802146915172672</v>
      </c>
    </row>
    <row r="551" spans="1:24" x14ac:dyDescent="0.25">
      <c r="A551" t="s">
        <v>563</v>
      </c>
      <c r="B551" s="13">
        <v>45486</v>
      </c>
      <c r="C551" s="8">
        <v>45507</v>
      </c>
      <c r="D551" s="8">
        <f t="shared" si="72"/>
        <v>45507</v>
      </c>
      <c r="E551" s="6">
        <f t="shared" si="73"/>
        <v>21</v>
      </c>
      <c r="F551" s="6" t="str">
        <f t="shared" si="74"/>
        <v>Q3-2024</v>
      </c>
      <c r="G551" t="s">
        <v>648</v>
      </c>
      <c r="H551" t="s">
        <v>655</v>
      </c>
      <c r="I551" t="s">
        <v>692</v>
      </c>
      <c r="J551" t="s">
        <v>701</v>
      </c>
      <c r="K551" t="s">
        <v>709</v>
      </c>
      <c r="L551" t="s">
        <v>724</v>
      </c>
      <c r="M551" t="s">
        <v>732</v>
      </c>
      <c r="N551">
        <f t="shared" si="75"/>
        <v>0.10007937053669726</v>
      </c>
      <c r="O551" t="s">
        <v>1281</v>
      </c>
      <c r="P551" s="4">
        <v>702.98</v>
      </c>
      <c r="Q551" s="4">
        <v>1104.8</v>
      </c>
      <c r="R551" s="4" t="str">
        <f t="shared" si="76"/>
        <v>Profit</v>
      </c>
      <c r="S551">
        <v>0.17499999999999999</v>
      </c>
      <c r="T551" s="4">
        <v>12</v>
      </c>
      <c r="U551">
        <f t="shared" si="77"/>
        <v>10937.519999999999</v>
      </c>
      <c r="V551">
        <f t="shared" si="78"/>
        <v>8435.76</v>
      </c>
      <c r="W551">
        <f t="shared" si="79"/>
        <v>2501.7599999999984</v>
      </c>
      <c r="X551">
        <f t="shared" si="80"/>
        <v>0.22873192460448061</v>
      </c>
    </row>
    <row r="552" spans="1:24" x14ac:dyDescent="0.25">
      <c r="A552" t="s">
        <v>564</v>
      </c>
      <c r="B552" s="13">
        <v>45633</v>
      </c>
      <c r="C552" s="8">
        <v>45652</v>
      </c>
      <c r="D552" s="8">
        <f t="shared" si="72"/>
        <v>45652</v>
      </c>
      <c r="E552" s="6">
        <f t="shared" si="73"/>
        <v>19</v>
      </c>
      <c r="F552" s="6" t="str">
        <f t="shared" si="74"/>
        <v>Q4-2024</v>
      </c>
      <c r="G552" t="s">
        <v>649</v>
      </c>
      <c r="H552" t="s">
        <v>658</v>
      </c>
      <c r="I552" t="s">
        <v>683</v>
      </c>
      <c r="J552" t="s">
        <v>706</v>
      </c>
      <c r="K552" t="s">
        <v>708</v>
      </c>
      <c r="L552" t="s">
        <v>726</v>
      </c>
      <c r="M552" t="s">
        <v>729</v>
      </c>
      <c r="N552">
        <f t="shared" si="75"/>
        <v>0.27151499133343993</v>
      </c>
      <c r="O552" t="s">
        <v>1282</v>
      </c>
      <c r="P552" s="4">
        <v>1035.24</v>
      </c>
      <c r="Q552" s="4">
        <v>2383.41</v>
      </c>
      <c r="R552" s="4" t="str">
        <f t="shared" si="76"/>
        <v>Profit</v>
      </c>
      <c r="S552">
        <v>0.17</v>
      </c>
      <c r="T552" s="4">
        <v>15</v>
      </c>
      <c r="U552">
        <f t="shared" si="77"/>
        <v>29673.454499999993</v>
      </c>
      <c r="V552">
        <f t="shared" si="78"/>
        <v>15528.6</v>
      </c>
      <c r="W552">
        <f t="shared" si="79"/>
        <v>14144.854499999992</v>
      </c>
      <c r="X552">
        <f t="shared" si="80"/>
        <v>0.47668378145860962</v>
      </c>
    </row>
    <row r="553" spans="1:24" x14ac:dyDescent="0.25">
      <c r="A553" t="s">
        <v>565</v>
      </c>
      <c r="B553" s="13">
        <v>45875</v>
      </c>
      <c r="C553" s="8">
        <v>45892</v>
      </c>
      <c r="D553" s="8">
        <f t="shared" si="72"/>
        <v>45892</v>
      </c>
      <c r="E553" s="6">
        <f t="shared" si="73"/>
        <v>17</v>
      </c>
      <c r="F553" s="6" t="str">
        <f t="shared" si="74"/>
        <v>Q3-2025</v>
      </c>
      <c r="G553" t="s">
        <v>648</v>
      </c>
      <c r="H553" t="s">
        <v>655</v>
      </c>
      <c r="I553" t="s">
        <v>672</v>
      </c>
      <c r="J553" t="s">
        <v>704</v>
      </c>
      <c r="K553" t="s">
        <v>710</v>
      </c>
      <c r="L553" t="s">
        <v>720</v>
      </c>
      <c r="M553" t="s">
        <v>732</v>
      </c>
      <c r="N553">
        <f t="shared" si="75"/>
        <v>1.689843674169321E-2</v>
      </c>
      <c r="O553" t="s">
        <v>1283</v>
      </c>
      <c r="P553" s="4">
        <v>86.64</v>
      </c>
      <c r="Q553" s="4">
        <v>213.06</v>
      </c>
      <c r="R553" s="4" t="str">
        <f t="shared" si="76"/>
        <v>Profit</v>
      </c>
      <c r="S553">
        <v>0.21199999999999999</v>
      </c>
      <c r="T553" s="4">
        <v>11</v>
      </c>
      <c r="U553">
        <f t="shared" si="77"/>
        <v>1846.8040799999999</v>
      </c>
      <c r="V553">
        <f t="shared" si="78"/>
        <v>953.04</v>
      </c>
      <c r="W553">
        <f t="shared" si="79"/>
        <v>893.76407999999992</v>
      </c>
      <c r="X553">
        <f t="shared" si="80"/>
        <v>0.48395175735154322</v>
      </c>
    </row>
    <row r="554" spans="1:24" x14ac:dyDescent="0.25">
      <c r="A554" t="s">
        <v>566</v>
      </c>
      <c r="B554" s="13">
        <v>44988</v>
      </c>
      <c r="C554" s="8">
        <v>45005</v>
      </c>
      <c r="D554" s="8">
        <f t="shared" si="72"/>
        <v>45005</v>
      </c>
      <c r="E554" s="6">
        <f t="shared" si="73"/>
        <v>17</v>
      </c>
      <c r="F554" s="6" t="str">
        <f t="shared" si="74"/>
        <v>Q1-2023</v>
      </c>
      <c r="G554" t="s">
        <v>647</v>
      </c>
      <c r="H554" t="s">
        <v>652</v>
      </c>
      <c r="I554" t="s">
        <v>694</v>
      </c>
      <c r="J554" t="s">
        <v>705</v>
      </c>
      <c r="K554" t="s">
        <v>708</v>
      </c>
      <c r="L554" t="s">
        <v>726</v>
      </c>
      <c r="M554" t="s">
        <v>729</v>
      </c>
      <c r="N554">
        <f t="shared" si="75"/>
        <v>0.17229747045994914</v>
      </c>
      <c r="O554" t="s">
        <v>1284</v>
      </c>
      <c r="P554" s="4">
        <v>1171.17</v>
      </c>
      <c r="Q554" s="4">
        <v>2030.64</v>
      </c>
      <c r="R554" s="4" t="str">
        <f t="shared" si="76"/>
        <v>Profit</v>
      </c>
      <c r="S554">
        <v>0.157</v>
      </c>
      <c r="T554" s="4">
        <v>11</v>
      </c>
      <c r="U554">
        <f t="shared" si="77"/>
        <v>18830.12472</v>
      </c>
      <c r="V554">
        <f t="shared" si="78"/>
        <v>12882.87</v>
      </c>
      <c r="W554">
        <f t="shared" si="79"/>
        <v>5947.254719999999</v>
      </c>
      <c r="X554">
        <f t="shared" si="80"/>
        <v>0.31583724528830415</v>
      </c>
    </row>
    <row r="555" spans="1:24" x14ac:dyDescent="0.25">
      <c r="A555" t="s">
        <v>567</v>
      </c>
      <c r="B555" s="13">
        <v>45704</v>
      </c>
      <c r="C555" s="8">
        <v>45733</v>
      </c>
      <c r="D555" s="8">
        <f t="shared" si="72"/>
        <v>45733</v>
      </c>
      <c r="E555" s="6">
        <f t="shared" si="73"/>
        <v>29</v>
      </c>
      <c r="F555" s="6" t="str">
        <f t="shared" si="74"/>
        <v>Q1-2025</v>
      </c>
      <c r="G555" t="s">
        <v>649</v>
      </c>
      <c r="H555" t="s">
        <v>656</v>
      </c>
      <c r="I555" t="s">
        <v>684</v>
      </c>
      <c r="J555" t="s">
        <v>704</v>
      </c>
      <c r="K555" t="s">
        <v>707</v>
      </c>
      <c r="L555" t="s">
        <v>716</v>
      </c>
      <c r="M555" t="s">
        <v>733</v>
      </c>
      <c r="N555">
        <f t="shared" si="75"/>
        <v>0.18449715297524952</v>
      </c>
      <c r="O555" t="s">
        <v>1285</v>
      </c>
      <c r="P555" s="4">
        <v>730.42</v>
      </c>
      <c r="Q555" s="4">
        <v>956.7</v>
      </c>
      <c r="R555" s="4" t="str">
        <f t="shared" si="76"/>
        <v>Profit</v>
      </c>
      <c r="S555">
        <v>4.2000000000000003E-2</v>
      </c>
      <c r="T555" s="4">
        <v>22</v>
      </c>
      <c r="U555">
        <f t="shared" si="77"/>
        <v>20163.409200000002</v>
      </c>
      <c r="V555">
        <f t="shared" si="78"/>
        <v>16069.24</v>
      </c>
      <c r="W555">
        <f t="shared" si="79"/>
        <v>4094.1692000000021</v>
      </c>
      <c r="X555">
        <f t="shared" si="80"/>
        <v>0.20304945256975698</v>
      </c>
    </row>
    <row r="556" spans="1:24" x14ac:dyDescent="0.25">
      <c r="A556" t="s">
        <v>568</v>
      </c>
      <c r="B556" s="13">
        <v>45703</v>
      </c>
      <c r="C556" s="8">
        <v>45717</v>
      </c>
      <c r="D556" s="8">
        <f t="shared" si="72"/>
        <v>45717</v>
      </c>
      <c r="E556" s="6">
        <f t="shared" si="73"/>
        <v>14</v>
      </c>
      <c r="F556" s="6" t="str">
        <f t="shared" si="74"/>
        <v>Q1-2025</v>
      </c>
      <c r="G556" t="s">
        <v>646</v>
      </c>
      <c r="H556" t="s">
        <v>650</v>
      </c>
      <c r="I556" t="s">
        <v>675</v>
      </c>
      <c r="J556" t="s">
        <v>702</v>
      </c>
      <c r="K556" t="s">
        <v>711</v>
      </c>
      <c r="L556" t="s">
        <v>716</v>
      </c>
      <c r="M556" t="s">
        <v>733</v>
      </c>
      <c r="N556">
        <f t="shared" si="75"/>
        <v>0.14512769684408605</v>
      </c>
      <c r="O556" t="s">
        <v>1286</v>
      </c>
      <c r="P556" s="4">
        <v>1162.8599999999999</v>
      </c>
      <c r="Q556" s="4">
        <v>1447.68</v>
      </c>
      <c r="R556" s="4" t="str">
        <f t="shared" si="76"/>
        <v>Profit</v>
      </c>
      <c r="S556">
        <v>8.6999999999999994E-2</v>
      </c>
      <c r="T556" s="4">
        <v>12</v>
      </c>
      <c r="U556">
        <f t="shared" si="77"/>
        <v>15860.782080000001</v>
      </c>
      <c r="V556">
        <f t="shared" si="78"/>
        <v>13954.32</v>
      </c>
      <c r="W556">
        <f t="shared" si="79"/>
        <v>1906.4620800000012</v>
      </c>
      <c r="X556">
        <f t="shared" si="80"/>
        <v>0.12019975247021369</v>
      </c>
    </row>
    <row r="557" spans="1:24" x14ac:dyDescent="0.25">
      <c r="A557" t="s">
        <v>569</v>
      </c>
      <c r="B557" s="13">
        <v>45535</v>
      </c>
      <c r="C557" s="8">
        <v>45561</v>
      </c>
      <c r="D557" s="8">
        <f t="shared" si="72"/>
        <v>45561</v>
      </c>
      <c r="E557" s="6">
        <f t="shared" si="73"/>
        <v>26</v>
      </c>
      <c r="F557" s="6" t="str">
        <f t="shared" si="74"/>
        <v>Q3-2024</v>
      </c>
      <c r="G557" t="s">
        <v>647</v>
      </c>
      <c r="H557" t="s">
        <v>652</v>
      </c>
      <c r="I557" t="s">
        <v>689</v>
      </c>
      <c r="J557" t="s">
        <v>702</v>
      </c>
      <c r="K557" t="s">
        <v>708</v>
      </c>
      <c r="L557" t="s">
        <v>714</v>
      </c>
      <c r="M557" t="s">
        <v>730</v>
      </c>
      <c r="N557">
        <f t="shared" si="75"/>
        <v>0.30700339606171262</v>
      </c>
      <c r="O557" t="s">
        <v>1287</v>
      </c>
      <c r="P557" s="4">
        <v>1189.03</v>
      </c>
      <c r="Q557" s="4">
        <v>2949.62</v>
      </c>
      <c r="R557" s="4" t="str">
        <f t="shared" si="76"/>
        <v>Profit</v>
      </c>
      <c r="S557">
        <v>0.125</v>
      </c>
      <c r="T557" s="4">
        <v>13</v>
      </c>
      <c r="U557">
        <f t="shared" si="77"/>
        <v>33551.927499999998</v>
      </c>
      <c r="V557">
        <f t="shared" si="78"/>
        <v>15457.39</v>
      </c>
      <c r="W557">
        <f t="shared" si="79"/>
        <v>18094.537499999999</v>
      </c>
      <c r="X557">
        <f t="shared" si="80"/>
        <v>0.53929949330034765</v>
      </c>
    </row>
    <row r="558" spans="1:24" x14ac:dyDescent="0.25">
      <c r="A558" t="s">
        <v>570</v>
      </c>
      <c r="B558" s="13">
        <v>45053</v>
      </c>
      <c r="C558" s="8">
        <v>45066</v>
      </c>
      <c r="D558" s="8">
        <f t="shared" si="72"/>
        <v>45066</v>
      </c>
      <c r="E558" s="6">
        <f t="shared" si="73"/>
        <v>13</v>
      </c>
      <c r="F558" s="6" t="str">
        <f t="shared" si="74"/>
        <v>Q2-2023</v>
      </c>
      <c r="G558" t="s">
        <v>647</v>
      </c>
      <c r="H558" t="s">
        <v>654</v>
      </c>
      <c r="I558" t="s">
        <v>691</v>
      </c>
      <c r="J558" t="s">
        <v>706</v>
      </c>
      <c r="K558" t="s">
        <v>707</v>
      </c>
      <c r="L558" t="s">
        <v>726</v>
      </c>
      <c r="M558" t="s">
        <v>733</v>
      </c>
      <c r="N558">
        <f t="shared" si="75"/>
        <v>0.42502439145856902</v>
      </c>
      <c r="O558" t="s">
        <v>1288</v>
      </c>
      <c r="P558" s="4">
        <v>1443.28</v>
      </c>
      <c r="Q558" s="4">
        <v>2580.5700000000002</v>
      </c>
      <c r="R558" s="4" t="str">
        <f t="shared" si="76"/>
        <v>Profit</v>
      </c>
      <c r="S558">
        <v>0</v>
      </c>
      <c r="T558" s="4">
        <v>18</v>
      </c>
      <c r="U558">
        <f t="shared" si="77"/>
        <v>46450.26</v>
      </c>
      <c r="V558">
        <f t="shared" si="78"/>
        <v>25979.040000000001</v>
      </c>
      <c r="W558">
        <f t="shared" si="79"/>
        <v>20471.22</v>
      </c>
      <c r="X558">
        <f t="shared" si="80"/>
        <v>0.4407127107577008</v>
      </c>
    </row>
    <row r="559" spans="1:24" x14ac:dyDescent="0.25">
      <c r="A559" t="s">
        <v>571</v>
      </c>
      <c r="B559" s="13">
        <v>45791</v>
      </c>
      <c r="C559" s="8">
        <v>45789</v>
      </c>
      <c r="D559" s="8">
        <f t="shared" si="72"/>
        <v>45798</v>
      </c>
      <c r="E559" s="6">
        <f t="shared" si="73"/>
        <v>7</v>
      </c>
      <c r="F559" s="6" t="str">
        <f t="shared" si="74"/>
        <v>Q2-2025</v>
      </c>
      <c r="G559" t="s">
        <v>648</v>
      </c>
      <c r="H559" t="s">
        <v>653</v>
      </c>
      <c r="I559" t="s">
        <v>688</v>
      </c>
      <c r="J559" t="s">
        <v>703</v>
      </c>
      <c r="K559" t="s">
        <v>710</v>
      </c>
      <c r="L559" t="s">
        <v>721</v>
      </c>
      <c r="M559" t="s">
        <v>728</v>
      </c>
      <c r="N559">
        <f t="shared" si="75"/>
        <v>0.46249458114033404</v>
      </c>
      <c r="O559" t="s">
        <v>1289</v>
      </c>
      <c r="P559" s="4">
        <v>883.5</v>
      </c>
      <c r="Q559" s="4">
        <v>1978.91</v>
      </c>
      <c r="R559" s="4" t="str">
        <f t="shared" si="76"/>
        <v>Profit</v>
      </c>
      <c r="S559">
        <v>5.3999999999999999E-2</v>
      </c>
      <c r="T559" s="4">
        <v>27</v>
      </c>
      <c r="U559">
        <f t="shared" si="77"/>
        <v>50545.319219999998</v>
      </c>
      <c r="V559">
        <f t="shared" si="78"/>
        <v>23854.5</v>
      </c>
      <c r="W559">
        <f t="shared" si="79"/>
        <v>26690.819219999998</v>
      </c>
      <c r="X559">
        <f t="shared" si="80"/>
        <v>0.52805718970390547</v>
      </c>
    </row>
    <row r="560" spans="1:24" x14ac:dyDescent="0.25">
      <c r="A560" t="s">
        <v>572</v>
      </c>
      <c r="B560" s="13">
        <v>45362</v>
      </c>
      <c r="C560" s="8">
        <v>45380</v>
      </c>
      <c r="D560" s="8">
        <f t="shared" si="72"/>
        <v>45380</v>
      </c>
      <c r="E560" s="6">
        <f t="shared" si="73"/>
        <v>18</v>
      </c>
      <c r="F560" s="6" t="str">
        <f t="shared" si="74"/>
        <v>Q1-2024</v>
      </c>
      <c r="G560" t="s">
        <v>648</v>
      </c>
      <c r="H560" t="s">
        <v>660</v>
      </c>
      <c r="I560" t="s">
        <v>700</v>
      </c>
      <c r="J560" t="s">
        <v>701</v>
      </c>
      <c r="K560" t="s">
        <v>707</v>
      </c>
      <c r="L560" t="s">
        <v>724</v>
      </c>
      <c r="M560" t="s">
        <v>732</v>
      </c>
      <c r="N560">
        <f t="shared" si="75"/>
        <v>9.6256976472067879E-2</v>
      </c>
      <c r="O560" t="s">
        <v>1290</v>
      </c>
      <c r="P560" s="4">
        <v>710.98</v>
      </c>
      <c r="Q560" s="4">
        <v>1481.45</v>
      </c>
      <c r="R560" s="4" t="str">
        <f t="shared" si="76"/>
        <v>Profit</v>
      </c>
      <c r="S560">
        <v>0.21099999999999999</v>
      </c>
      <c r="T560" s="4">
        <v>9</v>
      </c>
      <c r="U560">
        <f t="shared" si="77"/>
        <v>10519.776450000001</v>
      </c>
      <c r="V560">
        <f t="shared" si="78"/>
        <v>6398.82</v>
      </c>
      <c r="W560">
        <f t="shared" si="79"/>
        <v>4120.9564500000015</v>
      </c>
      <c r="X560">
        <f t="shared" si="80"/>
        <v>0.39173422264120461</v>
      </c>
    </row>
    <row r="561" spans="1:24" x14ac:dyDescent="0.25">
      <c r="A561" t="s">
        <v>573</v>
      </c>
      <c r="B561" s="13">
        <v>45430</v>
      </c>
      <c r="C561" s="8">
        <v>45434</v>
      </c>
      <c r="D561" s="8">
        <f t="shared" si="72"/>
        <v>45434</v>
      </c>
      <c r="E561" s="6">
        <f t="shared" si="73"/>
        <v>4</v>
      </c>
      <c r="F561" s="6" t="str">
        <f t="shared" si="74"/>
        <v>Q2-2024</v>
      </c>
      <c r="G561" t="s">
        <v>646</v>
      </c>
      <c r="H561" t="s">
        <v>650</v>
      </c>
      <c r="I561" t="s">
        <v>664</v>
      </c>
      <c r="J561" t="s">
        <v>701</v>
      </c>
      <c r="K561" t="s">
        <v>711</v>
      </c>
      <c r="L561" t="s">
        <v>722</v>
      </c>
      <c r="M561" t="s">
        <v>733</v>
      </c>
      <c r="N561">
        <f t="shared" si="75"/>
        <v>0.11994666390256388</v>
      </c>
      <c r="O561" t="s">
        <v>1291</v>
      </c>
      <c r="P561" s="4">
        <v>857.42</v>
      </c>
      <c r="Q561" s="4">
        <v>1658.92</v>
      </c>
      <c r="R561" s="4" t="str">
        <f t="shared" si="76"/>
        <v>Profit</v>
      </c>
      <c r="S561">
        <v>0.122</v>
      </c>
      <c r="T561" s="4">
        <v>9</v>
      </c>
      <c r="U561">
        <f t="shared" si="77"/>
        <v>13108.78584</v>
      </c>
      <c r="V561">
        <f t="shared" si="78"/>
        <v>7716.78</v>
      </c>
      <c r="W561">
        <f t="shared" si="79"/>
        <v>5392.0058400000007</v>
      </c>
      <c r="X561">
        <f t="shared" si="80"/>
        <v>0.41132763215544305</v>
      </c>
    </row>
    <row r="562" spans="1:24" x14ac:dyDescent="0.25">
      <c r="A562" t="s">
        <v>574</v>
      </c>
      <c r="B562" s="13">
        <v>45299</v>
      </c>
      <c r="C562" s="8">
        <v>45303</v>
      </c>
      <c r="D562" s="8">
        <f t="shared" si="72"/>
        <v>45303</v>
      </c>
      <c r="E562" s="6">
        <f t="shared" si="73"/>
        <v>4</v>
      </c>
      <c r="F562" s="6" t="str">
        <f t="shared" si="74"/>
        <v>Q1-2024</v>
      </c>
      <c r="G562" t="s">
        <v>647</v>
      </c>
      <c r="H562" t="s">
        <v>654</v>
      </c>
      <c r="I562" t="s">
        <v>668</v>
      </c>
      <c r="J562" t="s">
        <v>701</v>
      </c>
      <c r="K562" t="s">
        <v>711</v>
      </c>
      <c r="L562" t="s">
        <v>718</v>
      </c>
      <c r="M562" t="s">
        <v>728</v>
      </c>
      <c r="N562">
        <f t="shared" si="75"/>
        <v>0.1212523293287357</v>
      </c>
      <c r="O562" t="s">
        <v>1292</v>
      </c>
      <c r="P562" s="4">
        <v>802.32</v>
      </c>
      <c r="Q562" s="4">
        <v>602.34</v>
      </c>
      <c r="R562" s="4" t="str">
        <f t="shared" si="76"/>
        <v>Loss</v>
      </c>
      <c r="S562">
        <v>0.12</v>
      </c>
      <c r="T562" s="4">
        <v>25</v>
      </c>
      <c r="U562">
        <f t="shared" si="77"/>
        <v>13251.48</v>
      </c>
      <c r="V562">
        <f t="shared" si="78"/>
        <v>20058</v>
      </c>
      <c r="W562">
        <f t="shared" si="79"/>
        <v>-6806.52</v>
      </c>
      <c r="X562">
        <f t="shared" si="80"/>
        <v>-0.51364224977134632</v>
      </c>
    </row>
    <row r="563" spans="1:24" x14ac:dyDescent="0.25">
      <c r="A563" t="s">
        <v>575</v>
      </c>
      <c r="B563" s="13">
        <v>45590</v>
      </c>
      <c r="C563" s="8">
        <v>45601</v>
      </c>
      <c r="D563" s="8">
        <f t="shared" si="72"/>
        <v>45601</v>
      </c>
      <c r="E563" s="6">
        <f t="shared" si="73"/>
        <v>11</v>
      </c>
      <c r="F563" s="6" t="str">
        <f t="shared" si="74"/>
        <v>Q4-2024</v>
      </c>
      <c r="G563" t="s">
        <v>648</v>
      </c>
      <c r="H563" t="s">
        <v>660</v>
      </c>
      <c r="I563" t="s">
        <v>700</v>
      </c>
      <c r="J563" t="s">
        <v>701</v>
      </c>
      <c r="K563" t="s">
        <v>710</v>
      </c>
      <c r="L563" t="s">
        <v>725</v>
      </c>
      <c r="M563" t="s">
        <v>727</v>
      </c>
      <c r="N563">
        <f t="shared" si="75"/>
        <v>6.191855183556521E-2</v>
      </c>
      <c r="O563" t="s">
        <v>1293</v>
      </c>
      <c r="P563" s="4">
        <v>446.66</v>
      </c>
      <c r="Q563" s="4">
        <v>527.64</v>
      </c>
      <c r="R563" s="4" t="str">
        <f t="shared" si="76"/>
        <v>Profit</v>
      </c>
      <c r="S563">
        <v>0.14499999999999999</v>
      </c>
      <c r="T563" s="4">
        <v>15</v>
      </c>
      <c r="U563">
        <f t="shared" si="77"/>
        <v>6766.9829999999993</v>
      </c>
      <c r="V563">
        <f t="shared" si="78"/>
        <v>6699.9000000000005</v>
      </c>
      <c r="W563">
        <f t="shared" si="79"/>
        <v>67.082999999998719</v>
      </c>
      <c r="X563">
        <f t="shared" si="80"/>
        <v>9.9132804087137105E-3</v>
      </c>
    </row>
    <row r="564" spans="1:24" x14ac:dyDescent="0.25">
      <c r="A564" t="s">
        <v>576</v>
      </c>
      <c r="B564" s="13">
        <v>45626</v>
      </c>
      <c r="C564" s="8">
        <v>45645</v>
      </c>
      <c r="D564" s="8">
        <f t="shared" si="72"/>
        <v>45645</v>
      </c>
      <c r="E564" s="6">
        <f t="shared" si="73"/>
        <v>19</v>
      </c>
      <c r="F564" s="6" t="str">
        <f t="shared" si="74"/>
        <v>Q4-2024</v>
      </c>
      <c r="G564" t="s">
        <v>646</v>
      </c>
      <c r="H564" t="s">
        <v>650</v>
      </c>
      <c r="I564" t="s">
        <v>662</v>
      </c>
      <c r="J564" t="s">
        <v>701</v>
      </c>
      <c r="K564" t="s">
        <v>708</v>
      </c>
      <c r="L564" t="s">
        <v>716</v>
      </c>
      <c r="M564" t="s">
        <v>730</v>
      </c>
      <c r="N564">
        <f t="shared" si="75"/>
        <v>0.30260574042206545</v>
      </c>
      <c r="O564" t="s">
        <v>1294</v>
      </c>
      <c r="P564" s="4">
        <v>1195.98</v>
      </c>
      <c r="Q564" s="4">
        <v>1841.9</v>
      </c>
      <c r="R564" s="4" t="str">
        <f t="shared" si="76"/>
        <v>Profit</v>
      </c>
      <c r="S564">
        <v>5.5E-2</v>
      </c>
      <c r="T564" s="4">
        <v>19</v>
      </c>
      <c r="U564">
        <f t="shared" si="77"/>
        <v>33071.3145</v>
      </c>
      <c r="V564">
        <f t="shared" si="78"/>
        <v>22723.62</v>
      </c>
      <c r="W564">
        <f t="shared" si="79"/>
        <v>10347.694500000001</v>
      </c>
      <c r="X564">
        <f t="shared" si="80"/>
        <v>0.31289032977506842</v>
      </c>
    </row>
    <row r="565" spans="1:24" x14ac:dyDescent="0.25">
      <c r="A565" t="s">
        <v>577</v>
      </c>
      <c r="B565" s="13">
        <v>45029</v>
      </c>
      <c r="C565" s="8">
        <v>45048</v>
      </c>
      <c r="D565" s="8">
        <f t="shared" si="72"/>
        <v>45048</v>
      </c>
      <c r="E565" s="6">
        <f t="shared" si="73"/>
        <v>19</v>
      </c>
      <c r="F565" s="6" t="str">
        <f t="shared" si="74"/>
        <v>Q2-2023</v>
      </c>
      <c r="G565" t="s">
        <v>648</v>
      </c>
      <c r="H565" t="s">
        <v>653</v>
      </c>
      <c r="I565" t="s">
        <v>681</v>
      </c>
      <c r="J565" t="s">
        <v>704</v>
      </c>
      <c r="K565" t="s">
        <v>710</v>
      </c>
      <c r="L565" t="s">
        <v>718</v>
      </c>
      <c r="M565" t="s">
        <v>732</v>
      </c>
      <c r="N565">
        <f t="shared" si="75"/>
        <v>7.7961530988916325E-2</v>
      </c>
      <c r="O565" t="s">
        <v>1295</v>
      </c>
      <c r="P565" s="4">
        <v>671.05</v>
      </c>
      <c r="Q565" s="4">
        <v>1645.48</v>
      </c>
      <c r="R565" s="4" t="str">
        <f t="shared" si="76"/>
        <v>Profit</v>
      </c>
      <c r="S565">
        <v>0.13700000000000001</v>
      </c>
      <c r="T565" s="4">
        <v>6</v>
      </c>
      <c r="U565">
        <f t="shared" si="77"/>
        <v>8520.2954399999999</v>
      </c>
      <c r="V565">
        <f t="shared" si="78"/>
        <v>4026.2999999999997</v>
      </c>
      <c r="W565">
        <f t="shared" si="79"/>
        <v>4493.9954400000006</v>
      </c>
      <c r="X565">
        <f t="shared" si="80"/>
        <v>0.52744596377517172</v>
      </c>
    </row>
    <row r="566" spans="1:24" x14ac:dyDescent="0.25">
      <c r="A566" t="s">
        <v>578</v>
      </c>
      <c r="B566" s="13">
        <v>45692</v>
      </c>
      <c r="C566" s="8">
        <v>45696</v>
      </c>
      <c r="D566" s="8">
        <f t="shared" si="72"/>
        <v>45696</v>
      </c>
      <c r="E566" s="6">
        <f t="shared" si="73"/>
        <v>4</v>
      </c>
      <c r="F566" s="6" t="str">
        <f t="shared" si="74"/>
        <v>Q1-2025</v>
      </c>
      <c r="G566" t="s">
        <v>649</v>
      </c>
      <c r="H566" t="s">
        <v>658</v>
      </c>
      <c r="I566" t="s">
        <v>693</v>
      </c>
      <c r="J566" t="s">
        <v>706</v>
      </c>
      <c r="K566" t="s">
        <v>709</v>
      </c>
      <c r="L566" t="s">
        <v>716</v>
      </c>
      <c r="M566" t="s">
        <v>729</v>
      </c>
      <c r="N566">
        <f t="shared" si="75"/>
        <v>9.3024788378620021E-2</v>
      </c>
      <c r="O566" t="s">
        <v>1296</v>
      </c>
      <c r="P566" s="4">
        <v>586.21</v>
      </c>
      <c r="Q566" s="4">
        <v>727.22</v>
      </c>
      <c r="R566" s="4" t="str">
        <f t="shared" si="76"/>
        <v>Profit</v>
      </c>
      <c r="S566">
        <v>6.8000000000000005E-2</v>
      </c>
      <c r="T566" s="4">
        <v>15</v>
      </c>
      <c r="U566">
        <f t="shared" si="77"/>
        <v>10166.535600000001</v>
      </c>
      <c r="V566">
        <f t="shared" si="78"/>
        <v>8793.1500000000015</v>
      </c>
      <c r="W566">
        <f t="shared" si="79"/>
        <v>1373.3855999999996</v>
      </c>
      <c r="X566">
        <f t="shared" si="80"/>
        <v>0.13508884973559721</v>
      </c>
    </row>
    <row r="567" spans="1:24" x14ac:dyDescent="0.25">
      <c r="A567" t="s">
        <v>579</v>
      </c>
      <c r="B567" s="13">
        <v>45315</v>
      </c>
      <c r="C567" s="8">
        <v>45326</v>
      </c>
      <c r="D567" s="8">
        <f t="shared" si="72"/>
        <v>45326</v>
      </c>
      <c r="E567" s="6">
        <f t="shared" si="73"/>
        <v>11</v>
      </c>
      <c r="F567" s="6" t="str">
        <f t="shared" si="74"/>
        <v>Q1-2024</v>
      </c>
      <c r="G567" t="s">
        <v>649</v>
      </c>
      <c r="H567" t="s">
        <v>658</v>
      </c>
      <c r="I567" t="s">
        <v>693</v>
      </c>
      <c r="J567" t="s">
        <v>704</v>
      </c>
      <c r="K567" t="s">
        <v>707</v>
      </c>
      <c r="L567" t="s">
        <v>717</v>
      </c>
      <c r="M567" t="s">
        <v>731</v>
      </c>
      <c r="N567">
        <f t="shared" si="75"/>
        <v>3.8699714770559418E-2</v>
      </c>
      <c r="O567" t="s">
        <v>1297</v>
      </c>
      <c r="P567" s="4">
        <v>525.34</v>
      </c>
      <c r="Q567" s="4">
        <v>1233.79</v>
      </c>
      <c r="R567" s="4" t="str">
        <f t="shared" si="76"/>
        <v>Profit</v>
      </c>
      <c r="S567">
        <v>0.14299999999999999</v>
      </c>
      <c r="T567" s="4">
        <v>4</v>
      </c>
      <c r="U567">
        <f t="shared" si="77"/>
        <v>4229.4321199999995</v>
      </c>
      <c r="V567">
        <f t="shared" si="78"/>
        <v>2101.36</v>
      </c>
      <c r="W567">
        <f t="shared" si="79"/>
        <v>2128.0721199999994</v>
      </c>
      <c r="X567">
        <f t="shared" si="80"/>
        <v>0.50315788494082736</v>
      </c>
    </row>
    <row r="568" spans="1:24" x14ac:dyDescent="0.25">
      <c r="A568" t="s">
        <v>580</v>
      </c>
      <c r="B568" s="13">
        <v>45330</v>
      </c>
      <c r="C568" s="8">
        <v>45331</v>
      </c>
      <c r="D568" s="8">
        <f t="shared" si="72"/>
        <v>45331</v>
      </c>
      <c r="E568" s="6">
        <f t="shared" si="73"/>
        <v>1</v>
      </c>
      <c r="F568" s="6" t="str">
        <f t="shared" si="74"/>
        <v>Q1-2024</v>
      </c>
      <c r="G568" t="s">
        <v>646</v>
      </c>
      <c r="H568" t="s">
        <v>650</v>
      </c>
      <c r="I568" t="s">
        <v>675</v>
      </c>
      <c r="J568" t="s">
        <v>701</v>
      </c>
      <c r="K568" t="s">
        <v>711</v>
      </c>
      <c r="L568" t="s">
        <v>721</v>
      </c>
      <c r="M568" t="s">
        <v>727</v>
      </c>
      <c r="N568">
        <f t="shared" si="75"/>
        <v>0.16049454420898637</v>
      </c>
      <c r="O568" t="s">
        <v>1298</v>
      </c>
      <c r="P568" s="4">
        <v>1233.52</v>
      </c>
      <c r="Q568" s="4">
        <v>1543.76</v>
      </c>
      <c r="R568" s="4" t="str">
        <f t="shared" si="76"/>
        <v>Profit</v>
      </c>
      <c r="S568">
        <v>0.126</v>
      </c>
      <c r="T568" s="4">
        <v>13</v>
      </c>
      <c r="U568">
        <f t="shared" si="77"/>
        <v>17540.201120000002</v>
      </c>
      <c r="V568">
        <f t="shared" si="78"/>
        <v>16035.76</v>
      </c>
      <c r="W568">
        <f t="shared" si="79"/>
        <v>1504.4411200000013</v>
      </c>
      <c r="X568">
        <f t="shared" si="80"/>
        <v>8.5771030201277493E-2</v>
      </c>
    </row>
    <row r="569" spans="1:24" x14ac:dyDescent="0.25">
      <c r="A569" t="s">
        <v>581</v>
      </c>
      <c r="B569" s="13">
        <v>45834</v>
      </c>
      <c r="C569" s="8">
        <v>45849</v>
      </c>
      <c r="D569" s="8">
        <f t="shared" si="72"/>
        <v>45849</v>
      </c>
      <c r="E569" s="6">
        <f t="shared" si="73"/>
        <v>15</v>
      </c>
      <c r="F569" s="6" t="str">
        <f t="shared" si="74"/>
        <v>Q2-2025</v>
      </c>
      <c r="G569" t="s">
        <v>646</v>
      </c>
      <c r="H569" t="s">
        <v>651</v>
      </c>
      <c r="I569" t="s">
        <v>663</v>
      </c>
      <c r="J569" t="s">
        <v>705</v>
      </c>
      <c r="K569" t="s">
        <v>708</v>
      </c>
      <c r="L569" t="s">
        <v>720</v>
      </c>
      <c r="M569" t="s">
        <v>731</v>
      </c>
      <c r="N569">
        <f t="shared" si="75"/>
        <v>0.40419298712679397</v>
      </c>
      <c r="O569" t="s">
        <v>1299</v>
      </c>
      <c r="P569" s="4">
        <v>1170.1500000000001</v>
      </c>
      <c r="Q569" s="4">
        <v>2115.19</v>
      </c>
      <c r="R569" s="4" t="str">
        <f t="shared" si="76"/>
        <v>Profit</v>
      </c>
      <c r="S569">
        <v>9.1999999999999998E-2</v>
      </c>
      <c r="T569" s="4">
        <v>23</v>
      </c>
      <c r="U569">
        <f t="shared" si="77"/>
        <v>44173.627960000005</v>
      </c>
      <c r="V569">
        <f t="shared" si="78"/>
        <v>26913.45</v>
      </c>
      <c r="W569">
        <f t="shared" si="79"/>
        <v>17260.177960000005</v>
      </c>
      <c r="X569">
        <f t="shared" si="80"/>
        <v>0.39073489674946776</v>
      </c>
    </row>
    <row r="570" spans="1:24" x14ac:dyDescent="0.25">
      <c r="A570" t="s">
        <v>582</v>
      </c>
      <c r="B570" s="13">
        <v>45600</v>
      </c>
      <c r="C570" s="8">
        <v>45603</v>
      </c>
      <c r="D570" s="8">
        <f t="shared" si="72"/>
        <v>45603</v>
      </c>
      <c r="E570" s="6">
        <f t="shared" si="73"/>
        <v>3</v>
      </c>
      <c r="F570" s="6" t="str">
        <f t="shared" si="74"/>
        <v>Q4-2024</v>
      </c>
      <c r="G570" t="s">
        <v>649</v>
      </c>
      <c r="H570" t="s">
        <v>657</v>
      </c>
      <c r="I570" t="s">
        <v>679</v>
      </c>
      <c r="J570" t="s">
        <v>701</v>
      </c>
      <c r="K570" t="s">
        <v>708</v>
      </c>
      <c r="L570" t="s">
        <v>719</v>
      </c>
      <c r="M570" t="s">
        <v>732</v>
      </c>
      <c r="N570">
        <f t="shared" si="75"/>
        <v>0.22947968468560093</v>
      </c>
      <c r="O570" t="s">
        <v>1300</v>
      </c>
      <c r="P570" s="4">
        <v>740.68</v>
      </c>
      <c r="Q570" s="4">
        <v>1837.19</v>
      </c>
      <c r="R570" s="4" t="str">
        <f t="shared" si="76"/>
        <v>Profit</v>
      </c>
      <c r="S570">
        <v>0.19700000000000001</v>
      </c>
      <c r="T570" s="4">
        <v>17</v>
      </c>
      <c r="U570">
        <f t="shared" si="77"/>
        <v>25079.480689999997</v>
      </c>
      <c r="V570">
        <f t="shared" si="78"/>
        <v>12591.56</v>
      </c>
      <c r="W570">
        <f t="shared" si="79"/>
        <v>12487.920689999997</v>
      </c>
      <c r="X570">
        <f t="shared" si="80"/>
        <v>0.4979337827748298</v>
      </c>
    </row>
    <row r="571" spans="1:24" x14ac:dyDescent="0.25">
      <c r="A571" t="s">
        <v>583</v>
      </c>
      <c r="B571" s="13">
        <v>45342</v>
      </c>
      <c r="C571" s="8">
        <v>45342</v>
      </c>
      <c r="D571" s="8">
        <f t="shared" si="72"/>
        <v>45342</v>
      </c>
      <c r="E571" s="6">
        <f t="shared" si="73"/>
        <v>0</v>
      </c>
      <c r="F571" s="6" t="str">
        <f t="shared" si="74"/>
        <v>Q1-2024</v>
      </c>
      <c r="G571" t="s">
        <v>648</v>
      </c>
      <c r="H571" t="s">
        <v>660</v>
      </c>
      <c r="I571" t="s">
        <v>700</v>
      </c>
      <c r="J571" t="s">
        <v>706</v>
      </c>
      <c r="K571" t="s">
        <v>708</v>
      </c>
      <c r="L571" t="s">
        <v>712</v>
      </c>
      <c r="M571" t="s">
        <v>729</v>
      </c>
      <c r="N571">
        <f t="shared" si="75"/>
        <v>0.3139138468045552</v>
      </c>
      <c r="O571" t="s">
        <v>1301</v>
      </c>
      <c r="P571" s="4">
        <v>1407.05</v>
      </c>
      <c r="Q571" s="4">
        <v>2858.93</v>
      </c>
      <c r="R571" s="4" t="str">
        <f t="shared" si="76"/>
        <v>Profit</v>
      </c>
      <c r="S571">
        <v>0</v>
      </c>
      <c r="T571" s="4">
        <v>12</v>
      </c>
      <c r="U571">
        <f t="shared" si="77"/>
        <v>34307.159999999996</v>
      </c>
      <c r="V571">
        <f t="shared" si="78"/>
        <v>16884.599999999999</v>
      </c>
      <c r="W571">
        <f t="shared" si="79"/>
        <v>17422.559999999998</v>
      </c>
      <c r="X571">
        <f t="shared" si="80"/>
        <v>0.50784034586366222</v>
      </c>
    </row>
    <row r="572" spans="1:24" x14ac:dyDescent="0.25">
      <c r="A572" t="s">
        <v>584</v>
      </c>
      <c r="B572" s="13">
        <v>45760</v>
      </c>
      <c r="C572" s="8">
        <v>45761</v>
      </c>
      <c r="D572" s="8">
        <f t="shared" si="72"/>
        <v>45761</v>
      </c>
      <c r="E572" s="6">
        <f t="shared" si="73"/>
        <v>1</v>
      </c>
      <c r="F572" s="6" t="str">
        <f t="shared" si="74"/>
        <v>Q2-2025</v>
      </c>
      <c r="G572" t="s">
        <v>647</v>
      </c>
      <c r="H572" t="s">
        <v>652</v>
      </c>
      <c r="I572" t="s">
        <v>666</v>
      </c>
      <c r="J572" t="s">
        <v>706</v>
      </c>
      <c r="K572" t="s">
        <v>708</v>
      </c>
      <c r="L572" t="s">
        <v>715</v>
      </c>
      <c r="M572" t="s">
        <v>727</v>
      </c>
      <c r="N572">
        <f t="shared" si="75"/>
        <v>3.0910380909667235E-2</v>
      </c>
      <c r="O572" t="s">
        <v>1302</v>
      </c>
      <c r="P572" s="4">
        <v>138.9</v>
      </c>
      <c r="Q572" s="4">
        <v>289.92</v>
      </c>
      <c r="R572" s="4" t="str">
        <f t="shared" si="76"/>
        <v>Profit</v>
      </c>
      <c r="S572">
        <v>2.9000000000000001E-2</v>
      </c>
      <c r="T572" s="4">
        <v>12</v>
      </c>
      <c r="U572">
        <f t="shared" si="77"/>
        <v>3378.1478400000001</v>
      </c>
      <c r="V572">
        <f t="shared" si="78"/>
        <v>1666.8000000000002</v>
      </c>
      <c r="W572">
        <f t="shared" si="79"/>
        <v>1711.3478399999999</v>
      </c>
      <c r="X572">
        <f t="shared" si="80"/>
        <v>0.50659353025828491</v>
      </c>
    </row>
    <row r="573" spans="1:24" x14ac:dyDescent="0.25">
      <c r="A573" t="s">
        <v>585</v>
      </c>
      <c r="B573" s="13">
        <v>45078</v>
      </c>
      <c r="C573" s="8">
        <v>45078</v>
      </c>
      <c r="D573" s="8">
        <f t="shared" si="72"/>
        <v>45078</v>
      </c>
      <c r="E573" s="6">
        <f t="shared" si="73"/>
        <v>0</v>
      </c>
      <c r="F573" s="6" t="str">
        <f t="shared" si="74"/>
        <v>Q2-2023</v>
      </c>
      <c r="G573" t="s">
        <v>647</v>
      </c>
      <c r="H573" t="s">
        <v>654</v>
      </c>
      <c r="I573" t="s">
        <v>668</v>
      </c>
      <c r="J573" t="s">
        <v>701</v>
      </c>
      <c r="K573" t="s">
        <v>707</v>
      </c>
      <c r="L573" t="s">
        <v>718</v>
      </c>
      <c r="M573" t="s">
        <v>733</v>
      </c>
      <c r="N573">
        <f t="shared" si="75"/>
        <v>4.1881348851778362E-2</v>
      </c>
      <c r="O573" t="s">
        <v>1303</v>
      </c>
      <c r="P573" s="4">
        <v>669.37</v>
      </c>
      <c r="Q573" s="4">
        <v>997.2</v>
      </c>
      <c r="R573" s="4" t="str">
        <f t="shared" si="76"/>
        <v>Profit</v>
      </c>
      <c r="S573">
        <v>8.2000000000000003E-2</v>
      </c>
      <c r="T573" s="4">
        <v>5</v>
      </c>
      <c r="U573">
        <f t="shared" si="77"/>
        <v>4577.1480000000001</v>
      </c>
      <c r="V573">
        <f t="shared" si="78"/>
        <v>3346.85</v>
      </c>
      <c r="W573">
        <f t="shared" si="79"/>
        <v>1230.2980000000002</v>
      </c>
      <c r="X573">
        <f t="shared" si="80"/>
        <v>0.26879139586484863</v>
      </c>
    </row>
    <row r="574" spans="1:24" x14ac:dyDescent="0.25">
      <c r="A574" t="s">
        <v>586</v>
      </c>
      <c r="B574" s="13">
        <v>45740</v>
      </c>
      <c r="C574" s="8">
        <v>45751</v>
      </c>
      <c r="D574" s="8">
        <f t="shared" si="72"/>
        <v>45751</v>
      </c>
      <c r="E574" s="6">
        <f t="shared" si="73"/>
        <v>11</v>
      </c>
      <c r="F574" s="6" t="str">
        <f t="shared" si="74"/>
        <v>Q1-2025</v>
      </c>
      <c r="G574" t="s">
        <v>647</v>
      </c>
      <c r="H574" t="s">
        <v>654</v>
      </c>
      <c r="I574" t="s">
        <v>691</v>
      </c>
      <c r="J574" t="s">
        <v>702</v>
      </c>
      <c r="K574" t="s">
        <v>709</v>
      </c>
      <c r="L574" t="s">
        <v>713</v>
      </c>
      <c r="M574" t="s">
        <v>730</v>
      </c>
      <c r="N574">
        <f t="shared" si="75"/>
        <v>7.6952807443358721E-3</v>
      </c>
      <c r="O574" t="s">
        <v>1304</v>
      </c>
      <c r="P574" s="4">
        <v>23.83</v>
      </c>
      <c r="Q574" s="4">
        <v>47.29</v>
      </c>
      <c r="R574" s="4" t="str">
        <f t="shared" si="76"/>
        <v>Profit</v>
      </c>
      <c r="S574">
        <v>6.4000000000000001E-2</v>
      </c>
      <c r="T574" s="4">
        <v>19</v>
      </c>
      <c r="U574">
        <f t="shared" si="77"/>
        <v>841.00536</v>
      </c>
      <c r="V574">
        <f t="shared" si="78"/>
        <v>452.77</v>
      </c>
      <c r="W574">
        <f t="shared" si="79"/>
        <v>388.23536000000001</v>
      </c>
      <c r="X574">
        <f t="shared" si="80"/>
        <v>0.46163244429262618</v>
      </c>
    </row>
    <row r="575" spans="1:24" x14ac:dyDescent="0.25">
      <c r="A575" t="s">
        <v>587</v>
      </c>
      <c r="B575" s="13">
        <v>45293</v>
      </c>
      <c r="C575" s="8">
        <v>45293</v>
      </c>
      <c r="D575" s="8">
        <f t="shared" si="72"/>
        <v>45293</v>
      </c>
      <c r="E575" s="6">
        <f t="shared" si="73"/>
        <v>0</v>
      </c>
      <c r="F575" s="6" t="str">
        <f t="shared" si="74"/>
        <v>Q1-2024</v>
      </c>
      <c r="G575" t="s">
        <v>648</v>
      </c>
      <c r="H575" t="s">
        <v>653</v>
      </c>
      <c r="I575" t="s">
        <v>688</v>
      </c>
      <c r="J575" t="s">
        <v>702</v>
      </c>
      <c r="K575" t="s">
        <v>711</v>
      </c>
      <c r="L575" t="s">
        <v>720</v>
      </c>
      <c r="M575" t="s">
        <v>731</v>
      </c>
      <c r="N575">
        <f t="shared" si="75"/>
        <v>0.17512914663168588</v>
      </c>
      <c r="O575" t="s">
        <v>1305</v>
      </c>
      <c r="P575" s="4">
        <v>444.41</v>
      </c>
      <c r="Q575" s="4">
        <v>754.24</v>
      </c>
      <c r="R575" s="4" t="str">
        <f t="shared" si="76"/>
        <v>Profit</v>
      </c>
      <c r="S575">
        <v>0.20699999999999999</v>
      </c>
      <c r="T575" s="4">
        <v>32</v>
      </c>
      <c r="U575">
        <f t="shared" si="77"/>
        <v>19139.594240000002</v>
      </c>
      <c r="V575">
        <f t="shared" si="78"/>
        <v>14221.12</v>
      </c>
      <c r="W575">
        <f t="shared" si="79"/>
        <v>4918.4742400000014</v>
      </c>
      <c r="X575">
        <f t="shared" si="80"/>
        <v>0.25697902360546598</v>
      </c>
    </row>
    <row r="576" spans="1:24" x14ac:dyDescent="0.25">
      <c r="A576" t="s">
        <v>588</v>
      </c>
      <c r="B576" s="13">
        <v>45279</v>
      </c>
      <c r="C576" s="8">
        <v>45292</v>
      </c>
      <c r="D576" s="8">
        <f t="shared" si="72"/>
        <v>45292</v>
      </c>
      <c r="E576" s="6">
        <f t="shared" si="73"/>
        <v>13</v>
      </c>
      <c r="F576" s="6" t="str">
        <f t="shared" si="74"/>
        <v>Q4-2023</v>
      </c>
      <c r="G576" t="s">
        <v>648</v>
      </c>
      <c r="H576" t="s">
        <v>653</v>
      </c>
      <c r="I576" t="s">
        <v>667</v>
      </c>
      <c r="J576" t="s">
        <v>706</v>
      </c>
      <c r="K576" t="s">
        <v>707</v>
      </c>
      <c r="L576" t="s">
        <v>723</v>
      </c>
      <c r="M576" t="s">
        <v>732</v>
      </c>
      <c r="N576">
        <f t="shared" si="75"/>
        <v>0.13237400742292749</v>
      </c>
      <c r="O576" t="s">
        <v>1306</v>
      </c>
      <c r="P576" s="4">
        <v>856.1</v>
      </c>
      <c r="Q576" s="4">
        <v>901.48</v>
      </c>
      <c r="R576" s="4" t="str">
        <f t="shared" si="76"/>
        <v>Profit</v>
      </c>
      <c r="S576">
        <v>5.6000000000000001E-2</v>
      </c>
      <c r="T576" s="4">
        <v>17</v>
      </c>
      <c r="U576">
        <f t="shared" si="77"/>
        <v>14466.95104</v>
      </c>
      <c r="V576">
        <f t="shared" si="78"/>
        <v>14553.7</v>
      </c>
      <c r="W576">
        <f t="shared" si="79"/>
        <v>-86.748960000000807</v>
      </c>
      <c r="X576">
        <f t="shared" si="80"/>
        <v>-5.9963540182134192E-3</v>
      </c>
    </row>
    <row r="577" spans="1:24" x14ac:dyDescent="0.25">
      <c r="A577" t="s">
        <v>589</v>
      </c>
      <c r="B577" s="13">
        <v>45042</v>
      </c>
      <c r="C577" s="8">
        <v>45042</v>
      </c>
      <c r="D577" s="8">
        <f t="shared" si="72"/>
        <v>45042</v>
      </c>
      <c r="E577" s="6">
        <f t="shared" si="73"/>
        <v>0</v>
      </c>
      <c r="F577" s="6" t="str">
        <f t="shared" si="74"/>
        <v>Q2-2023</v>
      </c>
      <c r="G577" t="s">
        <v>649</v>
      </c>
      <c r="H577" t="s">
        <v>657</v>
      </c>
      <c r="I577" t="s">
        <v>673</v>
      </c>
      <c r="J577" t="s">
        <v>704</v>
      </c>
      <c r="K577" t="s">
        <v>711</v>
      </c>
      <c r="L577" t="s">
        <v>724</v>
      </c>
      <c r="M577" t="s">
        <v>727</v>
      </c>
      <c r="N577">
        <f t="shared" si="75"/>
        <v>4.5474756702774807E-3</v>
      </c>
      <c r="O577" t="s">
        <v>1307</v>
      </c>
      <c r="P577" s="4">
        <v>81.489999999999995</v>
      </c>
      <c r="Q577" s="4">
        <v>113.08</v>
      </c>
      <c r="R577" s="4" t="str">
        <f t="shared" si="76"/>
        <v>Profit</v>
      </c>
      <c r="S577">
        <v>0.121</v>
      </c>
      <c r="T577" s="4">
        <v>5</v>
      </c>
      <c r="U577">
        <f t="shared" si="77"/>
        <v>496.98660000000001</v>
      </c>
      <c r="V577">
        <f t="shared" si="78"/>
        <v>407.45</v>
      </c>
      <c r="W577">
        <f t="shared" si="79"/>
        <v>89.536600000000021</v>
      </c>
      <c r="X577">
        <f t="shared" si="80"/>
        <v>0.18015898215364362</v>
      </c>
    </row>
    <row r="578" spans="1:24" x14ac:dyDescent="0.25">
      <c r="A578" t="s">
        <v>590</v>
      </c>
      <c r="B578" s="13">
        <v>45872</v>
      </c>
      <c r="C578" s="8">
        <v>45885</v>
      </c>
      <c r="D578" s="8">
        <f t="shared" si="72"/>
        <v>45885</v>
      </c>
      <c r="E578" s="6">
        <f t="shared" si="73"/>
        <v>13</v>
      </c>
      <c r="F578" s="6" t="str">
        <f t="shared" si="74"/>
        <v>Q3-2025</v>
      </c>
      <c r="G578" t="s">
        <v>648</v>
      </c>
      <c r="H578" t="s">
        <v>653</v>
      </c>
      <c r="I578" t="s">
        <v>681</v>
      </c>
      <c r="J578" t="s">
        <v>706</v>
      </c>
      <c r="K578" t="s">
        <v>710</v>
      </c>
      <c r="L578" t="s">
        <v>719</v>
      </c>
      <c r="M578" t="s">
        <v>729</v>
      </c>
      <c r="N578">
        <f t="shared" si="75"/>
        <v>0.11063556677120197</v>
      </c>
      <c r="O578" t="s">
        <v>1308</v>
      </c>
      <c r="P578" s="4">
        <v>698.66</v>
      </c>
      <c r="Q578" s="4">
        <v>868.62</v>
      </c>
      <c r="R578" s="4" t="str">
        <f t="shared" si="76"/>
        <v>Profit</v>
      </c>
      <c r="S578">
        <v>7.1999999999999995E-2</v>
      </c>
      <c r="T578" s="4">
        <v>15</v>
      </c>
      <c r="U578">
        <f t="shared" si="77"/>
        <v>12091.190399999999</v>
      </c>
      <c r="V578">
        <f t="shared" si="78"/>
        <v>10479.9</v>
      </c>
      <c r="W578">
        <f t="shared" si="79"/>
        <v>1611.2903999999999</v>
      </c>
      <c r="X578">
        <f t="shared" si="80"/>
        <v>0.13326151906432637</v>
      </c>
    </row>
    <row r="579" spans="1:24" x14ac:dyDescent="0.25">
      <c r="A579" t="s">
        <v>591</v>
      </c>
      <c r="B579" s="13">
        <v>45140</v>
      </c>
      <c r="C579" s="8">
        <v>45157</v>
      </c>
      <c r="D579" s="8">
        <f t="shared" ref="D579:D633" si="81">IF(B579&gt;C579, B579+7, C579)</f>
        <v>45157</v>
      </c>
      <c r="E579" s="6">
        <f t="shared" ref="E579:E633" si="82">(D579-B579)</f>
        <v>17</v>
      </c>
      <c r="F579" s="6" t="str">
        <f t="shared" ref="F579:F633" si="83">"Q"&amp;ROUNDUP(MONTH(B579)/3,0)&amp;"-"&amp;YEAR(B579)</f>
        <v>Q3-2023</v>
      </c>
      <c r="G579" t="s">
        <v>648</v>
      </c>
      <c r="H579" t="s">
        <v>653</v>
      </c>
      <c r="I579" t="s">
        <v>688</v>
      </c>
      <c r="J579" t="s">
        <v>701</v>
      </c>
      <c r="K579" t="s">
        <v>708</v>
      </c>
      <c r="L579" t="s">
        <v>721</v>
      </c>
      <c r="M579" t="s">
        <v>729</v>
      </c>
      <c r="N579">
        <f t="shared" ref="N579:N633" si="84">(U579/$U$634)*100</f>
        <v>0.12702715327969652</v>
      </c>
      <c r="O579" t="s">
        <v>1309</v>
      </c>
      <c r="P579" s="4">
        <v>175.38</v>
      </c>
      <c r="Q579" s="4">
        <v>347.9</v>
      </c>
      <c r="R579" s="4" t="str">
        <f t="shared" ref="R579:R633" si="85">IF(Q579&gt;P579, "Profit", IF(Q579&lt;P579, "Loss"))</f>
        <v>Profit</v>
      </c>
      <c r="S579">
        <v>7.1999999999999995E-2</v>
      </c>
      <c r="T579" s="4">
        <v>43</v>
      </c>
      <c r="U579">
        <f t="shared" ref="U579:U633" si="86">Q579*T579*(1-S579)</f>
        <v>13882.6016</v>
      </c>
      <c r="V579">
        <f t="shared" ref="V579:V633" si="87">P579*T579</f>
        <v>7541.34</v>
      </c>
      <c r="W579">
        <f t="shared" ref="W579:W633" si="88">U579-V579</f>
        <v>6341.2615999999998</v>
      </c>
      <c r="X579">
        <f t="shared" ref="X579:X633" si="89">IF(U579=0, 0, W579/U579)</f>
        <v>0.45677761148169804</v>
      </c>
    </row>
    <row r="580" spans="1:24" x14ac:dyDescent="0.25">
      <c r="A580" t="s">
        <v>592</v>
      </c>
      <c r="B580" s="13">
        <v>45092</v>
      </c>
      <c r="C580" s="8">
        <v>45119</v>
      </c>
      <c r="D580" s="8">
        <f t="shared" si="81"/>
        <v>45119</v>
      </c>
      <c r="E580" s="6">
        <f t="shared" si="82"/>
        <v>27</v>
      </c>
      <c r="F580" s="6" t="str">
        <f t="shared" si="83"/>
        <v>Q2-2023</v>
      </c>
      <c r="G580" t="s">
        <v>649</v>
      </c>
      <c r="H580" t="s">
        <v>658</v>
      </c>
      <c r="I580" t="s">
        <v>693</v>
      </c>
      <c r="J580" t="s">
        <v>704</v>
      </c>
      <c r="K580" t="s">
        <v>711</v>
      </c>
      <c r="L580" t="s">
        <v>714</v>
      </c>
      <c r="M580" t="s">
        <v>733</v>
      </c>
      <c r="N580">
        <f t="shared" si="84"/>
        <v>6.1602419639208594E-2</v>
      </c>
      <c r="O580" t="s">
        <v>1310</v>
      </c>
      <c r="P580" s="4">
        <v>751.28</v>
      </c>
      <c r="Q580" s="4">
        <v>1111.8800000000001</v>
      </c>
      <c r="R580" s="4" t="str">
        <f t="shared" si="85"/>
        <v>Profit</v>
      </c>
      <c r="S580">
        <v>0.13500000000000001</v>
      </c>
      <c r="T580" s="4">
        <v>7</v>
      </c>
      <c r="U580">
        <f t="shared" si="86"/>
        <v>6732.4334000000008</v>
      </c>
      <c r="V580">
        <f t="shared" si="87"/>
        <v>5258.96</v>
      </c>
      <c r="W580">
        <f t="shared" si="88"/>
        <v>1473.4734000000008</v>
      </c>
      <c r="X580">
        <f t="shared" si="89"/>
        <v>0.21886193482433863</v>
      </c>
    </row>
    <row r="581" spans="1:24" x14ac:dyDescent="0.25">
      <c r="A581" t="s">
        <v>593</v>
      </c>
      <c r="B581" s="13">
        <v>45607</v>
      </c>
      <c r="C581" s="8">
        <v>45620</v>
      </c>
      <c r="D581" s="8">
        <f t="shared" si="81"/>
        <v>45620</v>
      </c>
      <c r="E581" s="6">
        <f t="shared" si="82"/>
        <v>13</v>
      </c>
      <c r="F581" s="6" t="str">
        <f t="shared" si="83"/>
        <v>Q4-2024</v>
      </c>
      <c r="G581" t="s">
        <v>649</v>
      </c>
      <c r="H581" t="s">
        <v>658</v>
      </c>
      <c r="I581" t="s">
        <v>683</v>
      </c>
      <c r="J581" t="s">
        <v>701</v>
      </c>
      <c r="K581" t="s">
        <v>707</v>
      </c>
      <c r="L581" t="s">
        <v>718</v>
      </c>
      <c r="M581" t="s">
        <v>729</v>
      </c>
      <c r="N581">
        <f t="shared" si="84"/>
        <v>3.9168625406955634E-2</v>
      </c>
      <c r="O581" t="s">
        <v>1311</v>
      </c>
      <c r="P581" s="4">
        <v>164.53</v>
      </c>
      <c r="Q581" s="4">
        <v>327.72</v>
      </c>
      <c r="R581" s="4" t="str">
        <f t="shared" si="85"/>
        <v>Profit</v>
      </c>
      <c r="S581">
        <v>6.7000000000000004E-2</v>
      </c>
      <c r="T581" s="4">
        <v>14</v>
      </c>
      <c r="U581">
        <f t="shared" si="86"/>
        <v>4280.6786400000001</v>
      </c>
      <c r="V581">
        <f t="shared" si="87"/>
        <v>2303.42</v>
      </c>
      <c r="W581">
        <f t="shared" si="88"/>
        <v>1977.25864</v>
      </c>
      <c r="X581">
        <f t="shared" si="89"/>
        <v>0.46190307805960412</v>
      </c>
    </row>
    <row r="582" spans="1:24" x14ac:dyDescent="0.25">
      <c r="A582" t="s">
        <v>594</v>
      </c>
      <c r="B582" s="13">
        <v>45849</v>
      </c>
      <c r="C582" s="8">
        <v>45872</v>
      </c>
      <c r="D582" s="8">
        <f t="shared" si="81"/>
        <v>45872</v>
      </c>
      <c r="E582" s="6">
        <f t="shared" si="82"/>
        <v>23</v>
      </c>
      <c r="F582" s="6" t="str">
        <f t="shared" si="83"/>
        <v>Q3-2025</v>
      </c>
      <c r="G582" t="s">
        <v>646</v>
      </c>
      <c r="H582" t="s">
        <v>650</v>
      </c>
      <c r="I582" t="s">
        <v>678</v>
      </c>
      <c r="J582" t="s">
        <v>705</v>
      </c>
      <c r="K582" t="s">
        <v>707</v>
      </c>
      <c r="L582" t="s">
        <v>712</v>
      </c>
      <c r="M582" t="s">
        <v>730</v>
      </c>
      <c r="N582">
        <f t="shared" si="84"/>
        <v>6.5636705522980759E-2</v>
      </c>
      <c r="O582" t="s">
        <v>1312</v>
      </c>
      <c r="P582" s="4">
        <v>389.93</v>
      </c>
      <c r="Q582" s="4">
        <v>486.13</v>
      </c>
      <c r="R582" s="4" t="str">
        <f t="shared" si="85"/>
        <v>Profit</v>
      </c>
      <c r="S582">
        <v>0.13200000000000001</v>
      </c>
      <c r="T582" s="4">
        <v>17</v>
      </c>
      <c r="U582">
        <f t="shared" si="86"/>
        <v>7173.3342799999991</v>
      </c>
      <c r="V582">
        <f t="shared" si="87"/>
        <v>6628.81</v>
      </c>
      <c r="W582">
        <f t="shared" si="88"/>
        <v>544.52427999999873</v>
      </c>
      <c r="X582">
        <f t="shared" si="89"/>
        <v>7.5909508569562828E-2</v>
      </c>
    </row>
    <row r="583" spans="1:24" x14ac:dyDescent="0.25">
      <c r="A583" t="s">
        <v>595</v>
      </c>
      <c r="B583" s="13">
        <v>45080</v>
      </c>
      <c r="C583" s="8">
        <v>45108</v>
      </c>
      <c r="D583" s="8">
        <f t="shared" si="81"/>
        <v>45108</v>
      </c>
      <c r="E583" s="6">
        <f t="shared" si="82"/>
        <v>28</v>
      </c>
      <c r="F583" s="6" t="str">
        <f t="shared" si="83"/>
        <v>Q2-2023</v>
      </c>
      <c r="G583" t="s">
        <v>648</v>
      </c>
      <c r="H583" t="s">
        <v>655</v>
      </c>
      <c r="I583" t="s">
        <v>672</v>
      </c>
      <c r="J583" t="s">
        <v>705</v>
      </c>
      <c r="K583" t="s">
        <v>709</v>
      </c>
      <c r="L583" t="s">
        <v>720</v>
      </c>
      <c r="M583" t="s">
        <v>727</v>
      </c>
      <c r="N583">
        <f t="shared" si="84"/>
        <v>5.6161484563125953E-2</v>
      </c>
      <c r="O583" t="s">
        <v>1313</v>
      </c>
      <c r="P583" s="4">
        <v>860.4</v>
      </c>
      <c r="Q583" s="4">
        <v>2066.6</v>
      </c>
      <c r="R583" s="4" t="str">
        <f t="shared" si="85"/>
        <v>Profit</v>
      </c>
      <c r="S583">
        <v>0.01</v>
      </c>
      <c r="T583" s="4">
        <v>3</v>
      </c>
      <c r="U583">
        <f t="shared" si="86"/>
        <v>6137.8019999999988</v>
      </c>
      <c r="V583">
        <f t="shared" si="87"/>
        <v>2581.1999999999998</v>
      </c>
      <c r="W583">
        <f t="shared" si="88"/>
        <v>3556.601999999999</v>
      </c>
      <c r="X583">
        <f t="shared" si="89"/>
        <v>0.57945857491004105</v>
      </c>
    </row>
    <row r="584" spans="1:24" x14ac:dyDescent="0.25">
      <c r="A584" t="s">
        <v>596</v>
      </c>
      <c r="B584" s="13">
        <v>44955</v>
      </c>
      <c r="C584" s="8">
        <v>44963</v>
      </c>
      <c r="D584" s="8">
        <f t="shared" si="81"/>
        <v>44963</v>
      </c>
      <c r="E584" s="6">
        <f t="shared" si="82"/>
        <v>8</v>
      </c>
      <c r="F584" s="6" t="str">
        <f t="shared" si="83"/>
        <v>Q1-2023</v>
      </c>
      <c r="G584" t="s">
        <v>648</v>
      </c>
      <c r="H584" t="s">
        <v>655</v>
      </c>
      <c r="I584" t="s">
        <v>672</v>
      </c>
      <c r="J584" t="s">
        <v>701</v>
      </c>
      <c r="K584" t="s">
        <v>709</v>
      </c>
      <c r="L584" t="s">
        <v>726</v>
      </c>
      <c r="M584" t="s">
        <v>732</v>
      </c>
      <c r="N584">
        <f t="shared" si="84"/>
        <v>1.6483054539605191E-2</v>
      </c>
      <c r="O584" t="s">
        <v>1314</v>
      </c>
      <c r="P584" s="4">
        <v>41.84</v>
      </c>
      <c r="Q584" s="4">
        <v>86.2</v>
      </c>
      <c r="R584" s="4" t="str">
        <f t="shared" si="85"/>
        <v>Profit</v>
      </c>
      <c r="S584">
        <v>0.22600000000000001</v>
      </c>
      <c r="T584" s="4">
        <v>27</v>
      </c>
      <c r="U584">
        <f t="shared" si="86"/>
        <v>1801.4076000000002</v>
      </c>
      <c r="V584">
        <f t="shared" si="87"/>
        <v>1129.68</v>
      </c>
      <c r="W584">
        <f t="shared" si="88"/>
        <v>671.72760000000017</v>
      </c>
      <c r="X584">
        <f t="shared" si="89"/>
        <v>0.37289039970742882</v>
      </c>
    </row>
    <row r="585" spans="1:24" x14ac:dyDescent="0.25">
      <c r="A585" t="s">
        <v>597</v>
      </c>
      <c r="B585" s="13">
        <v>45541</v>
      </c>
      <c r="C585" s="8">
        <v>45539</v>
      </c>
      <c r="D585" s="8">
        <f t="shared" si="81"/>
        <v>45548</v>
      </c>
      <c r="E585" s="6">
        <f t="shared" si="82"/>
        <v>7</v>
      </c>
      <c r="F585" s="6" t="str">
        <f t="shared" si="83"/>
        <v>Q3-2024</v>
      </c>
      <c r="G585" t="s">
        <v>647</v>
      </c>
      <c r="H585" t="s">
        <v>652</v>
      </c>
      <c r="I585" t="s">
        <v>666</v>
      </c>
      <c r="J585" t="s">
        <v>701</v>
      </c>
      <c r="K585" t="s">
        <v>711</v>
      </c>
      <c r="L585" t="s">
        <v>720</v>
      </c>
      <c r="M585" t="s">
        <v>731</v>
      </c>
      <c r="N585">
        <f t="shared" si="84"/>
        <v>0.37115833457836156</v>
      </c>
      <c r="O585" t="s">
        <v>1315</v>
      </c>
      <c r="P585" s="4">
        <v>1368.17</v>
      </c>
      <c r="Q585" s="4">
        <v>2307.75</v>
      </c>
      <c r="R585" s="4" t="str">
        <f t="shared" si="85"/>
        <v>Profit</v>
      </c>
      <c r="S585">
        <v>0.16300000000000001</v>
      </c>
      <c r="T585" s="4">
        <v>21</v>
      </c>
      <c r="U585">
        <f t="shared" si="86"/>
        <v>40563.321749999996</v>
      </c>
      <c r="V585">
        <f t="shared" si="87"/>
        <v>28731.57</v>
      </c>
      <c r="W585">
        <f t="shared" si="88"/>
        <v>11831.751749999996</v>
      </c>
      <c r="X585">
        <f t="shared" si="89"/>
        <v>0.29168596750831921</v>
      </c>
    </row>
    <row r="586" spans="1:24" x14ac:dyDescent="0.25">
      <c r="A586" t="s">
        <v>598</v>
      </c>
      <c r="B586" s="13">
        <v>45507</v>
      </c>
      <c r="C586" s="8">
        <v>45513</v>
      </c>
      <c r="D586" s="8">
        <f t="shared" si="81"/>
        <v>45513</v>
      </c>
      <c r="E586" s="6">
        <f t="shared" si="82"/>
        <v>6</v>
      </c>
      <c r="F586" s="6" t="str">
        <f t="shared" si="83"/>
        <v>Q3-2024</v>
      </c>
      <c r="G586" t="s">
        <v>646</v>
      </c>
      <c r="H586" t="s">
        <v>650</v>
      </c>
      <c r="I586" t="s">
        <v>675</v>
      </c>
      <c r="J586" t="s">
        <v>704</v>
      </c>
      <c r="K586" t="s">
        <v>709</v>
      </c>
      <c r="L586" t="s">
        <v>722</v>
      </c>
      <c r="M586" t="s">
        <v>731</v>
      </c>
      <c r="N586">
        <f t="shared" si="84"/>
        <v>3.4986450163050943E-2</v>
      </c>
      <c r="O586" t="s">
        <v>1316</v>
      </c>
      <c r="P586" s="4">
        <v>643.21</v>
      </c>
      <c r="Q586" s="4">
        <v>1112.81</v>
      </c>
      <c r="R586" s="4" t="str">
        <f t="shared" si="85"/>
        <v>Profit</v>
      </c>
      <c r="S586">
        <v>0.14099999999999999</v>
      </c>
      <c r="T586" s="4">
        <v>4</v>
      </c>
      <c r="U586">
        <f t="shared" si="86"/>
        <v>3823.6151599999998</v>
      </c>
      <c r="V586">
        <f t="shared" si="87"/>
        <v>2572.84</v>
      </c>
      <c r="W586">
        <f t="shared" si="88"/>
        <v>1250.7751599999997</v>
      </c>
      <c r="X586">
        <f t="shared" si="89"/>
        <v>0.32711847496702562</v>
      </c>
    </row>
    <row r="587" spans="1:24" x14ac:dyDescent="0.25">
      <c r="A587" t="s">
        <v>599</v>
      </c>
      <c r="B587" s="13">
        <v>45764</v>
      </c>
      <c r="C587" s="8">
        <v>45764</v>
      </c>
      <c r="D587" s="8">
        <f t="shared" si="81"/>
        <v>45764</v>
      </c>
      <c r="E587" s="6">
        <f t="shared" si="82"/>
        <v>0</v>
      </c>
      <c r="F587" s="6" t="str">
        <f t="shared" si="83"/>
        <v>Q2-2025</v>
      </c>
      <c r="G587" t="s">
        <v>648</v>
      </c>
      <c r="H587" t="s">
        <v>655</v>
      </c>
      <c r="I587" t="s">
        <v>670</v>
      </c>
      <c r="J587" t="s">
        <v>701</v>
      </c>
      <c r="K587" t="s">
        <v>710</v>
      </c>
      <c r="L587" t="s">
        <v>716</v>
      </c>
      <c r="M587" t="s">
        <v>730</v>
      </c>
      <c r="N587">
        <f t="shared" si="84"/>
        <v>0.20749046329535131</v>
      </c>
      <c r="O587" t="s">
        <v>1317</v>
      </c>
      <c r="P587" s="4">
        <v>719.41</v>
      </c>
      <c r="Q587" s="4">
        <v>1125.99</v>
      </c>
      <c r="R587" s="4" t="str">
        <f t="shared" si="85"/>
        <v>Profit</v>
      </c>
      <c r="S587">
        <v>4.1000000000000002E-2</v>
      </c>
      <c r="T587" s="4">
        <v>21</v>
      </c>
      <c r="U587">
        <f t="shared" si="86"/>
        <v>22676.312610000001</v>
      </c>
      <c r="V587">
        <f t="shared" si="87"/>
        <v>15107.609999999999</v>
      </c>
      <c r="W587">
        <f t="shared" si="88"/>
        <v>7568.7026100000021</v>
      </c>
      <c r="X587">
        <f t="shared" si="89"/>
        <v>0.33377131194876403</v>
      </c>
    </row>
    <row r="588" spans="1:24" x14ac:dyDescent="0.25">
      <c r="A588" t="s">
        <v>600</v>
      </c>
      <c r="B588" s="13">
        <v>45049</v>
      </c>
      <c r="C588" s="8">
        <v>45062</v>
      </c>
      <c r="D588" s="8">
        <f t="shared" si="81"/>
        <v>45062</v>
      </c>
      <c r="E588" s="6">
        <f t="shared" si="82"/>
        <v>13</v>
      </c>
      <c r="F588" s="6" t="str">
        <f t="shared" si="83"/>
        <v>Q2-2023</v>
      </c>
      <c r="G588" t="s">
        <v>648</v>
      </c>
      <c r="H588" t="s">
        <v>660</v>
      </c>
      <c r="I588" t="s">
        <v>700</v>
      </c>
      <c r="J588" t="s">
        <v>701</v>
      </c>
      <c r="K588" t="s">
        <v>709</v>
      </c>
      <c r="L588" t="s">
        <v>716</v>
      </c>
      <c r="M588" t="s">
        <v>730</v>
      </c>
      <c r="N588">
        <f t="shared" si="84"/>
        <v>3.3934050275784226E-3</v>
      </c>
      <c r="O588" t="s">
        <v>1318</v>
      </c>
      <c r="P588" s="4">
        <v>64.5</v>
      </c>
      <c r="Q588" s="4">
        <v>123.62</v>
      </c>
      <c r="R588" s="4" t="str">
        <f t="shared" si="85"/>
        <v>Profit</v>
      </c>
      <c r="S588">
        <v>0</v>
      </c>
      <c r="T588" s="4">
        <v>3</v>
      </c>
      <c r="U588">
        <f t="shared" si="86"/>
        <v>370.86</v>
      </c>
      <c r="V588">
        <f t="shared" si="87"/>
        <v>193.5</v>
      </c>
      <c r="W588">
        <f t="shared" si="88"/>
        <v>177.36</v>
      </c>
      <c r="X588">
        <f t="shared" si="89"/>
        <v>0.47823976702798904</v>
      </c>
    </row>
    <row r="589" spans="1:24" x14ac:dyDescent="0.25">
      <c r="A589" t="s">
        <v>601</v>
      </c>
      <c r="B589" s="13">
        <v>45364</v>
      </c>
      <c r="C589" s="8">
        <v>45388</v>
      </c>
      <c r="D589" s="8">
        <f t="shared" si="81"/>
        <v>45388</v>
      </c>
      <c r="E589" s="6">
        <f t="shared" si="82"/>
        <v>24</v>
      </c>
      <c r="F589" s="6" t="str">
        <f t="shared" si="83"/>
        <v>Q1-2024</v>
      </c>
      <c r="G589" t="s">
        <v>646</v>
      </c>
      <c r="H589" t="s">
        <v>651</v>
      </c>
      <c r="I589" t="s">
        <v>669</v>
      </c>
      <c r="J589" t="s">
        <v>704</v>
      </c>
      <c r="K589" t="s">
        <v>710</v>
      </c>
      <c r="L589" t="s">
        <v>716</v>
      </c>
      <c r="M589" t="s">
        <v>727</v>
      </c>
      <c r="N589">
        <f t="shared" si="84"/>
        <v>0.22995251879215239</v>
      </c>
      <c r="O589" t="s">
        <v>1319</v>
      </c>
      <c r="P589" s="4">
        <v>1232.78</v>
      </c>
      <c r="Q589" s="4">
        <v>1731.75</v>
      </c>
      <c r="R589" s="4" t="str">
        <f t="shared" si="85"/>
        <v>Profit</v>
      </c>
      <c r="S589">
        <v>9.2999999999999999E-2</v>
      </c>
      <c r="T589" s="4">
        <v>16</v>
      </c>
      <c r="U589">
        <f t="shared" si="86"/>
        <v>25131.155999999999</v>
      </c>
      <c r="V589">
        <f t="shared" si="87"/>
        <v>19724.48</v>
      </c>
      <c r="W589">
        <f t="shared" si="88"/>
        <v>5406.6759999999995</v>
      </c>
      <c r="X589">
        <f t="shared" si="89"/>
        <v>0.21513837246484005</v>
      </c>
    </row>
    <row r="590" spans="1:24" x14ac:dyDescent="0.25">
      <c r="A590" t="s">
        <v>602</v>
      </c>
      <c r="B590" s="13">
        <v>45459</v>
      </c>
      <c r="C590" s="8">
        <v>45464</v>
      </c>
      <c r="D590" s="8">
        <f t="shared" si="81"/>
        <v>45464</v>
      </c>
      <c r="E590" s="6">
        <f t="shared" si="82"/>
        <v>5</v>
      </c>
      <c r="F590" s="6" t="str">
        <f t="shared" si="83"/>
        <v>Q2-2024</v>
      </c>
      <c r="G590" t="s">
        <v>647</v>
      </c>
      <c r="H590" t="s">
        <v>652</v>
      </c>
      <c r="I590" t="s">
        <v>689</v>
      </c>
      <c r="J590" t="s">
        <v>705</v>
      </c>
      <c r="K590" t="s">
        <v>710</v>
      </c>
      <c r="L590" t="s">
        <v>721</v>
      </c>
      <c r="M590" t="s">
        <v>730</v>
      </c>
      <c r="N590">
        <f t="shared" si="84"/>
        <v>0.6282966749757577</v>
      </c>
      <c r="O590" t="s">
        <v>1320</v>
      </c>
      <c r="P590" s="4">
        <v>1367.13</v>
      </c>
      <c r="Q590" s="4">
        <v>3062.01</v>
      </c>
      <c r="R590" s="4" t="str">
        <f t="shared" si="85"/>
        <v>Profit</v>
      </c>
      <c r="S590">
        <v>0.10299999999999999</v>
      </c>
      <c r="T590" s="4">
        <v>25</v>
      </c>
      <c r="U590">
        <f t="shared" si="86"/>
        <v>68665.574250000005</v>
      </c>
      <c r="V590">
        <f t="shared" si="87"/>
        <v>34178.25</v>
      </c>
      <c r="W590">
        <f t="shared" si="88"/>
        <v>34487.324250000005</v>
      </c>
      <c r="X590">
        <f t="shared" si="89"/>
        <v>0.50225057645971705</v>
      </c>
    </row>
    <row r="591" spans="1:24" x14ac:dyDescent="0.25">
      <c r="A591" t="s">
        <v>603</v>
      </c>
      <c r="B591" s="13">
        <v>45703</v>
      </c>
      <c r="C591" s="8">
        <v>45715</v>
      </c>
      <c r="D591" s="8">
        <f t="shared" si="81"/>
        <v>45715</v>
      </c>
      <c r="E591" s="6">
        <f t="shared" si="82"/>
        <v>12</v>
      </c>
      <c r="F591" s="6" t="str">
        <f t="shared" si="83"/>
        <v>Q1-2025</v>
      </c>
      <c r="G591" t="s">
        <v>649</v>
      </c>
      <c r="H591" t="s">
        <v>657</v>
      </c>
      <c r="I591" t="s">
        <v>679</v>
      </c>
      <c r="J591" t="s">
        <v>703</v>
      </c>
      <c r="K591" t="s">
        <v>711</v>
      </c>
      <c r="L591" t="s">
        <v>723</v>
      </c>
      <c r="M591" t="s">
        <v>733</v>
      </c>
      <c r="N591">
        <f t="shared" si="84"/>
        <v>0.11017305790877301</v>
      </c>
      <c r="O591" t="s">
        <v>1321</v>
      </c>
      <c r="P591" s="4">
        <v>1027.26</v>
      </c>
      <c r="Q591" s="4">
        <v>2200.41</v>
      </c>
      <c r="R591" s="4" t="str">
        <f t="shared" si="85"/>
        <v>Profit</v>
      </c>
      <c r="S591">
        <v>8.7999999999999995E-2</v>
      </c>
      <c r="T591" s="4">
        <v>6</v>
      </c>
      <c r="U591">
        <f t="shared" si="86"/>
        <v>12040.64352</v>
      </c>
      <c r="V591">
        <f t="shared" si="87"/>
        <v>6163.5599999999995</v>
      </c>
      <c r="W591">
        <f t="shared" si="88"/>
        <v>5877.0835200000001</v>
      </c>
      <c r="X591">
        <f t="shared" si="89"/>
        <v>0.48810377204822358</v>
      </c>
    </row>
    <row r="592" spans="1:24" x14ac:dyDescent="0.25">
      <c r="A592" t="s">
        <v>604</v>
      </c>
      <c r="B592" s="13">
        <v>45019</v>
      </c>
      <c r="C592" s="8">
        <v>45032</v>
      </c>
      <c r="D592" s="8">
        <f t="shared" si="81"/>
        <v>45032</v>
      </c>
      <c r="E592" s="6">
        <f t="shared" si="82"/>
        <v>13</v>
      </c>
      <c r="F592" s="6" t="str">
        <f t="shared" si="83"/>
        <v>Q2-2023</v>
      </c>
      <c r="G592" t="s">
        <v>649</v>
      </c>
      <c r="H592" t="s">
        <v>657</v>
      </c>
      <c r="I592" t="s">
        <v>673</v>
      </c>
      <c r="J592" t="s">
        <v>703</v>
      </c>
      <c r="K592" t="s">
        <v>709</v>
      </c>
      <c r="L592" t="s">
        <v>724</v>
      </c>
      <c r="M592" t="s">
        <v>733</v>
      </c>
      <c r="N592">
        <f t="shared" si="84"/>
        <v>8.2555378985526034E-2</v>
      </c>
      <c r="O592" t="s">
        <v>1322</v>
      </c>
      <c r="P592" s="4">
        <v>790.54</v>
      </c>
      <c r="Q592" s="4">
        <v>601.49</v>
      </c>
      <c r="R592" s="4" t="str">
        <f t="shared" si="85"/>
        <v>Loss</v>
      </c>
      <c r="S592">
        <v>0</v>
      </c>
      <c r="T592" s="4">
        <v>15</v>
      </c>
      <c r="U592">
        <f t="shared" si="86"/>
        <v>9022.35</v>
      </c>
      <c r="V592">
        <f t="shared" si="87"/>
        <v>11858.099999999999</v>
      </c>
      <c r="W592">
        <f t="shared" si="88"/>
        <v>-2835.7499999999982</v>
      </c>
      <c r="X592">
        <f t="shared" si="89"/>
        <v>-0.31430281467688553</v>
      </c>
    </row>
    <row r="593" spans="1:24" x14ac:dyDescent="0.25">
      <c r="A593" t="s">
        <v>605</v>
      </c>
      <c r="B593" s="13">
        <v>45899</v>
      </c>
      <c r="C593" s="8">
        <v>45922</v>
      </c>
      <c r="D593" s="8">
        <f t="shared" si="81"/>
        <v>45922</v>
      </c>
      <c r="E593" s="6">
        <f t="shared" si="82"/>
        <v>23</v>
      </c>
      <c r="F593" s="6" t="str">
        <f t="shared" si="83"/>
        <v>Q3-2025</v>
      </c>
      <c r="G593" t="s">
        <v>649</v>
      </c>
      <c r="H593" t="s">
        <v>657</v>
      </c>
      <c r="I593" t="s">
        <v>673</v>
      </c>
      <c r="J593" t="s">
        <v>701</v>
      </c>
      <c r="K593" t="s">
        <v>711</v>
      </c>
      <c r="L593" t="s">
        <v>718</v>
      </c>
      <c r="M593" t="s">
        <v>727</v>
      </c>
      <c r="N593">
        <f t="shared" si="84"/>
        <v>0.10744840401828545</v>
      </c>
      <c r="O593" t="s">
        <v>1323</v>
      </c>
      <c r="P593" s="4">
        <v>663.9</v>
      </c>
      <c r="Q593" s="4">
        <v>947.77</v>
      </c>
      <c r="R593" s="4" t="str">
        <f t="shared" si="85"/>
        <v>Profit</v>
      </c>
      <c r="S593">
        <v>0.17399999999999999</v>
      </c>
      <c r="T593" s="4">
        <v>15</v>
      </c>
      <c r="U593">
        <f t="shared" si="86"/>
        <v>11742.8703</v>
      </c>
      <c r="V593">
        <f t="shared" si="87"/>
        <v>9958.5</v>
      </c>
      <c r="W593">
        <f t="shared" si="88"/>
        <v>1784.3703000000005</v>
      </c>
      <c r="X593">
        <f t="shared" si="89"/>
        <v>0.1519535049280073</v>
      </c>
    </row>
    <row r="594" spans="1:24" x14ac:dyDescent="0.25">
      <c r="A594" t="s">
        <v>606</v>
      </c>
      <c r="B594" s="13">
        <v>44984</v>
      </c>
      <c r="C594" s="8">
        <v>44983</v>
      </c>
      <c r="D594" s="8">
        <f t="shared" si="81"/>
        <v>44991</v>
      </c>
      <c r="E594" s="6">
        <f t="shared" si="82"/>
        <v>7</v>
      </c>
      <c r="F594" s="6" t="str">
        <f t="shared" si="83"/>
        <v>Q1-2023</v>
      </c>
      <c r="G594" t="s">
        <v>648</v>
      </c>
      <c r="H594" t="s">
        <v>660</v>
      </c>
      <c r="I594" t="s">
        <v>686</v>
      </c>
      <c r="J594" t="s">
        <v>703</v>
      </c>
      <c r="K594" t="s">
        <v>708</v>
      </c>
      <c r="L594" t="s">
        <v>716</v>
      </c>
      <c r="M594" t="s">
        <v>729</v>
      </c>
      <c r="N594">
        <f t="shared" si="84"/>
        <v>0.4736838936415963</v>
      </c>
      <c r="O594" t="s">
        <v>1324</v>
      </c>
      <c r="P594" s="4">
        <v>1015.91</v>
      </c>
      <c r="Q594" s="4">
        <v>2331.48</v>
      </c>
      <c r="R594" s="4" t="str">
        <f t="shared" si="85"/>
        <v>Profit</v>
      </c>
      <c r="S594">
        <v>0.14599999999999999</v>
      </c>
      <c r="T594" s="4">
        <v>26</v>
      </c>
      <c r="U594">
        <f t="shared" si="86"/>
        <v>51768.181920000003</v>
      </c>
      <c r="V594">
        <f t="shared" si="87"/>
        <v>26413.66</v>
      </c>
      <c r="W594">
        <f t="shared" si="88"/>
        <v>25354.521920000003</v>
      </c>
      <c r="X594">
        <f t="shared" si="89"/>
        <v>0.48977037592669626</v>
      </c>
    </row>
    <row r="595" spans="1:24" x14ac:dyDescent="0.25">
      <c r="A595" t="s">
        <v>607</v>
      </c>
      <c r="B595" s="13">
        <v>45504</v>
      </c>
      <c r="C595" s="8">
        <v>45519</v>
      </c>
      <c r="D595" s="8">
        <f t="shared" si="81"/>
        <v>45519</v>
      </c>
      <c r="E595" s="6">
        <f t="shared" si="82"/>
        <v>15</v>
      </c>
      <c r="F595" s="6" t="str">
        <f t="shared" si="83"/>
        <v>Q3-2024</v>
      </c>
      <c r="G595" t="s">
        <v>647</v>
      </c>
      <c r="H595" t="s">
        <v>652</v>
      </c>
      <c r="I595" t="s">
        <v>689</v>
      </c>
      <c r="J595" t="s">
        <v>701</v>
      </c>
      <c r="K595" t="s">
        <v>709</v>
      </c>
      <c r="L595" t="s">
        <v>721</v>
      </c>
      <c r="M595" t="s">
        <v>732</v>
      </c>
      <c r="N595">
        <f t="shared" si="84"/>
        <v>5.2390250064154639E-2</v>
      </c>
      <c r="O595" t="s">
        <v>1325</v>
      </c>
      <c r="P595" s="4">
        <v>1252.52</v>
      </c>
      <c r="Q595" s="4">
        <v>1417.24</v>
      </c>
      <c r="R595" s="4" t="str">
        <f t="shared" si="85"/>
        <v>Profit</v>
      </c>
      <c r="S595">
        <v>0.192</v>
      </c>
      <c r="T595" s="4">
        <v>5</v>
      </c>
      <c r="U595">
        <f t="shared" si="86"/>
        <v>5725.6496000000006</v>
      </c>
      <c r="V595">
        <f t="shared" si="87"/>
        <v>6262.6</v>
      </c>
      <c r="W595">
        <f t="shared" si="88"/>
        <v>-536.95039999999972</v>
      </c>
      <c r="X595">
        <f t="shared" si="89"/>
        <v>-9.3779821943696953E-2</v>
      </c>
    </row>
    <row r="596" spans="1:24" x14ac:dyDescent="0.25">
      <c r="A596" t="s">
        <v>608</v>
      </c>
      <c r="B596" s="13">
        <v>45823</v>
      </c>
      <c r="C596" s="8">
        <v>45850</v>
      </c>
      <c r="D596" s="8">
        <f t="shared" si="81"/>
        <v>45850</v>
      </c>
      <c r="E596" s="6">
        <f t="shared" si="82"/>
        <v>27</v>
      </c>
      <c r="F596" s="6" t="str">
        <f t="shared" si="83"/>
        <v>Q2-2025</v>
      </c>
      <c r="G596" t="s">
        <v>649</v>
      </c>
      <c r="H596" t="s">
        <v>657</v>
      </c>
      <c r="I596" t="s">
        <v>673</v>
      </c>
      <c r="J596" t="s">
        <v>704</v>
      </c>
      <c r="K596" t="s">
        <v>711</v>
      </c>
      <c r="L596" t="s">
        <v>712</v>
      </c>
      <c r="M596" t="s">
        <v>733</v>
      </c>
      <c r="N596">
        <f t="shared" si="84"/>
        <v>7.6549895725669087E-2</v>
      </c>
      <c r="O596" t="s">
        <v>1326</v>
      </c>
      <c r="P596" s="4">
        <v>318.83</v>
      </c>
      <c r="Q596" s="4">
        <v>699.5</v>
      </c>
      <c r="R596" s="4" t="str">
        <f t="shared" si="85"/>
        <v>Profit</v>
      </c>
      <c r="S596">
        <v>0.08</v>
      </c>
      <c r="T596" s="4">
        <v>13</v>
      </c>
      <c r="U596">
        <f t="shared" si="86"/>
        <v>8366.02</v>
      </c>
      <c r="V596">
        <f t="shared" si="87"/>
        <v>4144.79</v>
      </c>
      <c r="W596">
        <f t="shared" si="88"/>
        <v>4221.2300000000005</v>
      </c>
      <c r="X596">
        <f t="shared" si="89"/>
        <v>0.50456848059172699</v>
      </c>
    </row>
    <row r="597" spans="1:24" x14ac:dyDescent="0.25">
      <c r="A597" t="s">
        <v>609</v>
      </c>
      <c r="B597" s="13">
        <v>45473</v>
      </c>
      <c r="C597" s="8">
        <v>45494</v>
      </c>
      <c r="D597" s="8">
        <f t="shared" si="81"/>
        <v>45494</v>
      </c>
      <c r="E597" s="6">
        <f t="shared" si="82"/>
        <v>21</v>
      </c>
      <c r="F597" s="6" t="str">
        <f t="shared" si="83"/>
        <v>Q2-2024</v>
      </c>
      <c r="G597" t="s">
        <v>646</v>
      </c>
      <c r="H597" t="s">
        <v>650</v>
      </c>
      <c r="I597" t="s">
        <v>662</v>
      </c>
      <c r="J597" t="s">
        <v>705</v>
      </c>
      <c r="K597" t="s">
        <v>707</v>
      </c>
      <c r="L597" t="s">
        <v>723</v>
      </c>
      <c r="M597" t="s">
        <v>731</v>
      </c>
      <c r="N597">
        <f t="shared" si="84"/>
        <v>0.13643352634659736</v>
      </c>
      <c r="O597" t="s">
        <v>1327</v>
      </c>
      <c r="P597" s="4">
        <v>753.43</v>
      </c>
      <c r="Q597" s="4">
        <v>1787.2</v>
      </c>
      <c r="R597" s="4" t="str">
        <f t="shared" si="85"/>
        <v>Profit</v>
      </c>
      <c r="S597">
        <v>7.2999999999999995E-2</v>
      </c>
      <c r="T597" s="4">
        <v>9</v>
      </c>
      <c r="U597">
        <f t="shared" si="86"/>
        <v>14910.609600000002</v>
      </c>
      <c r="V597">
        <f t="shared" si="87"/>
        <v>6780.87</v>
      </c>
      <c r="W597">
        <f t="shared" si="88"/>
        <v>8129.7396000000017</v>
      </c>
      <c r="X597">
        <f t="shared" si="89"/>
        <v>0.54523187301476939</v>
      </c>
    </row>
    <row r="598" spans="1:24" x14ac:dyDescent="0.25">
      <c r="A598" t="s">
        <v>610</v>
      </c>
      <c r="B598" s="13">
        <v>45705</v>
      </c>
      <c r="C598" s="8">
        <v>45703</v>
      </c>
      <c r="D598" s="8">
        <f t="shared" si="81"/>
        <v>45712</v>
      </c>
      <c r="E598" s="6">
        <f t="shared" si="82"/>
        <v>7</v>
      </c>
      <c r="F598" s="6" t="str">
        <f t="shared" si="83"/>
        <v>Q1-2025</v>
      </c>
      <c r="G598" t="s">
        <v>648</v>
      </c>
      <c r="H598" t="s">
        <v>653</v>
      </c>
      <c r="I598" t="s">
        <v>667</v>
      </c>
      <c r="J598" t="s">
        <v>705</v>
      </c>
      <c r="K598" t="s">
        <v>707</v>
      </c>
      <c r="L598" t="s">
        <v>726</v>
      </c>
      <c r="M598" t="s">
        <v>727</v>
      </c>
      <c r="N598">
        <f t="shared" si="84"/>
        <v>7.4376736215864409E-2</v>
      </c>
      <c r="O598" t="s">
        <v>1328</v>
      </c>
      <c r="P598" s="4">
        <v>1133.47</v>
      </c>
      <c r="Q598" s="4">
        <v>1698.75</v>
      </c>
      <c r="R598" s="4" t="str">
        <f t="shared" si="85"/>
        <v>Profit</v>
      </c>
      <c r="S598">
        <v>4.2999999999999997E-2</v>
      </c>
      <c r="T598" s="4">
        <v>5</v>
      </c>
      <c r="U598">
        <f t="shared" si="86"/>
        <v>8128.5187499999993</v>
      </c>
      <c r="V598">
        <f t="shared" si="87"/>
        <v>5667.35</v>
      </c>
      <c r="W598">
        <f t="shared" si="88"/>
        <v>2461.1687499999989</v>
      </c>
      <c r="X598">
        <f t="shared" si="89"/>
        <v>0.30278194904821976</v>
      </c>
    </row>
    <row r="599" spans="1:24" x14ac:dyDescent="0.25">
      <c r="A599" t="s">
        <v>611</v>
      </c>
      <c r="B599" s="13">
        <v>44933</v>
      </c>
      <c r="C599" s="8">
        <v>44956</v>
      </c>
      <c r="D599" s="8">
        <f t="shared" si="81"/>
        <v>44956</v>
      </c>
      <c r="E599" s="6">
        <f t="shared" si="82"/>
        <v>23</v>
      </c>
      <c r="F599" s="6" t="str">
        <f t="shared" si="83"/>
        <v>Q1-2023</v>
      </c>
      <c r="G599" t="s">
        <v>646</v>
      </c>
      <c r="H599" t="s">
        <v>661</v>
      </c>
      <c r="I599" t="s">
        <v>695</v>
      </c>
      <c r="J599" t="s">
        <v>704</v>
      </c>
      <c r="K599" t="s">
        <v>708</v>
      </c>
      <c r="L599" t="s">
        <v>720</v>
      </c>
      <c r="M599" t="s">
        <v>728</v>
      </c>
      <c r="N599">
        <f t="shared" si="84"/>
        <v>2.8513624227444741E-2</v>
      </c>
      <c r="O599" t="s">
        <v>1329</v>
      </c>
      <c r="P599" s="4">
        <v>299.02</v>
      </c>
      <c r="Q599" s="4">
        <v>724.7</v>
      </c>
      <c r="R599" s="4" t="str">
        <f t="shared" si="85"/>
        <v>Profit</v>
      </c>
      <c r="S599">
        <v>0.14000000000000001</v>
      </c>
      <c r="T599" s="4">
        <v>5</v>
      </c>
      <c r="U599">
        <f t="shared" si="86"/>
        <v>3116.21</v>
      </c>
      <c r="V599">
        <f t="shared" si="87"/>
        <v>1495.1</v>
      </c>
      <c r="W599">
        <f t="shared" si="88"/>
        <v>1621.1100000000001</v>
      </c>
      <c r="X599">
        <f t="shared" si="89"/>
        <v>0.52021847051386139</v>
      </c>
    </row>
    <row r="600" spans="1:24" x14ac:dyDescent="0.25">
      <c r="A600" t="s">
        <v>612</v>
      </c>
      <c r="B600" s="13">
        <v>45726</v>
      </c>
      <c r="C600" s="8">
        <v>45751</v>
      </c>
      <c r="D600" s="8">
        <f t="shared" si="81"/>
        <v>45751</v>
      </c>
      <c r="E600" s="6">
        <f t="shared" si="82"/>
        <v>25</v>
      </c>
      <c r="F600" s="6" t="str">
        <f t="shared" si="83"/>
        <v>Q1-2025</v>
      </c>
      <c r="G600" t="s">
        <v>647</v>
      </c>
      <c r="H600" t="s">
        <v>652</v>
      </c>
      <c r="I600" t="s">
        <v>666</v>
      </c>
      <c r="J600" t="s">
        <v>701</v>
      </c>
      <c r="K600" t="s">
        <v>711</v>
      </c>
      <c r="L600" t="s">
        <v>722</v>
      </c>
      <c r="M600" t="s">
        <v>728</v>
      </c>
      <c r="N600">
        <f t="shared" si="84"/>
        <v>4.034750781907976E-2</v>
      </c>
      <c r="O600" t="s">
        <v>1330</v>
      </c>
      <c r="P600" s="4">
        <v>783.72</v>
      </c>
      <c r="Q600" s="4">
        <v>1355.94</v>
      </c>
      <c r="R600" s="4" t="str">
        <f t="shared" si="85"/>
        <v>Profit</v>
      </c>
      <c r="S600">
        <v>0.187</v>
      </c>
      <c r="T600" s="4">
        <v>4</v>
      </c>
      <c r="U600">
        <f t="shared" si="86"/>
        <v>4409.5168800000001</v>
      </c>
      <c r="V600">
        <f t="shared" si="87"/>
        <v>3134.88</v>
      </c>
      <c r="W600">
        <f t="shared" si="88"/>
        <v>1274.63688</v>
      </c>
      <c r="X600">
        <f t="shared" si="89"/>
        <v>0.28906497348525856</v>
      </c>
    </row>
    <row r="601" spans="1:24" x14ac:dyDescent="0.25">
      <c r="A601" t="s">
        <v>613</v>
      </c>
      <c r="B601" s="13">
        <v>45521</v>
      </c>
      <c r="C601" s="8">
        <v>45519</v>
      </c>
      <c r="D601" s="8">
        <f t="shared" si="81"/>
        <v>45528</v>
      </c>
      <c r="E601" s="6">
        <f t="shared" si="82"/>
        <v>7</v>
      </c>
      <c r="F601" s="6" t="str">
        <f t="shared" si="83"/>
        <v>Q3-2024</v>
      </c>
      <c r="G601" t="s">
        <v>648</v>
      </c>
      <c r="H601" t="s">
        <v>655</v>
      </c>
      <c r="I601" t="s">
        <v>692</v>
      </c>
      <c r="J601" t="s">
        <v>704</v>
      </c>
      <c r="K601" t="s">
        <v>711</v>
      </c>
      <c r="L601" t="s">
        <v>724</v>
      </c>
      <c r="M601" t="s">
        <v>732</v>
      </c>
      <c r="N601">
        <f t="shared" si="84"/>
        <v>5.4554180785977804E-2</v>
      </c>
      <c r="O601" t="s">
        <v>1331</v>
      </c>
      <c r="P601" s="4">
        <v>165.3</v>
      </c>
      <c r="Q601" s="4">
        <v>275.07</v>
      </c>
      <c r="R601" s="4" t="str">
        <f t="shared" si="85"/>
        <v>Profit</v>
      </c>
      <c r="S601">
        <v>0.13300000000000001</v>
      </c>
      <c r="T601" s="4">
        <v>25</v>
      </c>
      <c r="U601">
        <f t="shared" si="86"/>
        <v>5962.1422499999999</v>
      </c>
      <c r="V601">
        <f t="shared" si="87"/>
        <v>4132.5</v>
      </c>
      <c r="W601">
        <f t="shared" si="88"/>
        <v>1829.6422499999999</v>
      </c>
      <c r="X601">
        <f t="shared" si="89"/>
        <v>0.30687665159280625</v>
      </c>
    </row>
    <row r="602" spans="1:24" x14ac:dyDescent="0.25">
      <c r="A602" t="s">
        <v>614</v>
      </c>
      <c r="B602" s="13">
        <v>45360</v>
      </c>
      <c r="C602" s="8">
        <v>45373</v>
      </c>
      <c r="D602" s="8">
        <f t="shared" si="81"/>
        <v>45373</v>
      </c>
      <c r="E602" s="6">
        <f t="shared" si="82"/>
        <v>13</v>
      </c>
      <c r="F602" s="6" t="str">
        <f t="shared" si="83"/>
        <v>Q1-2024</v>
      </c>
      <c r="G602" t="s">
        <v>649</v>
      </c>
      <c r="H602" t="s">
        <v>658</v>
      </c>
      <c r="I602" t="s">
        <v>693</v>
      </c>
      <c r="J602" t="s">
        <v>704</v>
      </c>
      <c r="K602" t="s">
        <v>708</v>
      </c>
      <c r="L602" t="s">
        <v>718</v>
      </c>
      <c r="M602" t="s">
        <v>731</v>
      </c>
      <c r="N602">
        <f t="shared" si="84"/>
        <v>0.31053730320999368</v>
      </c>
      <c r="O602" t="s">
        <v>1332</v>
      </c>
      <c r="P602" s="4">
        <v>985.45</v>
      </c>
      <c r="Q602" s="4">
        <v>1802.44</v>
      </c>
      <c r="R602" s="4" t="str">
        <f t="shared" si="85"/>
        <v>Profit</v>
      </c>
      <c r="S602">
        <v>8.9999999999999993E-3</v>
      </c>
      <c r="T602" s="4">
        <v>19</v>
      </c>
      <c r="U602">
        <f t="shared" si="86"/>
        <v>33938.142760000002</v>
      </c>
      <c r="V602">
        <f t="shared" si="87"/>
        <v>18723.55</v>
      </c>
      <c r="W602">
        <f t="shared" si="88"/>
        <v>15214.592760000003</v>
      </c>
      <c r="X602">
        <f t="shared" si="89"/>
        <v>0.44830363486867486</v>
      </c>
    </row>
    <row r="603" spans="1:24" x14ac:dyDescent="0.25">
      <c r="A603" t="s">
        <v>615</v>
      </c>
      <c r="B603" s="13">
        <v>45523</v>
      </c>
      <c r="C603" s="8">
        <v>45537</v>
      </c>
      <c r="D603" s="8">
        <f t="shared" si="81"/>
        <v>45537</v>
      </c>
      <c r="E603" s="6">
        <f t="shared" si="82"/>
        <v>14</v>
      </c>
      <c r="F603" s="6" t="str">
        <f t="shared" si="83"/>
        <v>Q3-2024</v>
      </c>
      <c r="G603" t="s">
        <v>648</v>
      </c>
      <c r="H603" t="s">
        <v>653</v>
      </c>
      <c r="I603" t="s">
        <v>667</v>
      </c>
      <c r="J603" t="s">
        <v>704</v>
      </c>
      <c r="K603" t="s">
        <v>710</v>
      </c>
      <c r="L603" t="s">
        <v>712</v>
      </c>
      <c r="M603" t="s">
        <v>728</v>
      </c>
      <c r="N603">
        <f t="shared" si="84"/>
        <v>6.831742888206048E-2</v>
      </c>
      <c r="O603" t="s">
        <v>1333</v>
      </c>
      <c r="P603" s="4">
        <v>1337.01</v>
      </c>
      <c r="Q603" s="4">
        <v>1269.78</v>
      </c>
      <c r="R603" s="4" t="str">
        <f t="shared" si="85"/>
        <v>Loss</v>
      </c>
      <c r="S603">
        <v>0.16</v>
      </c>
      <c r="T603" s="4">
        <v>7</v>
      </c>
      <c r="U603">
        <f t="shared" si="86"/>
        <v>7466.3063999999986</v>
      </c>
      <c r="V603">
        <f t="shared" si="87"/>
        <v>9359.07</v>
      </c>
      <c r="W603">
        <f t="shared" si="88"/>
        <v>-1892.7636000000011</v>
      </c>
      <c r="X603">
        <f t="shared" si="89"/>
        <v>-0.25350735672996244</v>
      </c>
    </row>
    <row r="604" spans="1:24" x14ac:dyDescent="0.25">
      <c r="A604" t="s">
        <v>616</v>
      </c>
      <c r="B604" s="13">
        <v>45880</v>
      </c>
      <c r="C604" s="8">
        <v>45897</v>
      </c>
      <c r="D604" s="8">
        <f t="shared" si="81"/>
        <v>45897</v>
      </c>
      <c r="E604" s="6">
        <f t="shared" si="82"/>
        <v>17</v>
      </c>
      <c r="F604" s="6" t="str">
        <f t="shared" si="83"/>
        <v>Q3-2025</v>
      </c>
      <c r="G604" t="s">
        <v>649</v>
      </c>
      <c r="H604" t="s">
        <v>657</v>
      </c>
      <c r="I604" t="s">
        <v>690</v>
      </c>
      <c r="J604" t="s">
        <v>702</v>
      </c>
      <c r="K604" t="s">
        <v>708</v>
      </c>
      <c r="L604" t="s">
        <v>721</v>
      </c>
      <c r="M604" t="s">
        <v>729</v>
      </c>
      <c r="N604">
        <f t="shared" si="84"/>
        <v>9.7228035564244242E-3</v>
      </c>
      <c r="O604" t="s">
        <v>1334</v>
      </c>
      <c r="P604" s="4">
        <v>416.16</v>
      </c>
      <c r="Q604" s="4">
        <v>571.9</v>
      </c>
      <c r="R604" s="4" t="str">
        <f t="shared" si="85"/>
        <v>Profit</v>
      </c>
      <c r="S604">
        <v>7.0999999999999994E-2</v>
      </c>
      <c r="T604" s="4">
        <v>2</v>
      </c>
      <c r="U604">
        <f t="shared" si="86"/>
        <v>1062.5902000000001</v>
      </c>
      <c r="V604">
        <f t="shared" si="87"/>
        <v>832.32</v>
      </c>
      <c r="W604">
        <f t="shared" si="88"/>
        <v>230.27020000000005</v>
      </c>
      <c r="X604">
        <f t="shared" si="89"/>
        <v>0.21670649701079497</v>
      </c>
    </row>
    <row r="605" spans="1:24" x14ac:dyDescent="0.25">
      <c r="A605" t="s">
        <v>617</v>
      </c>
      <c r="B605" s="13">
        <v>45793</v>
      </c>
      <c r="C605" s="8">
        <v>45795</v>
      </c>
      <c r="D605" s="8">
        <f t="shared" si="81"/>
        <v>45795</v>
      </c>
      <c r="E605" s="6">
        <f t="shared" si="82"/>
        <v>2</v>
      </c>
      <c r="F605" s="6" t="str">
        <f t="shared" si="83"/>
        <v>Q2-2025</v>
      </c>
      <c r="G605" t="s">
        <v>647</v>
      </c>
      <c r="H605" t="s">
        <v>652</v>
      </c>
      <c r="I605" t="s">
        <v>689</v>
      </c>
      <c r="J605" t="s">
        <v>706</v>
      </c>
      <c r="K605" t="s">
        <v>707</v>
      </c>
      <c r="L605" t="s">
        <v>713</v>
      </c>
      <c r="M605" t="s">
        <v>728</v>
      </c>
      <c r="N605">
        <f t="shared" si="84"/>
        <v>0.36426836861550466</v>
      </c>
      <c r="O605" t="s">
        <v>1335</v>
      </c>
      <c r="P605" s="4">
        <v>1144.3800000000001</v>
      </c>
      <c r="Q605" s="4">
        <v>2755.04</v>
      </c>
      <c r="R605" s="4" t="str">
        <f t="shared" si="85"/>
        <v>Profit</v>
      </c>
      <c r="S605">
        <v>0.15</v>
      </c>
      <c r="T605" s="4">
        <v>17</v>
      </c>
      <c r="U605">
        <f t="shared" si="86"/>
        <v>39810.328000000001</v>
      </c>
      <c r="V605">
        <f t="shared" si="87"/>
        <v>19454.460000000003</v>
      </c>
      <c r="W605">
        <f t="shared" si="88"/>
        <v>20355.867999999999</v>
      </c>
      <c r="X605">
        <f t="shared" si="89"/>
        <v>0.51132128326096682</v>
      </c>
    </row>
    <row r="606" spans="1:24" x14ac:dyDescent="0.25">
      <c r="A606" t="s">
        <v>618</v>
      </c>
      <c r="B606" s="13">
        <v>45026</v>
      </c>
      <c r="C606" s="8">
        <v>45041</v>
      </c>
      <c r="D606" s="8">
        <f t="shared" si="81"/>
        <v>45041</v>
      </c>
      <c r="E606" s="6">
        <f t="shared" si="82"/>
        <v>15</v>
      </c>
      <c r="F606" s="6" t="str">
        <f t="shared" si="83"/>
        <v>Q2-2023</v>
      </c>
      <c r="G606" t="s">
        <v>649</v>
      </c>
      <c r="H606" t="s">
        <v>658</v>
      </c>
      <c r="I606" t="s">
        <v>683</v>
      </c>
      <c r="J606" t="s">
        <v>705</v>
      </c>
      <c r="K606" t="s">
        <v>707</v>
      </c>
      <c r="L606" t="s">
        <v>726</v>
      </c>
      <c r="M606" t="s">
        <v>728</v>
      </c>
      <c r="N606">
        <f t="shared" si="84"/>
        <v>4.9936030222849218E-2</v>
      </c>
      <c r="O606" t="s">
        <v>1336</v>
      </c>
      <c r="P606" s="4">
        <v>405.66</v>
      </c>
      <c r="Q606" s="4">
        <v>962.51</v>
      </c>
      <c r="R606" s="4" t="str">
        <f t="shared" si="85"/>
        <v>Profit</v>
      </c>
      <c r="S606">
        <v>0.19</v>
      </c>
      <c r="T606" s="4">
        <v>7</v>
      </c>
      <c r="U606">
        <f t="shared" si="86"/>
        <v>5457.4317000000001</v>
      </c>
      <c r="V606">
        <f t="shared" si="87"/>
        <v>2839.6200000000003</v>
      </c>
      <c r="W606">
        <f t="shared" si="88"/>
        <v>2617.8116999999997</v>
      </c>
      <c r="X606">
        <f t="shared" si="89"/>
        <v>0.47967832561239376</v>
      </c>
    </row>
    <row r="607" spans="1:24" x14ac:dyDescent="0.25">
      <c r="A607" t="s">
        <v>619</v>
      </c>
      <c r="B607" s="13">
        <v>45186</v>
      </c>
      <c r="C607" s="8">
        <v>45201</v>
      </c>
      <c r="D607" s="8">
        <f t="shared" si="81"/>
        <v>45201</v>
      </c>
      <c r="E607" s="6">
        <f t="shared" si="82"/>
        <v>15</v>
      </c>
      <c r="F607" s="6" t="str">
        <f t="shared" si="83"/>
        <v>Q3-2023</v>
      </c>
      <c r="G607" t="s">
        <v>648</v>
      </c>
      <c r="H607" t="s">
        <v>655</v>
      </c>
      <c r="I607" t="s">
        <v>692</v>
      </c>
      <c r="J607" t="s">
        <v>705</v>
      </c>
      <c r="K607" t="s">
        <v>707</v>
      </c>
      <c r="L607" t="s">
        <v>717</v>
      </c>
      <c r="M607" t="s">
        <v>731</v>
      </c>
      <c r="N607">
        <f t="shared" si="84"/>
        <v>6.4706130212118296E-2</v>
      </c>
      <c r="O607" t="s">
        <v>1337</v>
      </c>
      <c r="P607" s="4">
        <v>689.33</v>
      </c>
      <c r="Q607" s="4">
        <v>668.27</v>
      </c>
      <c r="R607" s="4" t="str">
        <f t="shared" si="85"/>
        <v>Loss</v>
      </c>
      <c r="S607">
        <v>0.186</v>
      </c>
      <c r="T607" s="4">
        <v>13</v>
      </c>
      <c r="U607">
        <f t="shared" si="86"/>
        <v>7071.6331400000008</v>
      </c>
      <c r="V607">
        <f t="shared" si="87"/>
        <v>8961.2900000000009</v>
      </c>
      <c r="W607">
        <f t="shared" si="88"/>
        <v>-1889.6568600000001</v>
      </c>
      <c r="X607">
        <f t="shared" si="89"/>
        <v>-0.26721647214861033</v>
      </c>
    </row>
    <row r="608" spans="1:24" x14ac:dyDescent="0.25">
      <c r="A608" t="s">
        <v>620</v>
      </c>
      <c r="B608" s="13">
        <v>45038</v>
      </c>
      <c r="C608" s="8">
        <v>45060</v>
      </c>
      <c r="D608" s="8">
        <f t="shared" si="81"/>
        <v>45060</v>
      </c>
      <c r="E608" s="6">
        <f t="shared" si="82"/>
        <v>22</v>
      </c>
      <c r="F608" s="6" t="str">
        <f t="shared" si="83"/>
        <v>Q2-2023</v>
      </c>
      <c r="G608" t="s">
        <v>647</v>
      </c>
      <c r="H608" t="s">
        <v>652</v>
      </c>
      <c r="I608" t="s">
        <v>694</v>
      </c>
      <c r="J608" t="s">
        <v>706</v>
      </c>
      <c r="K608" t="s">
        <v>707</v>
      </c>
      <c r="L608" t="s">
        <v>720</v>
      </c>
      <c r="M608" t="s">
        <v>733</v>
      </c>
      <c r="N608">
        <f t="shared" si="84"/>
        <v>0.12678854171287179</v>
      </c>
      <c r="O608" t="s">
        <v>1338</v>
      </c>
      <c r="P608" s="4">
        <v>1209.22</v>
      </c>
      <c r="Q608" s="4">
        <v>1404.33</v>
      </c>
      <c r="R608" s="4" t="str">
        <f t="shared" si="85"/>
        <v>Profit</v>
      </c>
      <c r="S608">
        <v>0.10299999999999999</v>
      </c>
      <c r="T608" s="4">
        <v>11</v>
      </c>
      <c r="U608">
        <f t="shared" si="86"/>
        <v>13856.52411</v>
      </c>
      <c r="V608">
        <f t="shared" si="87"/>
        <v>13301.42</v>
      </c>
      <c r="W608">
        <f t="shared" si="88"/>
        <v>555.10411000000022</v>
      </c>
      <c r="X608">
        <f t="shared" si="89"/>
        <v>4.0060848275751328E-2</v>
      </c>
    </row>
    <row r="609" spans="1:24" x14ac:dyDescent="0.25">
      <c r="A609" t="s">
        <v>621</v>
      </c>
      <c r="B609" s="13">
        <v>45827</v>
      </c>
      <c r="C609" s="8">
        <v>45829</v>
      </c>
      <c r="D609" s="8">
        <f t="shared" si="81"/>
        <v>45829</v>
      </c>
      <c r="E609" s="6">
        <f t="shared" si="82"/>
        <v>2</v>
      </c>
      <c r="F609" s="6" t="str">
        <f t="shared" si="83"/>
        <v>Q2-2025</v>
      </c>
      <c r="G609" t="s">
        <v>646</v>
      </c>
      <c r="H609" t="s">
        <v>661</v>
      </c>
      <c r="I609" t="s">
        <v>682</v>
      </c>
      <c r="J609" t="s">
        <v>705</v>
      </c>
      <c r="K609" t="s">
        <v>1422</v>
      </c>
      <c r="L609" t="s">
        <v>722</v>
      </c>
      <c r="M609" t="s">
        <v>730</v>
      </c>
      <c r="N609">
        <f t="shared" si="84"/>
        <v>0.26695441391356206</v>
      </c>
      <c r="O609" t="s">
        <v>1339</v>
      </c>
      <c r="P609" s="4">
        <v>1466.27</v>
      </c>
      <c r="Q609" s="4">
        <v>3589.89</v>
      </c>
      <c r="R609" s="4" t="str">
        <f t="shared" si="85"/>
        <v>Profit</v>
      </c>
      <c r="S609">
        <v>9.7000000000000003E-2</v>
      </c>
      <c r="T609" s="4">
        <v>9</v>
      </c>
      <c r="U609">
        <f t="shared" si="86"/>
        <v>29175.036029999999</v>
      </c>
      <c r="V609">
        <f t="shared" si="87"/>
        <v>13196.43</v>
      </c>
      <c r="W609">
        <f t="shared" si="88"/>
        <v>15978.606029999999</v>
      </c>
      <c r="X609">
        <f t="shared" si="89"/>
        <v>0.54768076425234147</v>
      </c>
    </row>
    <row r="610" spans="1:24" x14ac:dyDescent="0.25">
      <c r="A610" t="s">
        <v>622</v>
      </c>
      <c r="B610" s="13">
        <v>45623</v>
      </c>
      <c r="C610" s="8">
        <v>45650</v>
      </c>
      <c r="D610" s="8">
        <f t="shared" si="81"/>
        <v>45650</v>
      </c>
      <c r="E610" s="6">
        <f t="shared" si="82"/>
        <v>27</v>
      </c>
      <c r="F610" s="6" t="str">
        <f t="shared" si="83"/>
        <v>Q4-2024</v>
      </c>
      <c r="G610" t="s">
        <v>646</v>
      </c>
      <c r="H610" t="s">
        <v>650</v>
      </c>
      <c r="I610" t="s">
        <v>675</v>
      </c>
      <c r="J610" t="s">
        <v>701</v>
      </c>
      <c r="K610" t="s">
        <v>710</v>
      </c>
      <c r="L610" t="s">
        <v>717</v>
      </c>
      <c r="M610" t="s">
        <v>728</v>
      </c>
      <c r="N610">
        <f t="shared" si="84"/>
        <v>2.5037137964797809E-2</v>
      </c>
      <c r="O610" t="s">
        <v>1340</v>
      </c>
      <c r="P610" s="4">
        <v>143.33000000000001</v>
      </c>
      <c r="Q610" s="4">
        <v>233.51</v>
      </c>
      <c r="R610" s="4" t="str">
        <f t="shared" si="85"/>
        <v>Profit</v>
      </c>
      <c r="S610">
        <v>0.16300000000000001</v>
      </c>
      <c r="T610" s="4">
        <v>14</v>
      </c>
      <c r="U610">
        <f t="shared" si="86"/>
        <v>2736.27018</v>
      </c>
      <c r="V610">
        <f t="shared" si="87"/>
        <v>2006.6200000000001</v>
      </c>
      <c r="W610">
        <f t="shared" si="88"/>
        <v>729.65017999999986</v>
      </c>
      <c r="X610">
        <f t="shared" si="89"/>
        <v>0.26665867476580835</v>
      </c>
    </row>
    <row r="611" spans="1:24" x14ac:dyDescent="0.25">
      <c r="A611" t="s">
        <v>623</v>
      </c>
      <c r="B611" s="13">
        <v>45319</v>
      </c>
      <c r="C611" s="8">
        <v>45318</v>
      </c>
      <c r="D611" s="8">
        <f t="shared" si="81"/>
        <v>45326</v>
      </c>
      <c r="E611" s="6">
        <f t="shared" si="82"/>
        <v>7</v>
      </c>
      <c r="F611" s="6" t="str">
        <f t="shared" si="83"/>
        <v>Q1-2024</v>
      </c>
      <c r="G611" t="s">
        <v>646</v>
      </c>
      <c r="H611" t="s">
        <v>661</v>
      </c>
      <c r="I611" t="s">
        <v>695</v>
      </c>
      <c r="J611" t="s">
        <v>706</v>
      </c>
      <c r="K611" t="s">
        <v>711</v>
      </c>
      <c r="L611" t="s">
        <v>719</v>
      </c>
      <c r="M611" t="s">
        <v>727</v>
      </c>
      <c r="N611">
        <f t="shared" si="84"/>
        <v>1.9008960817001212E-2</v>
      </c>
      <c r="O611" t="s">
        <v>1341</v>
      </c>
      <c r="P611" s="4">
        <v>109.75</v>
      </c>
      <c r="Q611" s="4">
        <v>124.25</v>
      </c>
      <c r="R611" s="4" t="str">
        <f t="shared" si="85"/>
        <v>Profit</v>
      </c>
      <c r="S611">
        <v>0.12</v>
      </c>
      <c r="T611" s="4">
        <v>19</v>
      </c>
      <c r="U611">
        <f t="shared" si="86"/>
        <v>2077.46</v>
      </c>
      <c r="V611">
        <f t="shared" si="87"/>
        <v>2085.25</v>
      </c>
      <c r="W611">
        <f t="shared" si="88"/>
        <v>-7.7899999999999636</v>
      </c>
      <c r="X611">
        <f t="shared" si="89"/>
        <v>-3.7497713554051405E-3</v>
      </c>
    </row>
    <row r="612" spans="1:24" x14ac:dyDescent="0.25">
      <c r="A612" t="s">
        <v>624</v>
      </c>
      <c r="B612" s="13">
        <v>45032</v>
      </c>
      <c r="C612" s="8">
        <v>45039</v>
      </c>
      <c r="D612" s="8">
        <f t="shared" si="81"/>
        <v>45039</v>
      </c>
      <c r="E612" s="6">
        <f t="shared" si="82"/>
        <v>7</v>
      </c>
      <c r="F612" s="6" t="str">
        <f t="shared" si="83"/>
        <v>Q2-2023</v>
      </c>
      <c r="G612" t="s">
        <v>648</v>
      </c>
      <c r="H612" t="s">
        <v>660</v>
      </c>
      <c r="I612" t="s">
        <v>697</v>
      </c>
      <c r="J612" t="s">
        <v>701</v>
      </c>
      <c r="K612" t="s">
        <v>710</v>
      </c>
      <c r="L612" t="s">
        <v>719</v>
      </c>
      <c r="M612" t="s">
        <v>728</v>
      </c>
      <c r="N612">
        <f t="shared" si="84"/>
        <v>9.3880547188160149E-2</v>
      </c>
      <c r="O612" t="s">
        <v>1342</v>
      </c>
      <c r="P612" s="4">
        <v>1099.1500000000001</v>
      </c>
      <c r="Q612" s="4">
        <v>1431.37</v>
      </c>
      <c r="R612" s="4" t="str">
        <f t="shared" si="85"/>
        <v>Profit</v>
      </c>
      <c r="S612">
        <v>0.104</v>
      </c>
      <c r="T612" s="4">
        <v>8</v>
      </c>
      <c r="U612">
        <f t="shared" si="86"/>
        <v>10260.060159999999</v>
      </c>
      <c r="V612">
        <f t="shared" si="87"/>
        <v>8793.2000000000007</v>
      </c>
      <c r="W612">
        <f t="shared" si="88"/>
        <v>1466.8601599999984</v>
      </c>
      <c r="X612">
        <f t="shared" si="89"/>
        <v>0.14296798821109433</v>
      </c>
    </row>
    <row r="613" spans="1:24" x14ac:dyDescent="0.25">
      <c r="A613" t="s">
        <v>625</v>
      </c>
      <c r="B613" s="13">
        <v>45323</v>
      </c>
      <c r="C613" s="8">
        <v>45323</v>
      </c>
      <c r="D613" s="8">
        <f t="shared" si="81"/>
        <v>45323</v>
      </c>
      <c r="E613" s="6">
        <f t="shared" si="82"/>
        <v>0</v>
      </c>
      <c r="F613" s="6" t="str">
        <f t="shared" si="83"/>
        <v>Q1-2024</v>
      </c>
      <c r="G613" t="s">
        <v>648</v>
      </c>
      <c r="H613" t="s">
        <v>660</v>
      </c>
      <c r="I613" t="s">
        <v>697</v>
      </c>
      <c r="J613" t="s">
        <v>704</v>
      </c>
      <c r="K613" t="s">
        <v>710</v>
      </c>
      <c r="L613" t="s">
        <v>722</v>
      </c>
      <c r="M613" t="s">
        <v>728</v>
      </c>
      <c r="N613">
        <f t="shared" si="84"/>
        <v>0.16473695527441115</v>
      </c>
      <c r="O613" t="s">
        <v>1343</v>
      </c>
      <c r="P613" s="4">
        <v>714.43</v>
      </c>
      <c r="Q613" s="4">
        <v>1595.52</v>
      </c>
      <c r="R613" s="4" t="str">
        <f t="shared" si="85"/>
        <v>Profit</v>
      </c>
      <c r="S613">
        <v>0.19400000000000001</v>
      </c>
      <c r="T613" s="4">
        <v>14</v>
      </c>
      <c r="U613">
        <f t="shared" si="86"/>
        <v>18003.847679999999</v>
      </c>
      <c r="V613">
        <f t="shared" si="87"/>
        <v>10002.019999999999</v>
      </c>
      <c r="W613">
        <f t="shared" si="88"/>
        <v>8001.8276800000003</v>
      </c>
      <c r="X613">
        <f t="shared" si="89"/>
        <v>0.44445097638151093</v>
      </c>
    </row>
    <row r="614" spans="1:24" x14ac:dyDescent="0.25">
      <c r="A614" t="s">
        <v>626</v>
      </c>
      <c r="B614" s="13">
        <v>45584</v>
      </c>
      <c r="C614" s="8">
        <v>45602</v>
      </c>
      <c r="D614" s="8">
        <f t="shared" si="81"/>
        <v>45602</v>
      </c>
      <c r="E614" s="6">
        <f t="shared" si="82"/>
        <v>18</v>
      </c>
      <c r="F614" s="6" t="str">
        <f t="shared" si="83"/>
        <v>Q4-2024</v>
      </c>
      <c r="G614" t="s">
        <v>648</v>
      </c>
      <c r="H614" t="s">
        <v>660</v>
      </c>
      <c r="I614" t="s">
        <v>677</v>
      </c>
      <c r="J614" t="s">
        <v>702</v>
      </c>
      <c r="K614" t="s">
        <v>1422</v>
      </c>
      <c r="L614" t="s">
        <v>712</v>
      </c>
      <c r="M614" t="s">
        <v>732</v>
      </c>
      <c r="N614">
        <f t="shared" si="84"/>
        <v>8.4694580197297462E-2</v>
      </c>
      <c r="O614" t="s">
        <v>1344</v>
      </c>
      <c r="P614" s="4">
        <v>942.02</v>
      </c>
      <c r="Q614" s="4">
        <v>1028.46</v>
      </c>
      <c r="R614" s="4" t="str">
        <f t="shared" si="85"/>
        <v>Profit</v>
      </c>
      <c r="S614">
        <v>0</v>
      </c>
      <c r="T614" s="4">
        <v>9</v>
      </c>
      <c r="U614">
        <f t="shared" si="86"/>
        <v>9256.14</v>
      </c>
      <c r="V614">
        <f t="shared" si="87"/>
        <v>8478.18</v>
      </c>
      <c r="W614">
        <f t="shared" si="88"/>
        <v>777.95999999999913</v>
      </c>
      <c r="X614">
        <f t="shared" si="89"/>
        <v>8.4047994088248354E-2</v>
      </c>
    </row>
    <row r="615" spans="1:24" x14ac:dyDescent="0.25">
      <c r="A615" t="s">
        <v>627</v>
      </c>
      <c r="B615" s="13">
        <v>45468</v>
      </c>
      <c r="C615" s="8">
        <v>45473</v>
      </c>
      <c r="D615" s="8">
        <f t="shared" si="81"/>
        <v>45473</v>
      </c>
      <c r="E615" s="6">
        <f t="shared" si="82"/>
        <v>5</v>
      </c>
      <c r="F615" s="6" t="str">
        <f t="shared" si="83"/>
        <v>Q2-2024</v>
      </c>
      <c r="G615" t="s">
        <v>646</v>
      </c>
      <c r="H615" t="s">
        <v>650</v>
      </c>
      <c r="I615" t="s">
        <v>662</v>
      </c>
      <c r="J615" t="s">
        <v>702</v>
      </c>
      <c r="K615" t="s">
        <v>711</v>
      </c>
      <c r="L615" t="s">
        <v>724</v>
      </c>
      <c r="M615" t="s">
        <v>729</v>
      </c>
      <c r="N615">
        <f t="shared" si="84"/>
        <v>0.75160123887544505</v>
      </c>
      <c r="O615" t="s">
        <v>1345</v>
      </c>
      <c r="P615" s="4">
        <v>1323.55</v>
      </c>
      <c r="Q615" s="4">
        <v>3230.35</v>
      </c>
      <c r="R615" s="4" t="str">
        <f t="shared" si="85"/>
        <v>Profit</v>
      </c>
      <c r="S615">
        <v>2.1999999999999999E-2</v>
      </c>
      <c r="T615" s="4">
        <v>26</v>
      </c>
      <c r="U615">
        <f t="shared" si="86"/>
        <v>82141.339799999987</v>
      </c>
      <c r="V615">
        <f t="shared" si="87"/>
        <v>34412.299999999996</v>
      </c>
      <c r="W615">
        <f t="shared" si="88"/>
        <v>47729.039799999991</v>
      </c>
      <c r="X615">
        <f t="shared" si="89"/>
        <v>0.58105991351263542</v>
      </c>
    </row>
    <row r="616" spans="1:24" x14ac:dyDescent="0.25">
      <c r="A616" t="s">
        <v>628</v>
      </c>
      <c r="B616" s="13">
        <v>45137</v>
      </c>
      <c r="C616" s="8">
        <v>45157</v>
      </c>
      <c r="D616" s="8">
        <f t="shared" si="81"/>
        <v>45157</v>
      </c>
      <c r="E616" s="6">
        <f t="shared" si="82"/>
        <v>20</v>
      </c>
      <c r="F616" s="6" t="str">
        <f t="shared" si="83"/>
        <v>Q3-2023</v>
      </c>
      <c r="G616" t="s">
        <v>649</v>
      </c>
      <c r="H616" t="s">
        <v>657</v>
      </c>
      <c r="I616" t="s">
        <v>690</v>
      </c>
      <c r="J616" t="s">
        <v>706</v>
      </c>
      <c r="K616" t="s">
        <v>709</v>
      </c>
      <c r="L616" t="s">
        <v>715</v>
      </c>
      <c r="M616" t="s">
        <v>729</v>
      </c>
      <c r="N616">
        <f t="shared" si="84"/>
        <v>0.16928314297701436</v>
      </c>
      <c r="O616" t="s">
        <v>1346</v>
      </c>
      <c r="P616" s="4">
        <v>1418.51</v>
      </c>
      <c r="Q616" s="4">
        <v>2789.61</v>
      </c>
      <c r="R616" s="4" t="str">
        <f t="shared" si="85"/>
        <v>Profit</v>
      </c>
      <c r="S616">
        <v>0.17100000000000001</v>
      </c>
      <c r="T616" s="4">
        <v>8</v>
      </c>
      <c r="U616">
        <f t="shared" si="86"/>
        <v>18500.693520000001</v>
      </c>
      <c r="V616">
        <f t="shared" si="87"/>
        <v>11348.08</v>
      </c>
      <c r="W616">
        <f t="shared" si="88"/>
        <v>7152.6135200000008</v>
      </c>
      <c r="X616">
        <f t="shared" si="89"/>
        <v>0.38661326464695689</v>
      </c>
    </row>
    <row r="617" spans="1:24" x14ac:dyDescent="0.25">
      <c r="A617" t="s">
        <v>629</v>
      </c>
      <c r="B617" s="13">
        <v>45727</v>
      </c>
      <c r="C617" s="8">
        <v>45743</v>
      </c>
      <c r="D617" s="8">
        <f t="shared" si="81"/>
        <v>45743</v>
      </c>
      <c r="E617" s="6">
        <f t="shared" si="82"/>
        <v>16</v>
      </c>
      <c r="F617" s="6" t="str">
        <f t="shared" si="83"/>
        <v>Q1-2025</v>
      </c>
      <c r="G617" t="s">
        <v>647</v>
      </c>
      <c r="H617" t="s">
        <v>652</v>
      </c>
      <c r="I617" t="s">
        <v>689</v>
      </c>
      <c r="J617" t="s">
        <v>706</v>
      </c>
      <c r="K617" t="s">
        <v>710</v>
      </c>
      <c r="L617" t="s">
        <v>717</v>
      </c>
      <c r="M617" t="s">
        <v>728</v>
      </c>
      <c r="N617">
        <f t="shared" si="84"/>
        <v>9.574788254354806E-2</v>
      </c>
      <c r="O617" t="s">
        <v>1347</v>
      </c>
      <c r="P617" s="4">
        <v>1317.58</v>
      </c>
      <c r="Q617" s="4">
        <v>1897.74</v>
      </c>
      <c r="R617" s="4" t="str">
        <f t="shared" si="85"/>
        <v>Profit</v>
      </c>
      <c r="S617">
        <v>8.1000000000000003E-2</v>
      </c>
      <c r="T617" s="4">
        <v>6</v>
      </c>
      <c r="U617">
        <f t="shared" si="86"/>
        <v>10464.138360000001</v>
      </c>
      <c r="V617">
        <f t="shared" si="87"/>
        <v>7905.48</v>
      </c>
      <c r="W617">
        <f t="shared" si="88"/>
        <v>2558.6583600000013</v>
      </c>
      <c r="X617">
        <f t="shared" si="89"/>
        <v>0.24451687009230266</v>
      </c>
    </row>
    <row r="618" spans="1:24" x14ac:dyDescent="0.25">
      <c r="A618" t="s">
        <v>630</v>
      </c>
      <c r="B618" s="13">
        <v>45208</v>
      </c>
      <c r="C618" s="8">
        <v>45210</v>
      </c>
      <c r="D618" s="8">
        <f t="shared" si="81"/>
        <v>45210</v>
      </c>
      <c r="E618" s="6">
        <f t="shared" si="82"/>
        <v>2</v>
      </c>
      <c r="F618" s="6" t="str">
        <f t="shared" si="83"/>
        <v>Q4-2023</v>
      </c>
      <c r="G618" t="s">
        <v>646</v>
      </c>
      <c r="H618" t="s">
        <v>651</v>
      </c>
      <c r="I618" t="s">
        <v>663</v>
      </c>
      <c r="J618" t="s">
        <v>702</v>
      </c>
      <c r="K618" t="s">
        <v>709</v>
      </c>
      <c r="L618" t="s">
        <v>723</v>
      </c>
      <c r="M618" t="s">
        <v>729</v>
      </c>
      <c r="N618">
        <f t="shared" si="84"/>
        <v>9.8695889024356706E-2</v>
      </c>
      <c r="O618" t="s">
        <v>1348</v>
      </c>
      <c r="P618" s="4">
        <v>391.16</v>
      </c>
      <c r="Q618" s="4">
        <v>902.47</v>
      </c>
      <c r="R618" s="4" t="str">
        <f t="shared" si="85"/>
        <v>Profit</v>
      </c>
      <c r="S618">
        <v>4.0000000000000001E-3</v>
      </c>
      <c r="T618" s="4">
        <v>12</v>
      </c>
      <c r="U618">
        <f t="shared" si="86"/>
        <v>10786.32144</v>
      </c>
      <c r="V618">
        <f t="shared" si="87"/>
        <v>4693.92</v>
      </c>
      <c r="W618">
        <f t="shared" si="88"/>
        <v>6092.4014399999996</v>
      </c>
      <c r="X618">
        <f t="shared" si="89"/>
        <v>0.56482661618139207</v>
      </c>
    </row>
    <row r="619" spans="1:24" x14ac:dyDescent="0.25">
      <c r="A619" t="s">
        <v>631</v>
      </c>
      <c r="B619" s="13">
        <v>45643</v>
      </c>
      <c r="C619" s="8">
        <v>45673</v>
      </c>
      <c r="D619" s="8">
        <f t="shared" si="81"/>
        <v>45673</v>
      </c>
      <c r="E619" s="6">
        <f t="shared" si="82"/>
        <v>30</v>
      </c>
      <c r="F619" s="6" t="str">
        <f t="shared" si="83"/>
        <v>Q4-2024</v>
      </c>
      <c r="G619" t="s">
        <v>649</v>
      </c>
      <c r="H619" t="s">
        <v>658</v>
      </c>
      <c r="I619" t="s">
        <v>693</v>
      </c>
      <c r="J619" t="s">
        <v>701</v>
      </c>
      <c r="K619" t="s">
        <v>707</v>
      </c>
      <c r="L619" t="s">
        <v>726</v>
      </c>
      <c r="M619" t="s">
        <v>732</v>
      </c>
      <c r="N619">
        <f t="shared" si="84"/>
        <v>7.7441576352589008E-3</v>
      </c>
      <c r="O619" t="s">
        <v>1349</v>
      </c>
      <c r="P619" s="4">
        <v>722.87</v>
      </c>
      <c r="Q619" s="4">
        <v>33.659999999999997</v>
      </c>
      <c r="R619" s="4" t="str">
        <f t="shared" si="85"/>
        <v>Loss</v>
      </c>
      <c r="S619">
        <v>0.10199999999999999</v>
      </c>
      <c r="T619" s="4">
        <v>28</v>
      </c>
      <c r="U619">
        <f t="shared" si="86"/>
        <v>846.34703999999988</v>
      </c>
      <c r="V619">
        <f t="shared" si="87"/>
        <v>20240.36</v>
      </c>
      <c r="W619">
        <f t="shared" si="88"/>
        <v>-19394.01296</v>
      </c>
      <c r="X619">
        <f t="shared" si="89"/>
        <v>-22.914965189693348</v>
      </c>
    </row>
    <row r="620" spans="1:24" x14ac:dyDescent="0.25">
      <c r="A620" t="s">
        <v>632</v>
      </c>
      <c r="B620" s="13">
        <v>45849</v>
      </c>
      <c r="C620" s="8">
        <v>45854</v>
      </c>
      <c r="D620" s="8">
        <f t="shared" si="81"/>
        <v>45854</v>
      </c>
      <c r="E620" s="6">
        <f t="shared" si="82"/>
        <v>5</v>
      </c>
      <c r="F620" s="6" t="str">
        <f t="shared" si="83"/>
        <v>Q3-2025</v>
      </c>
      <c r="G620" t="s">
        <v>649</v>
      </c>
      <c r="H620" t="s">
        <v>658</v>
      </c>
      <c r="I620" t="s">
        <v>683</v>
      </c>
      <c r="J620" t="s">
        <v>706</v>
      </c>
      <c r="K620" t="s">
        <v>708</v>
      </c>
      <c r="L620" t="s">
        <v>723</v>
      </c>
      <c r="M620" t="s">
        <v>728</v>
      </c>
      <c r="N620">
        <f t="shared" si="84"/>
        <v>0.23034480980908273</v>
      </c>
      <c r="O620" t="s">
        <v>1350</v>
      </c>
      <c r="P620" s="4">
        <v>930.03</v>
      </c>
      <c r="Q620" s="4">
        <v>1086.68</v>
      </c>
      <c r="R620" s="4" t="str">
        <f t="shared" si="85"/>
        <v>Profit</v>
      </c>
      <c r="S620">
        <v>0.109</v>
      </c>
      <c r="T620" s="4">
        <v>26</v>
      </c>
      <c r="U620">
        <f t="shared" si="86"/>
        <v>25174.028880000002</v>
      </c>
      <c r="V620">
        <f t="shared" si="87"/>
        <v>24180.78</v>
      </c>
      <c r="W620">
        <f t="shared" si="88"/>
        <v>993.24888000000283</v>
      </c>
      <c r="X620">
        <f t="shared" si="89"/>
        <v>3.9455300728168656E-2</v>
      </c>
    </row>
    <row r="621" spans="1:24" x14ac:dyDescent="0.25">
      <c r="A621" t="s">
        <v>633</v>
      </c>
      <c r="B621" s="13">
        <v>45578</v>
      </c>
      <c r="C621" s="8">
        <v>45589</v>
      </c>
      <c r="D621" s="8">
        <f t="shared" si="81"/>
        <v>45589</v>
      </c>
      <c r="E621" s="6">
        <f t="shared" si="82"/>
        <v>11</v>
      </c>
      <c r="F621" s="6" t="str">
        <f t="shared" si="83"/>
        <v>Q4-2024</v>
      </c>
      <c r="G621" t="s">
        <v>649</v>
      </c>
      <c r="H621" t="s">
        <v>657</v>
      </c>
      <c r="I621" t="s">
        <v>690</v>
      </c>
      <c r="J621" t="s">
        <v>702</v>
      </c>
      <c r="K621" t="s">
        <v>710</v>
      </c>
      <c r="L621" t="s">
        <v>721</v>
      </c>
      <c r="M621" t="s">
        <v>727</v>
      </c>
      <c r="N621">
        <f t="shared" si="84"/>
        <v>0.37899267063003933</v>
      </c>
      <c r="O621" t="s">
        <v>1351</v>
      </c>
      <c r="P621" s="4">
        <v>816.7</v>
      </c>
      <c r="Q621" s="4">
        <v>1010.75</v>
      </c>
      <c r="R621" s="4" t="str">
        <f t="shared" si="85"/>
        <v>Profit</v>
      </c>
      <c r="S621">
        <v>4.7E-2</v>
      </c>
      <c r="T621" s="4">
        <v>43</v>
      </c>
      <c r="U621">
        <f t="shared" si="86"/>
        <v>41419.524249999995</v>
      </c>
      <c r="V621">
        <f t="shared" si="87"/>
        <v>35118.1</v>
      </c>
      <c r="W621">
        <f t="shared" si="88"/>
        <v>6301.4242499999964</v>
      </c>
      <c r="X621">
        <f t="shared" si="89"/>
        <v>0.15213656757537472</v>
      </c>
    </row>
    <row r="622" spans="1:24" x14ac:dyDescent="0.25">
      <c r="A622" t="s">
        <v>634</v>
      </c>
      <c r="B622" s="13">
        <v>45177</v>
      </c>
      <c r="C622" s="8">
        <v>45183</v>
      </c>
      <c r="D622" s="8">
        <f t="shared" si="81"/>
        <v>45183</v>
      </c>
      <c r="E622" s="6">
        <f t="shared" si="82"/>
        <v>6</v>
      </c>
      <c r="F622" s="6" t="str">
        <f t="shared" si="83"/>
        <v>Q3-2023</v>
      </c>
      <c r="G622" t="s">
        <v>646</v>
      </c>
      <c r="H622" t="s">
        <v>650</v>
      </c>
      <c r="I622" t="s">
        <v>678</v>
      </c>
      <c r="J622" t="s">
        <v>702</v>
      </c>
      <c r="K622" t="s">
        <v>711</v>
      </c>
      <c r="L622" t="s">
        <v>714</v>
      </c>
      <c r="M622" t="s">
        <v>733</v>
      </c>
      <c r="N622">
        <f t="shared" si="84"/>
        <v>9.4315303439941305E-3</v>
      </c>
      <c r="O622" t="s">
        <v>1352</v>
      </c>
      <c r="P622" s="4">
        <v>251.03</v>
      </c>
      <c r="Q622" s="4">
        <v>411.48</v>
      </c>
      <c r="R622" s="4" t="str">
        <f t="shared" si="85"/>
        <v>Profit</v>
      </c>
      <c r="S622">
        <v>0.16500000000000001</v>
      </c>
      <c r="T622" s="4">
        <v>3</v>
      </c>
      <c r="U622">
        <f t="shared" si="86"/>
        <v>1030.7574</v>
      </c>
      <c r="V622">
        <f t="shared" si="87"/>
        <v>753.09</v>
      </c>
      <c r="W622">
        <f t="shared" si="88"/>
        <v>277.66739999999993</v>
      </c>
      <c r="X622">
        <f t="shared" si="89"/>
        <v>0.26938191275658069</v>
      </c>
    </row>
    <row r="623" spans="1:24" x14ac:dyDescent="0.25">
      <c r="A623" t="s">
        <v>635</v>
      </c>
      <c r="B623" s="13">
        <v>45764</v>
      </c>
      <c r="C623" s="8">
        <v>45780</v>
      </c>
      <c r="D623" s="8">
        <f t="shared" si="81"/>
        <v>45780</v>
      </c>
      <c r="E623" s="6">
        <f t="shared" si="82"/>
        <v>16</v>
      </c>
      <c r="F623" s="6" t="str">
        <f t="shared" si="83"/>
        <v>Q2-2025</v>
      </c>
      <c r="G623" t="s">
        <v>648</v>
      </c>
      <c r="H623" t="s">
        <v>655</v>
      </c>
      <c r="I623" t="s">
        <v>692</v>
      </c>
      <c r="J623" t="s">
        <v>704</v>
      </c>
      <c r="K623" t="s">
        <v>709</v>
      </c>
      <c r="L623" t="s">
        <v>713</v>
      </c>
      <c r="M623" t="s">
        <v>729</v>
      </c>
      <c r="N623">
        <f t="shared" si="84"/>
        <v>2.1550412377440577E-2</v>
      </c>
      <c r="O623" t="s">
        <v>1353</v>
      </c>
      <c r="P623" s="4">
        <v>168.68</v>
      </c>
      <c r="Q623" s="4">
        <v>413.34</v>
      </c>
      <c r="R623" s="4" t="str">
        <f t="shared" si="85"/>
        <v>Profit</v>
      </c>
      <c r="S623">
        <v>0.186</v>
      </c>
      <c r="T623" s="4">
        <v>7</v>
      </c>
      <c r="U623">
        <f t="shared" si="86"/>
        <v>2355.2113199999999</v>
      </c>
      <c r="V623">
        <f t="shared" si="87"/>
        <v>1180.76</v>
      </c>
      <c r="W623">
        <f t="shared" si="88"/>
        <v>1174.4513199999999</v>
      </c>
      <c r="X623">
        <f t="shared" si="89"/>
        <v>0.49866069767361682</v>
      </c>
    </row>
    <row r="624" spans="1:24" x14ac:dyDescent="0.25">
      <c r="A624" t="s">
        <v>636</v>
      </c>
      <c r="B624" s="13">
        <v>45501</v>
      </c>
      <c r="C624" s="8">
        <v>45527</v>
      </c>
      <c r="D624" s="8">
        <f t="shared" si="81"/>
        <v>45527</v>
      </c>
      <c r="E624" s="6">
        <f t="shared" si="82"/>
        <v>26</v>
      </c>
      <c r="F624" s="6" t="str">
        <f t="shared" si="83"/>
        <v>Q3-2024</v>
      </c>
      <c r="G624" t="s">
        <v>647</v>
      </c>
      <c r="H624" t="s">
        <v>654</v>
      </c>
      <c r="I624" t="s">
        <v>696</v>
      </c>
      <c r="J624" t="s">
        <v>701</v>
      </c>
      <c r="K624" t="s">
        <v>707</v>
      </c>
      <c r="L624" t="s">
        <v>713</v>
      </c>
      <c r="M624" t="s">
        <v>729</v>
      </c>
      <c r="N624">
        <f t="shared" si="84"/>
        <v>0.27660738987613109</v>
      </c>
      <c r="O624" t="s">
        <v>1354</v>
      </c>
      <c r="P624" s="4">
        <v>1339.24</v>
      </c>
      <c r="Q624" s="4">
        <v>1558.89</v>
      </c>
      <c r="R624" s="4" t="str">
        <f t="shared" si="85"/>
        <v>Profit</v>
      </c>
      <c r="S624">
        <v>0.192</v>
      </c>
      <c r="T624" s="4">
        <v>24</v>
      </c>
      <c r="U624">
        <f t="shared" si="86"/>
        <v>30229.994880000002</v>
      </c>
      <c r="V624">
        <f t="shared" si="87"/>
        <v>32141.760000000002</v>
      </c>
      <c r="W624">
        <f t="shared" si="88"/>
        <v>-1911.76512</v>
      </c>
      <c r="X624">
        <f t="shared" si="89"/>
        <v>-6.3240669659021781E-2</v>
      </c>
    </row>
    <row r="625" spans="1:24" x14ac:dyDescent="0.25">
      <c r="A625" t="s">
        <v>637</v>
      </c>
      <c r="B625" s="13">
        <v>45857</v>
      </c>
      <c r="C625" s="8">
        <v>45869</v>
      </c>
      <c r="D625" s="8">
        <f t="shared" si="81"/>
        <v>45869</v>
      </c>
      <c r="E625" s="6">
        <f t="shared" si="82"/>
        <v>12</v>
      </c>
      <c r="F625" s="6" t="str">
        <f t="shared" si="83"/>
        <v>Q3-2025</v>
      </c>
      <c r="G625" t="s">
        <v>646</v>
      </c>
      <c r="H625" t="s">
        <v>650</v>
      </c>
      <c r="I625" t="s">
        <v>664</v>
      </c>
      <c r="J625" t="s">
        <v>705</v>
      </c>
      <c r="K625" t="s">
        <v>709</v>
      </c>
      <c r="L625" t="s">
        <v>719</v>
      </c>
      <c r="M625" t="s">
        <v>733</v>
      </c>
      <c r="N625">
        <f t="shared" si="84"/>
        <v>9.7850085520511443E-2</v>
      </c>
      <c r="O625" t="s">
        <v>1355</v>
      </c>
      <c r="P625" s="4">
        <v>619.64</v>
      </c>
      <c r="Q625" s="4">
        <v>861.16</v>
      </c>
      <c r="R625" s="4" t="str">
        <f t="shared" si="85"/>
        <v>Profit</v>
      </c>
      <c r="S625">
        <v>0.113</v>
      </c>
      <c r="T625" s="4">
        <v>14</v>
      </c>
      <c r="U625">
        <f t="shared" si="86"/>
        <v>10693.88488</v>
      </c>
      <c r="V625">
        <f t="shared" si="87"/>
        <v>8674.9599999999991</v>
      </c>
      <c r="W625">
        <f t="shared" si="88"/>
        <v>2018.9248800000005</v>
      </c>
      <c r="X625">
        <f t="shared" si="89"/>
        <v>0.18879246435276761</v>
      </c>
    </row>
    <row r="626" spans="1:24" x14ac:dyDescent="0.25">
      <c r="A626" t="s">
        <v>638</v>
      </c>
      <c r="B626" s="13">
        <v>45141</v>
      </c>
      <c r="C626" s="8">
        <v>45140</v>
      </c>
      <c r="D626" s="8">
        <f t="shared" si="81"/>
        <v>45148</v>
      </c>
      <c r="E626" s="6">
        <f t="shared" si="82"/>
        <v>7</v>
      </c>
      <c r="F626" s="6" t="str">
        <f t="shared" si="83"/>
        <v>Q3-2023</v>
      </c>
      <c r="G626" t="s">
        <v>647</v>
      </c>
      <c r="H626" t="s">
        <v>659</v>
      </c>
      <c r="I626" t="s">
        <v>685</v>
      </c>
      <c r="J626" t="s">
        <v>703</v>
      </c>
      <c r="K626" t="s">
        <v>711</v>
      </c>
      <c r="L626" t="s">
        <v>713</v>
      </c>
      <c r="M626" t="s">
        <v>729</v>
      </c>
      <c r="N626">
        <f t="shared" si="84"/>
        <v>0.45833200320849288</v>
      </c>
      <c r="O626" t="s">
        <v>1356</v>
      </c>
      <c r="P626" s="4">
        <v>1021.97</v>
      </c>
      <c r="Q626" s="4">
        <v>2296.25</v>
      </c>
      <c r="R626" s="4" t="str">
        <f t="shared" si="85"/>
        <v>Profit</v>
      </c>
      <c r="S626">
        <v>0.161</v>
      </c>
      <c r="T626" s="4">
        <v>26</v>
      </c>
      <c r="U626">
        <f t="shared" si="86"/>
        <v>50090.397499999999</v>
      </c>
      <c r="V626">
        <f t="shared" si="87"/>
        <v>26571.22</v>
      </c>
      <c r="W626">
        <f t="shared" si="88"/>
        <v>23519.177499999998</v>
      </c>
      <c r="X626">
        <f t="shared" si="89"/>
        <v>0.46953465482081669</v>
      </c>
    </row>
    <row r="627" spans="1:24" x14ac:dyDescent="0.25">
      <c r="A627" t="s">
        <v>639</v>
      </c>
      <c r="B627" s="13">
        <v>45249</v>
      </c>
      <c r="C627" s="8">
        <v>45272</v>
      </c>
      <c r="D627" s="8">
        <f t="shared" si="81"/>
        <v>45272</v>
      </c>
      <c r="E627" s="6">
        <f t="shared" si="82"/>
        <v>23</v>
      </c>
      <c r="F627" s="6" t="str">
        <f t="shared" si="83"/>
        <v>Q4-2023</v>
      </c>
      <c r="G627" t="s">
        <v>647</v>
      </c>
      <c r="H627" t="s">
        <v>654</v>
      </c>
      <c r="I627" t="s">
        <v>680</v>
      </c>
      <c r="J627" t="s">
        <v>705</v>
      </c>
      <c r="K627" t="s">
        <v>711</v>
      </c>
      <c r="L627" t="s">
        <v>712</v>
      </c>
      <c r="M627" t="s">
        <v>729</v>
      </c>
      <c r="N627">
        <f t="shared" si="84"/>
        <v>0.29924831266145552</v>
      </c>
      <c r="O627" t="s">
        <v>1357</v>
      </c>
      <c r="P627" s="4">
        <v>1349.04</v>
      </c>
      <c r="Q627" s="4">
        <v>2636.6</v>
      </c>
      <c r="R627" s="4" t="str">
        <f t="shared" si="85"/>
        <v>Profit</v>
      </c>
      <c r="S627">
        <v>0.114</v>
      </c>
      <c r="T627" s="4">
        <v>14</v>
      </c>
      <c r="U627">
        <f t="shared" si="86"/>
        <v>32704.386400000003</v>
      </c>
      <c r="V627">
        <f t="shared" si="87"/>
        <v>18886.559999999998</v>
      </c>
      <c r="W627">
        <f t="shared" si="88"/>
        <v>13817.826400000005</v>
      </c>
      <c r="X627">
        <f t="shared" si="89"/>
        <v>0.42250682312143928</v>
      </c>
    </row>
    <row r="628" spans="1:24" x14ac:dyDescent="0.25">
      <c r="A628" t="s">
        <v>640</v>
      </c>
      <c r="B628" s="13">
        <v>45282</v>
      </c>
      <c r="C628" s="8">
        <v>45307</v>
      </c>
      <c r="D628" s="8">
        <f t="shared" si="81"/>
        <v>45307</v>
      </c>
      <c r="E628" s="6">
        <f t="shared" si="82"/>
        <v>25</v>
      </c>
      <c r="F628" s="6" t="str">
        <f t="shared" si="83"/>
        <v>Q4-2023</v>
      </c>
      <c r="G628" t="s">
        <v>647</v>
      </c>
      <c r="H628" t="s">
        <v>654</v>
      </c>
      <c r="I628" t="s">
        <v>696</v>
      </c>
      <c r="J628" t="s">
        <v>705</v>
      </c>
      <c r="K628" t="s">
        <v>707</v>
      </c>
      <c r="L628" t="s">
        <v>720</v>
      </c>
      <c r="M628" t="s">
        <v>727</v>
      </c>
      <c r="N628">
        <f t="shared" si="84"/>
        <v>0.12795269594562769</v>
      </c>
      <c r="O628" t="s">
        <v>1358</v>
      </c>
      <c r="P628" s="4">
        <v>1346.81</v>
      </c>
      <c r="Q628" s="4">
        <v>978.09</v>
      </c>
      <c r="R628" s="4" t="str">
        <f t="shared" si="85"/>
        <v>Loss</v>
      </c>
      <c r="S628">
        <v>0.159</v>
      </c>
      <c r="T628" s="4">
        <v>17</v>
      </c>
      <c r="U628">
        <f t="shared" si="86"/>
        <v>13983.752729999998</v>
      </c>
      <c r="V628">
        <f t="shared" si="87"/>
        <v>22895.77</v>
      </c>
      <c r="W628">
        <f t="shared" si="88"/>
        <v>-8912.0172700000021</v>
      </c>
      <c r="X628">
        <f t="shared" si="89"/>
        <v>-0.6373122753293996</v>
      </c>
    </row>
    <row r="629" spans="1:24" x14ac:dyDescent="0.25">
      <c r="A629" t="s">
        <v>641</v>
      </c>
      <c r="B629" s="13">
        <v>45141</v>
      </c>
      <c r="C629" s="8">
        <v>45168</v>
      </c>
      <c r="D629" s="8">
        <f t="shared" si="81"/>
        <v>45168</v>
      </c>
      <c r="E629" s="6">
        <f t="shared" si="82"/>
        <v>27</v>
      </c>
      <c r="F629" s="6" t="str">
        <f t="shared" si="83"/>
        <v>Q3-2023</v>
      </c>
      <c r="G629" t="s">
        <v>647</v>
      </c>
      <c r="H629" t="s">
        <v>659</v>
      </c>
      <c r="I629" t="s">
        <v>685</v>
      </c>
      <c r="J629" t="s">
        <v>704</v>
      </c>
      <c r="K629" t="s">
        <v>710</v>
      </c>
      <c r="L629" t="s">
        <v>725</v>
      </c>
      <c r="M629" t="s">
        <v>732</v>
      </c>
      <c r="N629">
        <f t="shared" si="84"/>
        <v>4.6633278684733472E-2</v>
      </c>
      <c r="O629" t="s">
        <v>1359</v>
      </c>
      <c r="P629" s="4">
        <v>226.04</v>
      </c>
      <c r="Q629" s="4">
        <v>545.72</v>
      </c>
      <c r="R629" s="4" t="str">
        <f t="shared" si="85"/>
        <v>Profit</v>
      </c>
      <c r="S629">
        <v>0.151</v>
      </c>
      <c r="T629" s="4">
        <v>11</v>
      </c>
      <c r="U629">
        <f t="shared" si="86"/>
        <v>5096.4790800000001</v>
      </c>
      <c r="V629">
        <f t="shared" si="87"/>
        <v>2486.44</v>
      </c>
      <c r="W629">
        <f t="shared" si="88"/>
        <v>2610.03908</v>
      </c>
      <c r="X629">
        <f t="shared" si="89"/>
        <v>0.51212592831834014</v>
      </c>
    </row>
    <row r="630" spans="1:24" x14ac:dyDescent="0.25">
      <c r="A630" t="s">
        <v>642</v>
      </c>
      <c r="B630" s="13">
        <v>45100</v>
      </c>
      <c r="C630" s="8">
        <v>45125</v>
      </c>
      <c r="D630" s="8">
        <f t="shared" si="81"/>
        <v>45125</v>
      </c>
      <c r="E630" s="6">
        <f t="shared" si="82"/>
        <v>25</v>
      </c>
      <c r="F630" s="6" t="str">
        <f t="shared" si="83"/>
        <v>Q2-2023</v>
      </c>
      <c r="G630" t="s">
        <v>648</v>
      </c>
      <c r="H630" t="s">
        <v>653</v>
      </c>
      <c r="I630" t="s">
        <v>688</v>
      </c>
      <c r="J630" t="s">
        <v>706</v>
      </c>
      <c r="K630" t="s">
        <v>708</v>
      </c>
      <c r="L630" t="s">
        <v>725</v>
      </c>
      <c r="M630" t="s">
        <v>730</v>
      </c>
      <c r="N630">
        <f t="shared" si="84"/>
        <v>0.30211260051142846</v>
      </c>
      <c r="O630" t="s">
        <v>1360</v>
      </c>
      <c r="P630" s="4">
        <v>807.02</v>
      </c>
      <c r="Q630" s="4">
        <v>1435.54</v>
      </c>
      <c r="R630" s="4" t="str">
        <f t="shared" si="85"/>
        <v>Profit</v>
      </c>
      <c r="S630">
        <v>0</v>
      </c>
      <c r="T630" s="4">
        <v>23</v>
      </c>
      <c r="U630">
        <f t="shared" si="86"/>
        <v>33017.42</v>
      </c>
      <c r="V630">
        <f t="shared" si="87"/>
        <v>18561.46</v>
      </c>
      <c r="W630">
        <f t="shared" si="88"/>
        <v>14455.96</v>
      </c>
      <c r="X630">
        <f t="shared" si="89"/>
        <v>0.43782827368098415</v>
      </c>
    </row>
    <row r="631" spans="1:24" x14ac:dyDescent="0.25">
      <c r="A631" t="s">
        <v>643</v>
      </c>
      <c r="B631" s="13">
        <v>45267</v>
      </c>
      <c r="C631" s="8">
        <v>45293</v>
      </c>
      <c r="D631" s="8">
        <f t="shared" si="81"/>
        <v>45293</v>
      </c>
      <c r="E631" s="6">
        <f t="shared" si="82"/>
        <v>26</v>
      </c>
      <c r="F631" s="6" t="str">
        <f t="shared" si="83"/>
        <v>Q4-2023</v>
      </c>
      <c r="G631" t="s">
        <v>649</v>
      </c>
      <c r="H631" t="s">
        <v>656</v>
      </c>
      <c r="I631" t="s">
        <v>698</v>
      </c>
      <c r="J631" t="s">
        <v>706</v>
      </c>
      <c r="K631" t="s">
        <v>710</v>
      </c>
      <c r="L631" t="s">
        <v>718</v>
      </c>
      <c r="M631" t="s">
        <v>727</v>
      </c>
      <c r="N631">
        <f t="shared" si="84"/>
        <v>0.3703594528641822</v>
      </c>
      <c r="O631" t="s">
        <v>1361</v>
      </c>
      <c r="P631" s="4">
        <v>1071.99</v>
      </c>
      <c r="Q631" s="4">
        <v>2397.3000000000002</v>
      </c>
      <c r="R631" s="4" t="str">
        <f t="shared" si="85"/>
        <v>Profit</v>
      </c>
      <c r="S631">
        <v>6.2E-2</v>
      </c>
      <c r="T631" s="4">
        <v>18</v>
      </c>
      <c r="U631">
        <f t="shared" si="86"/>
        <v>40476.013200000001</v>
      </c>
      <c r="V631">
        <f t="shared" si="87"/>
        <v>19295.82</v>
      </c>
      <c r="W631">
        <f t="shared" si="88"/>
        <v>21180.193200000002</v>
      </c>
      <c r="X631">
        <f t="shared" si="89"/>
        <v>0.52327765324476183</v>
      </c>
    </row>
    <row r="632" spans="1:24" x14ac:dyDescent="0.25">
      <c r="A632" t="s">
        <v>644</v>
      </c>
      <c r="B632" s="13">
        <v>45249</v>
      </c>
      <c r="C632" s="8">
        <v>45279</v>
      </c>
      <c r="D632" s="8">
        <f t="shared" si="81"/>
        <v>45279</v>
      </c>
      <c r="E632" s="6">
        <f t="shared" si="82"/>
        <v>30</v>
      </c>
      <c r="F632" s="6" t="str">
        <f t="shared" si="83"/>
        <v>Q4-2023</v>
      </c>
      <c r="G632" t="s">
        <v>647</v>
      </c>
      <c r="H632" t="s">
        <v>652</v>
      </c>
      <c r="I632" t="s">
        <v>694</v>
      </c>
      <c r="J632" t="s">
        <v>704</v>
      </c>
      <c r="K632" t="s">
        <v>707</v>
      </c>
      <c r="L632" t="s">
        <v>1422</v>
      </c>
      <c r="M632" t="s">
        <v>730</v>
      </c>
      <c r="N632">
        <f t="shared" si="84"/>
        <v>0.11684113776737845</v>
      </c>
      <c r="O632" t="s">
        <v>1362</v>
      </c>
      <c r="P632" s="4">
        <v>807.11</v>
      </c>
      <c r="Q632" s="4">
        <v>1853.86</v>
      </c>
      <c r="R632" s="4" t="str">
        <f t="shared" si="85"/>
        <v>Profit</v>
      </c>
      <c r="S632">
        <v>0.13900000000000001</v>
      </c>
      <c r="T632" s="4">
        <v>8</v>
      </c>
      <c r="U632">
        <f t="shared" si="86"/>
        <v>12769.38768</v>
      </c>
      <c r="V632">
        <f t="shared" si="87"/>
        <v>6456.88</v>
      </c>
      <c r="W632">
        <f t="shared" si="88"/>
        <v>6312.5076799999997</v>
      </c>
      <c r="X632">
        <f t="shared" si="89"/>
        <v>0.49434693645388639</v>
      </c>
    </row>
    <row r="633" spans="1:24" x14ac:dyDescent="0.25">
      <c r="A633" t="s">
        <v>645</v>
      </c>
      <c r="B633" s="13">
        <v>45716</v>
      </c>
      <c r="C633" s="8">
        <v>45726</v>
      </c>
      <c r="D633" s="8">
        <f t="shared" si="81"/>
        <v>45726</v>
      </c>
      <c r="E633" s="6">
        <f t="shared" si="82"/>
        <v>10</v>
      </c>
      <c r="F633" s="6" t="str">
        <f t="shared" si="83"/>
        <v>Q1-2025</v>
      </c>
      <c r="G633" t="s">
        <v>647</v>
      </c>
      <c r="H633" t="s">
        <v>652</v>
      </c>
      <c r="I633" t="s">
        <v>666</v>
      </c>
      <c r="J633" t="s">
        <v>702</v>
      </c>
      <c r="K633" t="s">
        <v>710</v>
      </c>
      <c r="L633" t="s">
        <v>725</v>
      </c>
      <c r="M633" t="s">
        <v>731</v>
      </c>
      <c r="N633">
        <f t="shared" si="84"/>
        <v>2.4355565711585915E-3</v>
      </c>
      <c r="O633" t="s">
        <v>1363</v>
      </c>
      <c r="P633" s="4">
        <v>51.86</v>
      </c>
      <c r="Q633" s="4">
        <v>45.98</v>
      </c>
      <c r="R633" s="4" t="str">
        <f t="shared" si="85"/>
        <v>Loss</v>
      </c>
      <c r="S633">
        <v>0.17299999999999999</v>
      </c>
      <c r="T633" s="4">
        <v>7</v>
      </c>
      <c r="U633">
        <f t="shared" si="86"/>
        <v>266.17821999999995</v>
      </c>
      <c r="V633">
        <f t="shared" si="87"/>
        <v>363.02</v>
      </c>
      <c r="W633">
        <f t="shared" si="88"/>
        <v>-96.841780000000028</v>
      </c>
      <c r="X633">
        <f t="shared" si="89"/>
        <v>-0.3638230806412337</v>
      </c>
    </row>
    <row r="634" spans="1:24" x14ac:dyDescent="0.25">
      <c r="U634" s="4">
        <f>SUM(U2:U633)</f>
        <v>10928845.716499997</v>
      </c>
    </row>
  </sheetData>
  <autoFilter ref="A1:X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33"/>
  <sheetViews>
    <sheetView workbookViewId="0">
      <selection activeCell="C8" sqref="C8"/>
    </sheetView>
  </sheetViews>
  <sheetFormatPr defaultRowHeight="15" x14ac:dyDescent="0.25"/>
  <cols>
    <col min="1" max="1" width="17.42578125" bestFit="1" customWidth="1"/>
    <col min="3" max="3" width="34.5703125" bestFit="1" customWidth="1"/>
    <col min="4" max="4" width="10.7109375" bestFit="1" customWidth="1"/>
    <col min="5" max="5" width="29.7109375" bestFit="1" customWidth="1"/>
  </cols>
  <sheetData>
    <row r="1" spans="1:5" x14ac:dyDescent="0.25">
      <c r="A1" s="24" t="s">
        <v>1460</v>
      </c>
      <c r="B1" s="24" t="s">
        <v>1461</v>
      </c>
      <c r="C1" s="24" t="s">
        <v>1462</v>
      </c>
      <c r="D1" s="24" t="s">
        <v>1463</v>
      </c>
      <c r="E1" s="24"/>
    </row>
    <row r="2" spans="1:5" x14ac:dyDescent="0.25">
      <c r="A2" t="str">
        <f>TEXT(B2,"MMM-YYY")</f>
        <v>Q1-2024</v>
      </c>
      <c r="B2" t="str">
        <f>"Q"&amp;ROUNDUP(MONTH([1]StagingTable!B2)/3,0)&amp;"-"&amp;YEAR([1]StagingTable!D2)</f>
        <v>Q1-2024</v>
      </c>
      <c r="C2" t="str">
        <f>[1]StagingTable!F2&amp;"-"&amp;[1]StagingTable!G2&amp;"-"&amp;[1]StagingTable!H2</f>
        <v>Africa-Kenya-Kisumu</v>
      </c>
      <c r="D2" t="str">
        <f>IF([1]StagingTable!T2&lt;=_xlfn.PERCENTILE.INC([1]StagingTable!T2:T633,0.33),"LOW",IF([1]StagingTable!T2&lt;=_xlfn.PERCENTILE.INC([1]StagingTable!T2:T633,0.67),"MEDIUM","HIGH"))</f>
        <v>LOW</v>
      </c>
    </row>
    <row r="3" spans="1:5" x14ac:dyDescent="0.25">
      <c r="A3" t="str">
        <f>TEXT([1]StagingTable!B3,"MMM-YYY")</f>
        <v>Oct-2024</v>
      </c>
      <c r="B3" t="str">
        <f>"Q"&amp;ROUNDUP(MONTH([1]StagingTable!B3)/3,0)&amp;"-"&amp;YEAR([1]StagingTable!D2)</f>
        <v>Q4-2024</v>
      </c>
      <c r="C3" t="str">
        <f>[1]StagingTable!F3&amp;"-"&amp;[1]StagingTable!G3&amp;"-"&amp;[1]StagingTable!H3</f>
        <v>Africa-Nigeria-Port Harcourt</v>
      </c>
      <c r="D3" t="str">
        <f>IF([1]StagingTable!T3&lt;=_xlfn.PERCENTILE.INC([1]StagingTable!T3:T634,0.33),"LOW",IF([1]StagingTable!T3&lt;=_xlfn.PERCENTILE.INC([1]StagingTable!T3:T634,0.67),"MEDIUM","HIGH"))</f>
        <v>LOW</v>
      </c>
    </row>
    <row r="4" spans="1:5" x14ac:dyDescent="0.25">
      <c r="A4" t="str">
        <f>TEXT([1]StagingTable!B4,"MMM-YYY")</f>
        <v>Feb-2023</v>
      </c>
      <c r="B4" t="str">
        <f>"Q"&amp;ROUNDUP(MONTH([1]StagingTable!B4)/3,0)&amp;"-"&amp;YEAR([1]StagingTable!D3)</f>
        <v>Q1-2024</v>
      </c>
      <c r="C4" t="str">
        <f>[1]StagingTable!F4&amp;"-"&amp;[1]StagingTable!G4&amp;"-"&amp;[1]StagingTable!H4</f>
        <v>Africa-Kenya-Nairobi</v>
      </c>
      <c r="D4" t="str">
        <f>IF([1]StagingTable!T4&lt;=_xlfn.PERCENTILE.INC([1]StagingTable!T4:T635,0.33),"LOW",IF([1]StagingTable!T4&lt;=_xlfn.PERCENTILE.INC([1]StagingTable!T4:T635,0.67),"MEDIUM","HIGH"))</f>
        <v>HIGH</v>
      </c>
    </row>
    <row r="5" spans="1:5" x14ac:dyDescent="0.25">
      <c r="A5" t="str">
        <f>TEXT([1]StagingTable!B5,"MMM-YYY")</f>
        <v>Mar-2025</v>
      </c>
      <c r="B5" t="str">
        <f>"Q"&amp;ROUNDUP(MONTH([1]StagingTable!B5)/3,0)&amp;"-"&amp;YEAR([1]StagingTable!D4)</f>
        <v>Q1-2023</v>
      </c>
      <c r="C5" t="str">
        <f>[1]StagingTable!F5&amp;"-"&amp;[1]StagingTable!G5&amp;"-"&amp;[1]StagingTable!H5</f>
        <v>Africa-Nigeria-Lagos</v>
      </c>
      <c r="D5" t="str">
        <f>IF([1]StagingTable!T5&lt;=_xlfn.PERCENTILE.INC([1]StagingTable!T5:T636,0.33),"LOW",IF([1]StagingTable!T5&lt;=_xlfn.PERCENTILE.INC([1]StagingTable!T5:T636,0.67),"MEDIUM","HIGH"))</f>
        <v>LOW</v>
      </c>
    </row>
    <row r="6" spans="1:5" x14ac:dyDescent="0.25">
      <c r="A6" t="str">
        <f>TEXT([1]StagingTable!B6,"MMM-YYY")</f>
        <v>Dec-2023</v>
      </c>
      <c r="B6" t="str">
        <f>"Q"&amp;ROUNDUP(MONTH([1]StagingTable!B6)/3,0)&amp;"-"&amp;YEAR([1]StagingTable!D5)</f>
        <v>Q4-2025</v>
      </c>
      <c r="C6" t="str">
        <f>[1]StagingTable!F6&amp;"-"&amp;[1]StagingTable!G6&amp;"-"&amp;[1]StagingTable!H6</f>
        <v>Asia-Japan-Osaka</v>
      </c>
      <c r="D6" t="str">
        <f>IF([1]StagingTable!T6&lt;=_xlfn.PERCENTILE.INC([1]StagingTable!T6:T637,0.33),"LOW",IF([1]StagingTable!T6&lt;=_xlfn.PERCENTILE.INC([1]StagingTable!T6:T637,0.67),"MEDIUM","HIGH"))</f>
        <v>LOW</v>
      </c>
    </row>
    <row r="7" spans="1:5" x14ac:dyDescent="0.25">
      <c r="A7" t="str">
        <f>TEXT([1]StagingTable!B7,"MMM-YYY")</f>
        <v>Jan-2023</v>
      </c>
      <c r="B7" t="str">
        <f>"Q"&amp;ROUNDUP(MONTH([1]StagingTable!B7)/3,0)&amp;"-"&amp;YEAR([1]StagingTable!D6)</f>
        <v>Q1-2023</v>
      </c>
      <c r="C7" t="str">
        <f>[1]StagingTable!F7&amp;"-"&amp;[1]StagingTable!G7&amp;"-"&amp;[1]StagingTable!H7</f>
        <v>Americas-Canada-Toronto</v>
      </c>
      <c r="D7" t="str">
        <f>IF([1]StagingTable!T7&lt;=_xlfn.PERCENTILE.INC([1]StagingTable!T7:T638,0.33),"LOW",IF([1]StagingTable!T7&lt;=_xlfn.PERCENTILE.INC([1]StagingTable!T7:T638,0.67),"MEDIUM","HIGH"))</f>
        <v>LOW</v>
      </c>
    </row>
    <row r="8" spans="1:5" x14ac:dyDescent="0.25">
      <c r="A8" t="str">
        <f>TEXT([1]StagingTable!B8,"MMM-YYY")</f>
        <v>Dec-2024</v>
      </c>
      <c r="B8" t="str">
        <f>"Q"&amp;ROUNDUP(MONTH([1]StagingTable!B8)/3,0)&amp;"-"&amp;YEAR([1]StagingTable!D7)</f>
        <v>Q4-2023</v>
      </c>
      <c r="C8" t="str">
        <f>[1]StagingTable!F8&amp;"-"&amp;[1]StagingTable!G8&amp;"-"&amp;[1]StagingTable!H8</f>
        <v>Asia-India-Bengaluru</v>
      </c>
      <c r="D8" t="str">
        <f>IF([1]StagingTable!T8&lt;=_xlfn.PERCENTILE.INC([1]StagingTable!T8:T639,0.33),"LOW",IF([1]StagingTable!T8&lt;=_xlfn.PERCENTILE.INC([1]StagingTable!T8:T639,0.67),"MEDIUM","HIGH"))</f>
        <v>MEDIUM</v>
      </c>
    </row>
    <row r="9" spans="1:5" x14ac:dyDescent="0.25">
      <c r="A9" t="str">
        <f>TEXT([1]StagingTable!B9,"MMM-YYY")</f>
        <v>Jan-2023</v>
      </c>
      <c r="B9" t="str">
        <f>"Q"&amp;ROUNDUP(MONTH([1]StagingTable!B9)/3,0)&amp;"-"&amp;YEAR([1]StagingTable!D8)</f>
        <v>Q1-2025</v>
      </c>
      <c r="C9" t="str">
        <f>[1]StagingTable!F9&amp;"-"&amp;[1]StagingTable!G9&amp;"-"&amp;[1]StagingTable!H9</f>
        <v>Africa-Nigeria-Abuja</v>
      </c>
      <c r="D9" t="str">
        <f>IF([1]StagingTable!T9&lt;=_xlfn.PERCENTILE.INC([1]StagingTable!T9:T640,0.33),"LOW",IF([1]StagingTable!T9&lt;=_xlfn.PERCENTILE.INC([1]StagingTable!T9:T640,0.67),"MEDIUM","HIGH"))</f>
        <v>LOW</v>
      </c>
    </row>
    <row r="10" spans="1:5" x14ac:dyDescent="0.25">
      <c r="A10" t="str">
        <f>TEXT([1]StagingTable!B10,"MMM-YYY")</f>
        <v>May-2024</v>
      </c>
      <c r="B10" t="str">
        <f>"Q"&amp;ROUNDUP(MONTH([1]StagingTable!B10)/3,0)&amp;"-"&amp;YEAR([1]StagingTable!D9)</f>
        <v>Q2-2023</v>
      </c>
      <c r="C10" t="str">
        <f>[1]StagingTable!F10&amp;"-"&amp;[1]StagingTable!G10&amp;"-"&amp;[1]StagingTable!H10</f>
        <v>Africa-Nigeria-Abuja</v>
      </c>
      <c r="D10" t="str">
        <f>IF([1]StagingTable!T10&lt;=_xlfn.PERCENTILE.INC([1]StagingTable!T10:T641,0.33),"LOW",IF([1]StagingTable!T10&lt;=_xlfn.PERCENTILE.INC([1]StagingTable!T10:T641,0.67),"MEDIUM","HIGH"))</f>
        <v>HIGH</v>
      </c>
    </row>
    <row r="11" spans="1:5" x14ac:dyDescent="0.25">
      <c r="A11" t="str">
        <f>TEXT([1]StagingTable!B11,"MMM-YYY")</f>
        <v>May-2025</v>
      </c>
      <c r="B11" t="str">
        <f>"Q"&amp;ROUNDUP(MONTH([1]StagingTable!B11)/3,0)&amp;"-"&amp;YEAR([1]StagingTable!D10)</f>
        <v>Q2-2024</v>
      </c>
      <c r="C11" t="str">
        <f>[1]StagingTable!F11&amp;"-"&amp;[1]StagingTable!G11&amp;"-"&amp;[1]StagingTable!H11</f>
        <v>Americas-Brazil-São Paulo</v>
      </c>
      <c r="D11" t="str">
        <f>IF([1]StagingTable!T11&lt;=_xlfn.PERCENTILE.INC([1]StagingTable!T11:T642,0.33),"LOW",IF([1]StagingTable!T11&lt;=_xlfn.PERCENTILE.INC([1]StagingTable!T11:T642,0.67),"MEDIUM","HIGH"))</f>
        <v>HIGH</v>
      </c>
    </row>
    <row r="12" spans="1:5" x14ac:dyDescent="0.25">
      <c r="A12" t="str">
        <f>TEXT([1]StagingTable!B12,"MMM-YYY")</f>
        <v>Jan-2024</v>
      </c>
      <c r="B12" t="str">
        <f>"Q"&amp;ROUNDUP(MONTH([1]StagingTable!B12)/3,0)&amp;"-"&amp;YEAR([1]StagingTable!D11)</f>
        <v>Q1-2025</v>
      </c>
      <c r="C12" t="str">
        <f>[1]StagingTable!F12&amp;"-"&amp;[1]StagingTable!G12&amp;"-"&amp;[1]StagingTable!H12</f>
        <v>Europe-Germany-Berlin</v>
      </c>
      <c r="D12" t="str">
        <f>IF([1]StagingTable!T12&lt;=_xlfn.PERCENTILE.INC([1]StagingTable!T12:T643,0.33),"LOW",IF([1]StagingTable!T12&lt;=_xlfn.PERCENTILE.INC([1]StagingTable!T12:T643,0.67),"MEDIUM","HIGH"))</f>
        <v>LOW</v>
      </c>
    </row>
    <row r="13" spans="1:5" x14ac:dyDescent="0.25">
      <c r="A13" t="str">
        <f>TEXT([1]StagingTable!B13,"MMM-YYY")</f>
        <v>Jan-2025</v>
      </c>
      <c r="B13" t="str">
        <f>"Q"&amp;ROUNDUP(MONTH([1]StagingTable!B13)/3,0)&amp;"-"&amp;YEAR([1]StagingTable!D12)</f>
        <v>Q1-2024</v>
      </c>
      <c r="C13" t="str">
        <f>[1]StagingTable!F13&amp;"-"&amp;[1]StagingTable!G13&amp;"-"&amp;[1]StagingTable!H13</f>
        <v>Asia-Japan-Osaka</v>
      </c>
      <c r="D13" t="str">
        <f>IF([1]StagingTable!T13&lt;=_xlfn.PERCENTILE.INC([1]StagingTable!T13:T644,0.33),"LOW",IF([1]StagingTable!T13&lt;=_xlfn.PERCENTILE.INC([1]StagingTable!T13:T644,0.67),"MEDIUM","HIGH"))</f>
        <v>LOW</v>
      </c>
    </row>
    <row r="14" spans="1:5" x14ac:dyDescent="0.25">
      <c r="A14" t="str">
        <f>TEXT([1]StagingTable!B14,"MMM-YYY")</f>
        <v>Mar-2025</v>
      </c>
      <c r="B14" t="str">
        <f>"Q"&amp;ROUNDUP(MONTH([1]StagingTable!B14)/3,0)&amp;"-"&amp;YEAR([1]StagingTable!D13)</f>
        <v>Q1-2025</v>
      </c>
      <c r="C14" t="str">
        <f>[1]StagingTable!F14&amp;"-"&amp;[1]StagingTable!G14&amp;"-"&amp;[1]StagingTable!H14</f>
        <v>Americas-Brazil-Brasília</v>
      </c>
      <c r="D14" t="str">
        <f>IF([1]StagingTable!T14&lt;=_xlfn.PERCENTILE.INC([1]StagingTable!T14:T645,0.33),"LOW",IF([1]StagingTable!T14&lt;=_xlfn.PERCENTILE.INC([1]StagingTable!T14:T645,0.67),"MEDIUM","HIGH"))</f>
        <v>LOW</v>
      </c>
    </row>
    <row r="15" spans="1:5" x14ac:dyDescent="0.25">
      <c r="A15" t="str">
        <f>TEXT([1]StagingTable!B15,"MMM-YYY")</f>
        <v>Jan-2024</v>
      </c>
      <c r="B15" t="str">
        <f>"Q"&amp;ROUNDUP(MONTH([1]StagingTable!B15)/3,0)&amp;"-"&amp;YEAR([1]StagingTable!D14)</f>
        <v>Q1-2025</v>
      </c>
      <c r="C15" t="str">
        <f>[1]StagingTable!F15&amp;"-"&amp;[1]StagingTable!G15&amp;"-"&amp;[1]StagingTable!H15</f>
        <v>Europe-France-Marseille</v>
      </c>
      <c r="D15" t="str">
        <f>IF([1]StagingTable!T15&lt;=_xlfn.PERCENTILE.INC([1]StagingTable!T15:T646,0.33),"LOW",IF([1]StagingTable!T15&lt;=_xlfn.PERCENTILE.INC([1]StagingTable!T15:T646,0.67),"MEDIUM","HIGH"))</f>
        <v>MEDIUM</v>
      </c>
    </row>
    <row r="16" spans="1:5" x14ac:dyDescent="0.25">
      <c r="A16" t="str">
        <f>TEXT([1]StagingTable!B16,"MMM-YYY")</f>
        <v>Sep-2025</v>
      </c>
      <c r="B16" t="str">
        <f>"Q"&amp;ROUNDUP(MONTH([1]StagingTable!B16)/3,0)&amp;"-"&amp;YEAR([1]StagingTable!D15)</f>
        <v>Q3-2024</v>
      </c>
      <c r="C16" t="str">
        <f>[1]StagingTable!F16&amp;"-"&amp;[1]StagingTable!G16&amp;"-"&amp;[1]StagingTable!H16</f>
        <v>Americas-Brazil-Brasília</v>
      </c>
      <c r="D16" t="str">
        <f>IF([1]StagingTable!T16&lt;=_xlfn.PERCENTILE.INC([1]StagingTable!T16:T647,0.33),"LOW",IF([1]StagingTable!T16&lt;=_xlfn.PERCENTILE.INC([1]StagingTable!T16:T647,0.67),"MEDIUM","HIGH"))</f>
        <v>LOW</v>
      </c>
    </row>
    <row r="17" spans="1:4" x14ac:dyDescent="0.25">
      <c r="A17" t="str">
        <f>TEXT([1]StagingTable!B17,"MMM-YYY")</f>
        <v>Apr-2023</v>
      </c>
      <c r="B17" t="str">
        <f>"Q"&amp;ROUNDUP(MONTH([1]StagingTable!B17)/3,0)&amp;"-"&amp;YEAR([1]StagingTable!D16)</f>
        <v>Q2-2025</v>
      </c>
      <c r="C17" t="str">
        <f>[1]StagingTable!F17&amp;"-"&amp;[1]StagingTable!G17&amp;"-"&amp;[1]StagingTable!H17</f>
        <v>Africa-Kenya-Nairobi</v>
      </c>
      <c r="D17" t="str">
        <f>IF([1]StagingTable!T17&lt;=_xlfn.PERCENTILE.INC([1]StagingTable!T17:T648,0.33),"LOW",IF([1]StagingTable!T17&lt;=_xlfn.PERCENTILE.INC([1]StagingTable!T17:T648,0.67),"MEDIUM","HIGH"))</f>
        <v>MEDIUM</v>
      </c>
    </row>
    <row r="18" spans="1:4" x14ac:dyDescent="0.25">
      <c r="A18" t="str">
        <f>TEXT([1]StagingTable!B18,"MMM-YYY")</f>
        <v>Dec-2024</v>
      </c>
      <c r="B18" t="str">
        <f>"Q"&amp;ROUNDUP(MONTH([1]StagingTable!B18)/3,0)&amp;"-"&amp;YEAR([1]StagingTable!D17)</f>
        <v>Q4-2023</v>
      </c>
      <c r="C18" t="str">
        <f>[1]StagingTable!F18&amp;"-"&amp;[1]StagingTable!G18&amp;"-"&amp;[1]StagingTable!H18</f>
        <v>Europe-France-Marseille</v>
      </c>
      <c r="D18" t="str">
        <f>IF([1]StagingTable!T18&lt;=_xlfn.PERCENTILE.INC([1]StagingTable!T18:T649,0.33),"LOW",IF([1]StagingTable!T18&lt;=_xlfn.PERCENTILE.INC([1]StagingTable!T18:T649,0.67),"MEDIUM","HIGH"))</f>
        <v>MEDIUM</v>
      </c>
    </row>
    <row r="19" spans="1:4" x14ac:dyDescent="0.25">
      <c r="A19" t="str">
        <f>TEXT([1]StagingTable!B19,"MMM-YYY")</f>
        <v>Sep-2025</v>
      </c>
      <c r="B19" t="str">
        <f>"Q"&amp;ROUNDUP(MONTH([1]StagingTable!B19)/3,0)&amp;"-"&amp;YEAR([1]StagingTable!D18)</f>
        <v>Q3-2025</v>
      </c>
      <c r="C19" t="str">
        <f>[1]StagingTable!F19&amp;"-"&amp;[1]StagingTable!G19&amp;"-"&amp;[1]StagingTable!H19</f>
        <v>Asia-Japan-Osaka</v>
      </c>
      <c r="D19" t="str">
        <f>IF([1]StagingTable!T19&lt;=_xlfn.PERCENTILE.INC([1]StagingTable!T19:T650,0.33),"LOW",IF([1]StagingTable!T19&lt;=_xlfn.PERCENTILE.INC([1]StagingTable!T19:T650,0.67),"MEDIUM","HIGH"))</f>
        <v>HIGH</v>
      </c>
    </row>
    <row r="20" spans="1:4" x14ac:dyDescent="0.25">
      <c r="A20" t="str">
        <f>TEXT([1]StagingTable!B20,"MMM-YYY")</f>
        <v>Jul-2025</v>
      </c>
      <c r="B20" t="str">
        <f>"Q"&amp;ROUNDUP(MONTH([1]StagingTable!B20)/3,0)&amp;"-"&amp;YEAR([1]StagingTable!D19)</f>
        <v>Q3-2025</v>
      </c>
      <c r="C20" t="str">
        <f>[1]StagingTable!F20&amp;"-"&amp;[1]StagingTable!G20&amp;"-"&amp;[1]StagingTable!H20</f>
        <v>Americas-Brazil-Brasília</v>
      </c>
      <c r="D20" t="str">
        <f>IF([1]StagingTable!T20&lt;=_xlfn.PERCENTILE.INC([1]StagingTable!T20:T651,0.33),"LOW",IF([1]StagingTable!T20&lt;=_xlfn.PERCENTILE.INC([1]StagingTable!T20:T651,0.67),"MEDIUM","HIGH"))</f>
        <v>HIGH</v>
      </c>
    </row>
    <row r="21" spans="1:4" x14ac:dyDescent="0.25">
      <c r="A21" t="str">
        <f>TEXT([1]StagingTable!B21,"MMM-YYY")</f>
        <v>May-2025</v>
      </c>
      <c r="B21" t="str">
        <f>"Q"&amp;ROUNDUP(MONTH([1]StagingTable!B21)/3,0)&amp;"-"&amp;YEAR([1]StagingTable!D20)</f>
        <v>Q2-2025</v>
      </c>
      <c r="C21" t="str">
        <f>[1]StagingTable!F21&amp;"-"&amp;[1]StagingTable!G21&amp;"-"&amp;[1]StagingTable!H21</f>
        <v>Europe-United Kingdom-Birmingham</v>
      </c>
      <c r="D21" t="str">
        <f>IF([1]StagingTable!T21&lt;=_xlfn.PERCENTILE.INC([1]StagingTable!T21:T652,0.33),"LOW",IF([1]StagingTable!T21&lt;=_xlfn.PERCENTILE.INC([1]StagingTable!T21:T652,0.67),"MEDIUM","HIGH"))</f>
        <v>HIGH</v>
      </c>
    </row>
    <row r="22" spans="1:4" x14ac:dyDescent="0.25">
      <c r="A22" t="str">
        <f>TEXT([1]StagingTable!B22,"MMM-YYY")</f>
        <v>Jul-2024</v>
      </c>
      <c r="B22" t="str">
        <f>"Q"&amp;ROUNDUP(MONTH([1]StagingTable!B22)/3,0)&amp;"-"&amp;YEAR([1]StagingTable!D21)</f>
        <v>Q3-2025</v>
      </c>
      <c r="C22" t="str">
        <f>[1]StagingTable!F22&amp;"-"&amp;[1]StagingTable!G22&amp;"-"&amp;[1]StagingTable!H22</f>
        <v>Africa-Kenya-Mombasa</v>
      </c>
      <c r="D22" t="str">
        <f>IF([1]StagingTable!T22&lt;=_xlfn.PERCENTILE.INC([1]StagingTable!T22:T653,0.33),"LOW",IF([1]StagingTable!T22&lt;=_xlfn.PERCENTILE.INC([1]StagingTable!T22:T653,0.67),"MEDIUM","HIGH"))</f>
        <v>HIGH</v>
      </c>
    </row>
    <row r="23" spans="1:4" x14ac:dyDescent="0.25">
      <c r="A23" t="str">
        <f>TEXT([1]StagingTable!B23,"MMM-YYY")</f>
        <v>May-2023</v>
      </c>
      <c r="B23" t="str">
        <f>"Q"&amp;ROUNDUP(MONTH([1]StagingTable!B23)/3,0)&amp;"-"&amp;YEAR([1]StagingTable!D22)</f>
        <v>Q2-2024</v>
      </c>
      <c r="C23" t="str">
        <f>[1]StagingTable!F23&amp;"-"&amp;[1]StagingTable!G23&amp;"-"&amp;[1]StagingTable!H23</f>
        <v>Asia-China-Shenzhen</v>
      </c>
      <c r="D23" t="str">
        <f>IF([1]StagingTable!T23&lt;=_xlfn.PERCENTILE.INC([1]StagingTable!T23:T654,0.33),"LOW",IF([1]StagingTable!T23&lt;=_xlfn.PERCENTILE.INC([1]StagingTable!T23:T654,0.67),"MEDIUM","HIGH"))</f>
        <v>HIGH</v>
      </c>
    </row>
    <row r="24" spans="1:4" x14ac:dyDescent="0.25">
      <c r="A24" t="str">
        <f>TEXT([1]StagingTable!B24,"MMM-YYY")</f>
        <v>Jun-2025</v>
      </c>
      <c r="B24" t="str">
        <f>"Q"&amp;ROUNDUP(MONTH([1]StagingTable!B24)/3,0)&amp;"-"&amp;YEAR([1]StagingTable!D23)</f>
        <v>Q2-2023</v>
      </c>
      <c r="C24" t="str">
        <f>[1]StagingTable!F24&amp;"-"&amp;[1]StagingTable!G24&amp;"-"&amp;[1]StagingTable!H24</f>
        <v>Africa-Nigeria-Port Harcourt</v>
      </c>
      <c r="D24" t="str">
        <f>IF([1]StagingTable!T24&lt;=_xlfn.PERCENTILE.INC([1]StagingTable!T24:T655,0.33),"LOW",IF([1]StagingTable!T24&lt;=_xlfn.PERCENTILE.INC([1]StagingTable!T24:T655,0.67),"MEDIUM","HIGH"))</f>
        <v>MEDIUM</v>
      </c>
    </row>
    <row r="25" spans="1:4" x14ac:dyDescent="0.25">
      <c r="A25" t="str">
        <f>TEXT([1]StagingTable!B25,"MMM-YYY")</f>
        <v>May-2024</v>
      </c>
      <c r="B25" t="str">
        <f>"Q"&amp;ROUNDUP(MONTH([1]StagingTable!B25)/3,0)&amp;"-"&amp;YEAR([1]StagingTable!D24)</f>
        <v>Q2-2025</v>
      </c>
      <c r="C25" t="str">
        <f>[1]StagingTable!F25&amp;"-"&amp;[1]StagingTable!G25&amp;"-"&amp;[1]StagingTable!H25</f>
        <v>Americas-USA-Chicago</v>
      </c>
      <c r="D25" t="str">
        <f>IF([1]StagingTable!T25&lt;=_xlfn.PERCENTILE.INC([1]StagingTable!T25:T656,0.33),"LOW",IF([1]StagingTable!T25&lt;=_xlfn.PERCENTILE.INC([1]StagingTable!T25:T656,0.67),"MEDIUM","HIGH"))</f>
        <v>HIGH</v>
      </c>
    </row>
    <row r="26" spans="1:4" x14ac:dyDescent="0.25">
      <c r="A26" t="str">
        <f>TEXT([1]StagingTable!B26,"MMM-YYY")</f>
        <v>Feb-2023</v>
      </c>
      <c r="B26" t="str">
        <f>"Q"&amp;ROUNDUP(MONTH([1]StagingTable!B26)/3,0)&amp;"-"&amp;YEAR([1]StagingTable!D25)</f>
        <v>Q1-2024</v>
      </c>
      <c r="C26" t="str">
        <f>[1]StagingTable!F26&amp;"-"&amp;[1]StagingTable!G26&amp;"-"&amp;[1]StagingTable!H26</f>
        <v>Americas-Brazil-São Paulo</v>
      </c>
      <c r="D26" t="str">
        <f>IF([1]StagingTable!T26&lt;=_xlfn.PERCENTILE.INC([1]StagingTable!T26:T657,0.33),"LOW",IF([1]StagingTable!T26&lt;=_xlfn.PERCENTILE.INC([1]StagingTable!T26:T657,0.67),"MEDIUM","HIGH"))</f>
        <v>HIGH</v>
      </c>
    </row>
    <row r="27" spans="1:4" x14ac:dyDescent="0.25">
      <c r="A27" t="str">
        <f>TEXT([1]StagingTable!B27,"MMM-YYY")</f>
        <v>Jun-2024</v>
      </c>
      <c r="B27" t="str">
        <f>"Q"&amp;ROUNDUP(MONTH([1]StagingTable!B27)/3,0)&amp;"-"&amp;YEAR([1]StagingTable!D26)</f>
        <v>Q2-2023</v>
      </c>
      <c r="C27" t="str">
        <f>[1]StagingTable!F27&amp;"-"&amp;[1]StagingTable!G27&amp;"-"&amp;[1]StagingTable!H27</f>
        <v>Americas-Brazil-Brasília</v>
      </c>
      <c r="D27" t="str">
        <f>IF([1]StagingTable!T27&lt;=_xlfn.PERCENTILE.INC([1]StagingTable!T27:T658,0.33),"LOW",IF([1]StagingTable!T27&lt;=_xlfn.PERCENTILE.INC([1]StagingTable!T27:T658,0.67),"MEDIUM","HIGH"))</f>
        <v>HIGH</v>
      </c>
    </row>
    <row r="28" spans="1:4" x14ac:dyDescent="0.25">
      <c r="A28" t="str">
        <f>TEXT([1]StagingTable!B28,"MMM-YYY")</f>
        <v>Nov-2024</v>
      </c>
      <c r="B28" t="str">
        <f>"Q"&amp;ROUNDUP(MONTH([1]StagingTable!B28)/3,0)&amp;"-"&amp;YEAR([1]StagingTable!D27)</f>
        <v>Q4-2024</v>
      </c>
      <c r="C28" t="str">
        <f>[1]StagingTable!F28&amp;"-"&amp;[1]StagingTable!G28&amp;"-"&amp;[1]StagingTable!H28</f>
        <v>Europe-France-Marseille</v>
      </c>
      <c r="D28" t="str">
        <f>IF([1]StagingTable!T28&lt;=_xlfn.PERCENTILE.INC([1]StagingTable!T28:T659,0.33),"LOW",IF([1]StagingTable!T28&lt;=_xlfn.PERCENTILE.INC([1]StagingTable!T28:T659,0.67),"MEDIUM","HIGH"))</f>
        <v>LOW</v>
      </c>
    </row>
    <row r="29" spans="1:4" x14ac:dyDescent="0.25">
      <c r="A29" t="str">
        <f>TEXT([1]StagingTable!B29,"MMM-YYY")</f>
        <v>Jul-2024</v>
      </c>
      <c r="B29" t="str">
        <f>"Q"&amp;ROUNDUP(MONTH([1]StagingTable!B29)/3,0)&amp;"-"&amp;YEAR([1]StagingTable!D28)</f>
        <v>Q3-2024</v>
      </c>
      <c r="C29" t="str">
        <f>[1]StagingTable!F29&amp;"-"&amp;[1]StagingTable!G29&amp;"-"&amp;[1]StagingTable!H29</f>
        <v>Africa-Kenya-Kisumu</v>
      </c>
      <c r="D29" t="str">
        <f>IF([1]StagingTable!T29&lt;=_xlfn.PERCENTILE.INC([1]StagingTable!T29:T660,0.33),"LOW",IF([1]StagingTable!T29&lt;=_xlfn.PERCENTILE.INC([1]StagingTable!T29:T660,0.67),"MEDIUM","HIGH"))</f>
        <v>LOW</v>
      </c>
    </row>
    <row r="30" spans="1:4" x14ac:dyDescent="0.25">
      <c r="A30" t="str">
        <f>TEXT([1]StagingTable!B30,"MMM-YYY")</f>
        <v>Apr-2023</v>
      </c>
      <c r="B30" t="str">
        <f>"Q"&amp;ROUNDUP(MONTH([1]StagingTable!B30)/3,0)&amp;"-"&amp;YEAR([1]StagingTable!D29)</f>
        <v>Q2-2024</v>
      </c>
      <c r="C30" t="str">
        <f>[1]StagingTable!F30&amp;"-"&amp;[1]StagingTable!G30&amp;"-"&amp;[1]StagingTable!H30</f>
        <v>Africa-Kenya-Nakuru</v>
      </c>
      <c r="D30" t="str">
        <f>IF([1]StagingTable!T30&lt;=_xlfn.PERCENTILE.INC([1]StagingTable!T30:T661,0.33),"LOW",IF([1]StagingTable!T30&lt;=_xlfn.PERCENTILE.INC([1]StagingTable!T30:T661,0.67),"MEDIUM","HIGH"))</f>
        <v>LOW</v>
      </c>
    </row>
    <row r="31" spans="1:4" x14ac:dyDescent="0.25">
      <c r="A31" t="str">
        <f>TEXT([1]StagingTable!B31,"MMM-YYY")</f>
        <v>Apr-2025</v>
      </c>
      <c r="B31" t="str">
        <f>"Q"&amp;ROUNDUP(MONTH([1]StagingTable!B31)/3,0)&amp;"-"&amp;YEAR([1]StagingTable!D30)</f>
        <v>Q2-2023</v>
      </c>
      <c r="C31" t="str">
        <f>[1]StagingTable!F31&amp;"-"&amp;[1]StagingTable!G31&amp;"-"&amp;[1]StagingTable!H31</f>
        <v>Europe-France-Lyon</v>
      </c>
      <c r="D31" t="str">
        <f>IF([1]StagingTable!T31&lt;=_xlfn.PERCENTILE.INC([1]StagingTable!T31:T662,0.33),"LOW",IF([1]StagingTable!T31&lt;=_xlfn.PERCENTILE.INC([1]StagingTable!T31:T662,0.67),"MEDIUM","HIGH"))</f>
        <v>HIGH</v>
      </c>
    </row>
    <row r="32" spans="1:4" x14ac:dyDescent="0.25">
      <c r="A32" t="str">
        <f>TEXT([1]StagingTable!B32,"MMM-YYY")</f>
        <v>Dec-2024</v>
      </c>
      <c r="B32" t="str">
        <f>"Q"&amp;ROUNDUP(MONTH([1]StagingTable!B32)/3,0)&amp;"-"&amp;YEAR([1]StagingTable!D31)</f>
        <v>Q4-2025</v>
      </c>
      <c r="C32" t="str">
        <f>[1]StagingTable!F32&amp;"-"&amp;[1]StagingTable!G32&amp;"-"&amp;[1]StagingTable!H32</f>
        <v>Asia-India-Delhi</v>
      </c>
      <c r="D32" t="str">
        <f>IF([1]StagingTable!T32&lt;=_xlfn.PERCENTILE.INC([1]StagingTable!T32:T663,0.33),"LOW",IF([1]StagingTable!T32&lt;=_xlfn.PERCENTILE.INC([1]StagingTable!T32:T663,0.67),"MEDIUM","HIGH"))</f>
        <v>LOW</v>
      </c>
    </row>
    <row r="33" spans="1:4" x14ac:dyDescent="0.25">
      <c r="A33" t="str">
        <f>TEXT([1]StagingTable!B33,"MMM-YYY")</f>
        <v>Feb-2023</v>
      </c>
      <c r="B33" t="str">
        <f>"Q"&amp;ROUNDUP(MONTH([1]StagingTable!B33)/3,0)&amp;"-"&amp;YEAR([1]StagingTable!D32)</f>
        <v>Q1-2025</v>
      </c>
      <c r="C33" t="str">
        <f>[1]StagingTable!F33&amp;"-"&amp;[1]StagingTable!G33&amp;"-"&amp;[1]StagingTable!H33</f>
        <v>Americas-Canada-Montreal</v>
      </c>
      <c r="D33" t="str">
        <f>IF([1]StagingTable!T33&lt;=_xlfn.PERCENTILE.INC([1]StagingTable!T33:T664,0.33),"LOW",IF([1]StagingTable!T33&lt;=_xlfn.PERCENTILE.INC([1]StagingTable!T33:T664,0.67),"MEDIUM","HIGH"))</f>
        <v>HIGH</v>
      </c>
    </row>
    <row r="34" spans="1:4" x14ac:dyDescent="0.25">
      <c r="A34" t="str">
        <f>TEXT([1]StagingTable!B34,"MMM-YYY")</f>
        <v>Jul-2025</v>
      </c>
      <c r="B34" t="str">
        <f>"Q"&amp;ROUNDUP(MONTH([1]StagingTable!B34)/3,0)&amp;"-"&amp;YEAR([1]StagingTable!D33)</f>
        <v>Q3-2023</v>
      </c>
      <c r="C34" t="str">
        <f>[1]StagingTable!F34&amp;"-"&amp;[1]StagingTable!G34&amp;"-"&amp;[1]StagingTable!H34</f>
        <v>Africa-South Africa-Johannesburg</v>
      </c>
      <c r="D34" t="str">
        <f>IF([1]StagingTable!T34&lt;=_xlfn.PERCENTILE.INC([1]StagingTable!T34:T665,0.33),"LOW",IF([1]StagingTable!T34&lt;=_xlfn.PERCENTILE.INC([1]StagingTable!T34:T665,0.67),"MEDIUM","HIGH"))</f>
        <v>HIGH</v>
      </c>
    </row>
    <row r="35" spans="1:4" x14ac:dyDescent="0.25">
      <c r="A35" t="str">
        <f>TEXT([1]StagingTable!B35,"MMM-YYY")</f>
        <v>Apr-2024</v>
      </c>
      <c r="B35" t="str">
        <f>"Q"&amp;ROUNDUP(MONTH([1]StagingTable!B35)/3,0)&amp;"-"&amp;YEAR([1]StagingTable!D34)</f>
        <v>Q2-2025</v>
      </c>
      <c r="C35" t="str">
        <f>[1]StagingTable!F35&amp;"-"&amp;[1]StagingTable!G35&amp;"-"&amp;[1]StagingTable!H35</f>
        <v>Europe-United Kingdom-London</v>
      </c>
      <c r="D35" t="str">
        <f>IF([1]StagingTable!T35&lt;=_xlfn.PERCENTILE.INC([1]StagingTable!T35:T666,0.33),"LOW",IF([1]StagingTable!T35&lt;=_xlfn.PERCENTILE.INC([1]StagingTable!T35:T666,0.67),"MEDIUM","HIGH"))</f>
        <v>MEDIUM</v>
      </c>
    </row>
    <row r="36" spans="1:4" x14ac:dyDescent="0.25">
      <c r="A36" t="str">
        <f>TEXT([1]StagingTable!B36,"MMM-YYY")</f>
        <v>Aug-2024</v>
      </c>
      <c r="B36" t="str">
        <f>"Q"&amp;ROUNDUP(MONTH([1]StagingTable!B36)/3,0)&amp;"-"&amp;YEAR([1]StagingTable!D35)</f>
        <v>Q3-2024</v>
      </c>
      <c r="C36" t="str">
        <f>[1]StagingTable!F36&amp;"-"&amp;[1]StagingTable!G36&amp;"-"&amp;[1]StagingTable!H36</f>
        <v>Africa-South Africa-Johannesburg</v>
      </c>
      <c r="D36" t="str">
        <f>IF([1]StagingTable!T36&lt;=_xlfn.PERCENTILE.INC([1]StagingTable!T36:T667,0.33),"LOW",IF([1]StagingTable!T36&lt;=_xlfn.PERCENTILE.INC([1]StagingTable!T36:T667,0.67),"MEDIUM","HIGH"))</f>
        <v>HIGH</v>
      </c>
    </row>
    <row r="37" spans="1:4" x14ac:dyDescent="0.25">
      <c r="A37" t="str">
        <f>TEXT([1]StagingTable!B37,"MMM-YYY")</f>
        <v>Mar-2023</v>
      </c>
      <c r="B37" t="str">
        <f>"Q"&amp;ROUNDUP(MONTH([1]StagingTable!B37)/3,0)&amp;"-"&amp;YEAR([1]StagingTable!D36)</f>
        <v>Q1-2024</v>
      </c>
      <c r="C37" t="str">
        <f>[1]StagingTable!F37&amp;"-"&amp;[1]StagingTable!G37&amp;"-"&amp;[1]StagingTable!H37</f>
        <v>Asia-India-Delhi</v>
      </c>
      <c r="D37" t="str">
        <f>IF([1]StagingTable!T37&lt;=_xlfn.PERCENTILE.INC([1]StagingTable!T37:T668,0.33),"LOW",IF([1]StagingTable!T37&lt;=_xlfn.PERCENTILE.INC([1]StagingTable!T37:T668,0.67),"MEDIUM","HIGH"))</f>
        <v>LOW</v>
      </c>
    </row>
    <row r="38" spans="1:4" x14ac:dyDescent="0.25">
      <c r="A38" t="str">
        <f>TEXT([1]StagingTable!B38,"MMM-YYY")</f>
        <v>Mar-2024</v>
      </c>
      <c r="B38" t="str">
        <f>"Q"&amp;ROUNDUP(MONTH([1]StagingTable!B38)/3,0)&amp;"-"&amp;YEAR([1]StagingTable!D37)</f>
        <v>Q1-2023</v>
      </c>
      <c r="C38" t="str">
        <f>[1]StagingTable!F38&amp;"-"&amp;[1]StagingTable!G38&amp;"-"&amp;[1]StagingTable!H38</f>
        <v>Europe-Germany-Munich</v>
      </c>
      <c r="D38" t="str">
        <f>IF([1]StagingTable!T38&lt;=_xlfn.PERCENTILE.INC([1]StagingTable!T38:T669,0.33),"LOW",IF([1]StagingTable!T38&lt;=_xlfn.PERCENTILE.INC([1]StagingTable!T38:T669,0.67),"MEDIUM","HIGH"))</f>
        <v>MEDIUM</v>
      </c>
    </row>
    <row r="39" spans="1:4" x14ac:dyDescent="0.25">
      <c r="A39" t="str">
        <f>TEXT([1]StagingTable!B39,"MMM-YYY")</f>
        <v>Jun-2025</v>
      </c>
      <c r="B39" t="str">
        <f>"Q"&amp;ROUNDUP(MONTH([1]StagingTable!B39)/3,0)&amp;"-"&amp;YEAR([1]StagingTable!D38)</f>
        <v>Q2-2024</v>
      </c>
      <c r="C39" t="str">
        <f>[1]StagingTable!F39&amp;"-"&amp;[1]StagingTable!G39&amp;"-"&amp;[1]StagingTable!H39</f>
        <v>Asia-China-Shanghai</v>
      </c>
      <c r="D39" t="str">
        <f>IF([1]StagingTable!T39&lt;=_xlfn.PERCENTILE.INC([1]StagingTable!T39:T670,0.33),"LOW",IF([1]StagingTable!T39&lt;=_xlfn.PERCENTILE.INC([1]StagingTable!T39:T670,0.67),"MEDIUM","HIGH"))</f>
        <v>HIGH</v>
      </c>
    </row>
    <row r="40" spans="1:4" x14ac:dyDescent="0.25">
      <c r="A40" t="str">
        <f>TEXT([1]StagingTable!B40,"MMM-YYY")</f>
        <v>Apr-2024</v>
      </c>
      <c r="B40" t="str">
        <f>"Q"&amp;ROUNDUP(MONTH([1]StagingTable!B40)/3,0)&amp;"-"&amp;YEAR([1]StagingTable!D39)</f>
        <v>Q2-2025</v>
      </c>
      <c r="C40" t="str">
        <f>[1]StagingTable!F40&amp;"-"&amp;[1]StagingTable!G40&amp;"-"&amp;[1]StagingTable!H40</f>
        <v>Africa-Nigeria-Port Harcourt</v>
      </c>
      <c r="D40" t="str">
        <f>IF([1]StagingTable!T40&lt;=_xlfn.PERCENTILE.INC([1]StagingTable!T40:T671,0.33),"LOW",IF([1]StagingTable!T40&lt;=_xlfn.PERCENTILE.INC([1]StagingTable!T40:T671,0.67),"MEDIUM","HIGH"))</f>
        <v>MEDIUM</v>
      </c>
    </row>
    <row r="41" spans="1:4" x14ac:dyDescent="0.25">
      <c r="A41" t="str">
        <f>TEXT([1]StagingTable!B41,"MMM-YYY")</f>
        <v>Jun-2023</v>
      </c>
      <c r="B41" t="str">
        <f>"Q"&amp;ROUNDUP(MONTH([1]StagingTable!B41)/3,0)&amp;"-"&amp;YEAR([1]StagingTable!D40)</f>
        <v>Q2-2024</v>
      </c>
      <c r="C41" t="str">
        <f>[1]StagingTable!F41&amp;"-"&amp;[1]StagingTable!G41&amp;"-"&amp;[1]StagingTable!H41</f>
        <v>Americas-USA-San Francisco</v>
      </c>
      <c r="D41" t="str">
        <f>IF([1]StagingTable!T41&lt;=_xlfn.PERCENTILE.INC([1]StagingTable!T41:T672,0.33),"LOW",IF([1]StagingTable!T41&lt;=_xlfn.PERCENTILE.INC([1]StagingTable!T41:T672,0.67),"MEDIUM","HIGH"))</f>
        <v>LOW</v>
      </c>
    </row>
    <row r="42" spans="1:4" x14ac:dyDescent="0.25">
      <c r="A42" t="str">
        <f>TEXT([1]StagingTable!B42,"MMM-YYY")</f>
        <v>Aug-2024</v>
      </c>
      <c r="B42" t="str">
        <f>"Q"&amp;ROUNDUP(MONTH([1]StagingTable!B42)/3,0)&amp;"-"&amp;YEAR([1]StagingTable!D41)</f>
        <v>Q3-2023</v>
      </c>
      <c r="C42" t="str">
        <f>[1]StagingTable!F42&amp;"-"&amp;[1]StagingTable!G42&amp;"-"&amp;[1]StagingTable!H42</f>
        <v>Europe-Germany-Berlin</v>
      </c>
      <c r="D42" t="str">
        <f>IF([1]StagingTable!T42&lt;=_xlfn.PERCENTILE.INC([1]StagingTable!T42:T673,0.33),"LOW",IF([1]StagingTable!T42&lt;=_xlfn.PERCENTILE.INC([1]StagingTable!T42:T673,0.67),"MEDIUM","HIGH"))</f>
        <v>MEDIUM</v>
      </c>
    </row>
    <row r="43" spans="1:4" x14ac:dyDescent="0.25">
      <c r="A43" t="str">
        <f>TEXT([1]StagingTable!B43,"MMM-YYY")</f>
        <v>Jan-2024</v>
      </c>
      <c r="B43" t="str">
        <f>"Q"&amp;ROUNDUP(MONTH([1]StagingTable!B43)/3,0)&amp;"-"&amp;YEAR([1]StagingTable!D42)</f>
        <v>Q1-2024</v>
      </c>
      <c r="C43" t="str">
        <f>[1]StagingTable!F43&amp;"-"&amp;[1]StagingTable!G43&amp;"-"&amp;[1]StagingTable!H43</f>
        <v>Africa-South Africa-Durban</v>
      </c>
      <c r="D43" t="str">
        <f>IF([1]StagingTable!T43&lt;=_xlfn.PERCENTILE.INC([1]StagingTable!T43:T674,0.33),"LOW",IF([1]StagingTable!T43&lt;=_xlfn.PERCENTILE.INC([1]StagingTable!T43:T674,0.67),"MEDIUM","HIGH"))</f>
        <v>HIGH</v>
      </c>
    </row>
    <row r="44" spans="1:4" x14ac:dyDescent="0.25">
      <c r="A44" t="str">
        <f>TEXT([1]StagingTable!B44,"MMM-YYY")</f>
        <v>Oct-2024</v>
      </c>
      <c r="B44" t="str">
        <f>"Q"&amp;ROUNDUP(MONTH([1]StagingTable!B44)/3,0)&amp;"-"&amp;YEAR([1]StagingTable!D43)</f>
        <v>Q4-2024</v>
      </c>
      <c r="C44" t="str">
        <f>[1]StagingTable!F44&amp;"-"&amp;[1]StagingTable!G44&amp;"-"&amp;[1]StagingTable!H44</f>
        <v>Africa-Kenya-Mombasa</v>
      </c>
      <c r="D44" t="str">
        <f>IF([1]StagingTable!T44&lt;=_xlfn.PERCENTILE.INC([1]StagingTable!T44:T675,0.33),"LOW",IF([1]StagingTable!T44&lt;=_xlfn.PERCENTILE.INC([1]StagingTable!T44:T675,0.67),"MEDIUM","HIGH"))</f>
        <v>HIGH</v>
      </c>
    </row>
    <row r="45" spans="1:4" x14ac:dyDescent="0.25">
      <c r="A45" t="str">
        <f>TEXT([1]StagingTable!B45,"MMM-YYY")</f>
        <v>May-2025</v>
      </c>
      <c r="B45" t="str">
        <f>"Q"&amp;ROUNDUP(MONTH([1]StagingTable!B45)/3,0)&amp;"-"&amp;YEAR([1]StagingTable!D44)</f>
        <v>Q2-2024</v>
      </c>
      <c r="C45" t="str">
        <f>[1]StagingTable!F45&amp;"-"&amp;[1]StagingTable!G45&amp;"-"&amp;[1]StagingTable!H45</f>
        <v>Europe-Germany-Berlin</v>
      </c>
      <c r="D45" t="str">
        <f>IF([1]StagingTable!T45&lt;=_xlfn.PERCENTILE.INC([1]StagingTable!T45:T676,0.33),"LOW",IF([1]StagingTable!T45&lt;=_xlfn.PERCENTILE.INC([1]StagingTable!T45:T676,0.67),"MEDIUM","HIGH"))</f>
        <v>MEDIUM</v>
      </c>
    </row>
    <row r="46" spans="1:4" x14ac:dyDescent="0.25">
      <c r="A46" t="str">
        <f>TEXT([1]StagingTable!B46,"MMM-YYY")</f>
        <v>May-2024</v>
      </c>
      <c r="B46" t="str">
        <f>"Q"&amp;ROUNDUP(MONTH([1]StagingTable!B46)/3,0)&amp;"-"&amp;YEAR([1]StagingTable!D45)</f>
        <v>Q2-2025</v>
      </c>
      <c r="C46" t="str">
        <f>[1]StagingTable!F46&amp;"-"&amp;[1]StagingTable!G46&amp;"-"&amp;[1]StagingTable!H46</f>
        <v>Americas-Canada-Vancouver</v>
      </c>
      <c r="D46" t="str">
        <f>IF([1]StagingTable!T46&lt;=_xlfn.PERCENTILE.INC([1]StagingTable!T46:T677,0.33),"LOW",IF([1]StagingTable!T46&lt;=_xlfn.PERCENTILE.INC([1]StagingTable!T46:T677,0.67),"MEDIUM","HIGH"))</f>
        <v>MEDIUM</v>
      </c>
    </row>
    <row r="47" spans="1:4" x14ac:dyDescent="0.25">
      <c r="A47" t="str">
        <f>TEXT([1]StagingTable!B47,"MMM-YYY")</f>
        <v>Apr-2023</v>
      </c>
      <c r="B47" t="str">
        <f>"Q"&amp;ROUNDUP(MONTH([1]StagingTable!B47)/3,0)&amp;"-"&amp;YEAR([1]StagingTable!D46)</f>
        <v>Q2-2024</v>
      </c>
      <c r="C47" t="str">
        <f>[1]StagingTable!F47&amp;"-"&amp;[1]StagingTable!G47&amp;"-"&amp;[1]StagingTable!H47</f>
        <v>Asia-India-Delhi</v>
      </c>
      <c r="D47" t="str">
        <f>IF([1]StagingTable!T47&lt;=_xlfn.PERCENTILE.INC([1]StagingTable!T47:T678,0.33),"LOW",IF([1]StagingTable!T47&lt;=_xlfn.PERCENTILE.INC([1]StagingTable!T47:T678,0.67),"MEDIUM","HIGH"))</f>
        <v>MEDIUM</v>
      </c>
    </row>
    <row r="48" spans="1:4" x14ac:dyDescent="0.25">
      <c r="A48" t="str">
        <f>TEXT([1]StagingTable!B48,"MMM-YYY")</f>
        <v>Jun-2023</v>
      </c>
      <c r="B48" t="str">
        <f>"Q"&amp;ROUNDUP(MONTH([1]StagingTable!B48)/3,0)&amp;"-"&amp;YEAR([1]StagingTable!D47)</f>
        <v>Q2-2023</v>
      </c>
      <c r="C48" t="str">
        <f>[1]StagingTable!F48&amp;"-"&amp;[1]StagingTable!G48&amp;"-"&amp;[1]StagingTable!H48</f>
        <v>Africa-Nigeria-Abuja</v>
      </c>
      <c r="D48" t="str">
        <f>IF([1]StagingTable!T48&lt;=_xlfn.PERCENTILE.INC([1]StagingTable!T48:T679,0.33),"LOW",IF([1]StagingTable!T48&lt;=_xlfn.PERCENTILE.INC([1]StagingTable!T48:T679,0.67),"MEDIUM","HIGH"))</f>
        <v>LOW</v>
      </c>
    </row>
    <row r="49" spans="1:4" x14ac:dyDescent="0.25">
      <c r="A49" t="str">
        <f>TEXT([1]StagingTable!B49,"MMM-YYY")</f>
        <v>May-2024</v>
      </c>
      <c r="B49" t="str">
        <f>"Q"&amp;ROUNDUP(MONTH([1]StagingTable!B49)/3,0)&amp;"-"&amp;YEAR([1]StagingTable!D48)</f>
        <v>Q2-2023</v>
      </c>
      <c r="C49" t="str">
        <f>[1]StagingTable!F49&amp;"-"&amp;[1]StagingTable!G49&amp;"-"&amp;[1]StagingTable!H49</f>
        <v>Europe-United Kingdom-Birmingham</v>
      </c>
      <c r="D49" t="str">
        <f>IF([1]StagingTable!T49&lt;=_xlfn.PERCENTILE.INC([1]StagingTable!T49:T680,0.33),"LOW",IF([1]StagingTable!T49&lt;=_xlfn.PERCENTILE.INC([1]StagingTable!T49:T680,0.67),"MEDIUM","HIGH"))</f>
        <v>HIGH</v>
      </c>
    </row>
    <row r="50" spans="1:4" x14ac:dyDescent="0.25">
      <c r="A50" t="str">
        <f>TEXT([1]StagingTable!B50,"MMM-YYY")</f>
        <v>Oct-2024</v>
      </c>
      <c r="B50" t="str">
        <f>"Q"&amp;ROUNDUP(MONTH([1]StagingTable!B50)/3,0)&amp;"-"&amp;YEAR([1]StagingTable!D49)</f>
        <v>Q4-2024</v>
      </c>
      <c r="C50" t="str">
        <f>[1]StagingTable!F50&amp;"-"&amp;[1]StagingTable!G50&amp;"-"&amp;[1]StagingTable!H50</f>
        <v>Africa-Nigeria-Lagos</v>
      </c>
      <c r="D50" t="str">
        <f>IF([1]StagingTable!T50&lt;=_xlfn.PERCENTILE.INC([1]StagingTable!T50:T681,0.33),"LOW",IF([1]StagingTable!T50&lt;=_xlfn.PERCENTILE.INC([1]StagingTable!T50:T681,0.67),"MEDIUM","HIGH"))</f>
        <v>HIGH</v>
      </c>
    </row>
    <row r="51" spans="1:4" x14ac:dyDescent="0.25">
      <c r="A51" t="str">
        <f>TEXT([1]StagingTable!B51,"MMM-YYY")</f>
        <v>Jul-2023</v>
      </c>
      <c r="B51" t="str">
        <f>"Q"&amp;ROUNDUP(MONTH([1]StagingTable!B51)/3,0)&amp;"-"&amp;YEAR([1]StagingTable!D50)</f>
        <v>Q3-2024</v>
      </c>
      <c r="C51" t="str">
        <f>[1]StagingTable!F51&amp;"-"&amp;[1]StagingTable!G51&amp;"-"&amp;[1]StagingTable!H51</f>
        <v>Europe-France-Marseille</v>
      </c>
      <c r="D51" t="str">
        <f>IF([1]StagingTable!T51&lt;=_xlfn.PERCENTILE.INC([1]StagingTable!T51:T682,0.33),"LOW",IF([1]StagingTable!T51&lt;=_xlfn.PERCENTILE.INC([1]StagingTable!T51:T682,0.67),"MEDIUM","HIGH"))</f>
        <v>HIGH</v>
      </c>
    </row>
    <row r="52" spans="1:4" x14ac:dyDescent="0.25">
      <c r="A52" t="str">
        <f>TEXT([1]StagingTable!B52,"MMM-YYY")</f>
        <v>Nov-2024</v>
      </c>
      <c r="B52" t="str">
        <f>"Q"&amp;ROUNDUP(MONTH([1]StagingTable!B52)/3,0)&amp;"-"&amp;YEAR([1]StagingTable!D51)</f>
        <v>Q4-2023</v>
      </c>
      <c r="C52" t="str">
        <f>[1]StagingTable!F52&amp;"-"&amp;[1]StagingTable!G52&amp;"-"&amp;[1]StagingTable!H52</f>
        <v>Americas-Canada-Toronto</v>
      </c>
      <c r="D52" t="str">
        <f>IF([1]StagingTable!T52&lt;=_xlfn.PERCENTILE.INC([1]StagingTable!T52:T683,0.33),"LOW",IF([1]StagingTable!T52&lt;=_xlfn.PERCENTILE.INC([1]StagingTable!T52:T683,0.67),"MEDIUM","HIGH"))</f>
        <v>HIGH</v>
      </c>
    </row>
    <row r="53" spans="1:4" x14ac:dyDescent="0.25">
      <c r="A53" t="str">
        <f>TEXT([1]StagingTable!B53,"MMM-YYY")</f>
        <v>Oct-2024</v>
      </c>
      <c r="B53" t="str">
        <f>"Q"&amp;ROUNDUP(MONTH([1]StagingTable!B53)/3,0)&amp;"-"&amp;YEAR([1]StagingTable!D52)</f>
        <v>Q4-2024</v>
      </c>
      <c r="C53" t="str">
        <f>[1]StagingTable!F53&amp;"-"&amp;[1]StagingTable!G53&amp;"-"&amp;[1]StagingTable!H53</f>
        <v>Asia-India-Bengaluru</v>
      </c>
      <c r="D53" t="str">
        <f>IF([1]StagingTable!T53&lt;=_xlfn.PERCENTILE.INC([1]StagingTable!T53:T684,0.33),"LOW",IF([1]StagingTable!T53&lt;=_xlfn.PERCENTILE.INC([1]StagingTable!T53:T684,0.67),"MEDIUM","HIGH"))</f>
        <v>LOW</v>
      </c>
    </row>
    <row r="54" spans="1:4" x14ac:dyDescent="0.25">
      <c r="A54" t="str">
        <f>TEXT([1]StagingTable!B54,"MMM-YYY")</f>
        <v>Mar-2023</v>
      </c>
      <c r="B54" t="str">
        <f>"Q"&amp;ROUNDUP(MONTH([1]StagingTable!B54)/3,0)&amp;"-"&amp;YEAR([1]StagingTable!D53)</f>
        <v>Q1-2024</v>
      </c>
      <c r="C54" t="str">
        <f>[1]StagingTable!F54&amp;"-"&amp;[1]StagingTable!G54&amp;"-"&amp;[1]StagingTable!H54</f>
        <v>Africa-Kenya-Nakuru</v>
      </c>
      <c r="D54" t="str">
        <f>IF([1]StagingTable!T54&lt;=_xlfn.PERCENTILE.INC([1]StagingTable!T54:T685,0.33),"LOW",IF([1]StagingTable!T54&lt;=_xlfn.PERCENTILE.INC([1]StagingTable!T54:T685,0.67),"MEDIUM","HIGH"))</f>
        <v>LOW</v>
      </c>
    </row>
    <row r="55" spans="1:4" x14ac:dyDescent="0.25">
      <c r="A55" t="str">
        <f>TEXT([1]StagingTable!B55,"MMM-YYY")</f>
        <v>Jan-2025</v>
      </c>
      <c r="B55" t="str">
        <f>"Q"&amp;ROUNDUP(MONTH([1]StagingTable!B55)/3,0)&amp;"-"&amp;YEAR([1]StagingTable!D54)</f>
        <v>Q1-2023</v>
      </c>
      <c r="C55" t="str">
        <f>[1]StagingTable!F55&amp;"-"&amp;[1]StagingTable!G55&amp;"-"&amp;[1]StagingTable!H55</f>
        <v>Europe-France-Lyon</v>
      </c>
      <c r="D55" t="str">
        <f>IF([1]StagingTable!T55&lt;=_xlfn.PERCENTILE.INC([1]StagingTable!T55:T686,0.33),"LOW",IF([1]StagingTable!T55&lt;=_xlfn.PERCENTILE.INC([1]StagingTable!T55:T686,0.67),"MEDIUM","HIGH"))</f>
        <v>LOW</v>
      </c>
    </row>
    <row r="56" spans="1:4" x14ac:dyDescent="0.25">
      <c r="A56" t="str">
        <f>TEXT([1]StagingTable!B56,"MMM-YYY")</f>
        <v>Aug-2023</v>
      </c>
      <c r="B56" t="str">
        <f>"Q"&amp;ROUNDUP(MONTH([1]StagingTable!B56)/3,0)&amp;"-"&amp;YEAR([1]StagingTable!D55)</f>
        <v>Q3-2025</v>
      </c>
      <c r="C56" t="str">
        <f>[1]StagingTable!F56&amp;"-"&amp;[1]StagingTable!G56&amp;"-"&amp;[1]StagingTable!H56</f>
        <v>Europe-Germany-Munich</v>
      </c>
      <c r="D56" t="str">
        <f>IF([1]StagingTable!T56&lt;=_xlfn.PERCENTILE.INC([1]StagingTable!T56:T687,0.33),"LOW",IF([1]StagingTable!T56&lt;=_xlfn.PERCENTILE.INC([1]StagingTable!T56:T687,0.67),"MEDIUM","HIGH"))</f>
        <v>LOW</v>
      </c>
    </row>
    <row r="57" spans="1:4" x14ac:dyDescent="0.25">
      <c r="A57" t="str">
        <f>TEXT([1]StagingTable!B57,"MMM-YYY")</f>
        <v>Apr-2025</v>
      </c>
      <c r="B57" t="str">
        <f>"Q"&amp;ROUNDUP(MONTH([1]StagingTable!B57)/3,0)&amp;"-"&amp;YEAR([1]StagingTable!D56)</f>
        <v>Q2-2023</v>
      </c>
      <c r="C57" t="str">
        <f>[1]StagingTable!F57&amp;"-"&amp;[1]StagingTable!G57&amp;"-"&amp;[1]StagingTable!H57</f>
        <v>Americas-Brazil-Brasília</v>
      </c>
      <c r="D57" t="str">
        <f>IF([1]StagingTable!T57&lt;=_xlfn.PERCENTILE.INC([1]StagingTable!T57:T688,0.33),"LOW",IF([1]StagingTable!T57&lt;=_xlfn.PERCENTILE.INC([1]StagingTable!T57:T688,0.67),"MEDIUM","HIGH"))</f>
        <v>MEDIUM</v>
      </c>
    </row>
    <row r="58" spans="1:4" x14ac:dyDescent="0.25">
      <c r="A58" t="str">
        <f>TEXT([1]StagingTable!B58,"MMM-YYY")</f>
        <v>Feb-2025</v>
      </c>
      <c r="B58" t="str">
        <f>"Q"&amp;ROUNDUP(MONTH([1]StagingTable!B58)/3,0)&amp;"-"&amp;YEAR([1]StagingTable!D57)</f>
        <v>Q1-2025</v>
      </c>
      <c r="C58" t="str">
        <f>[1]StagingTable!F58&amp;"-"&amp;[1]StagingTable!G58&amp;"-"&amp;[1]StagingTable!H58</f>
        <v>Americas-Brazil-São Paulo</v>
      </c>
      <c r="D58" t="str">
        <f>IF([1]StagingTable!T58&lt;=_xlfn.PERCENTILE.INC([1]StagingTable!T58:T689,0.33),"LOW",IF([1]StagingTable!T58&lt;=_xlfn.PERCENTILE.INC([1]StagingTable!T58:T689,0.67),"MEDIUM","HIGH"))</f>
        <v>HIGH</v>
      </c>
    </row>
    <row r="59" spans="1:4" x14ac:dyDescent="0.25">
      <c r="A59" t="str">
        <f>TEXT([1]StagingTable!B59,"MMM-YYY")</f>
        <v>Dec-2024</v>
      </c>
      <c r="B59" t="str">
        <f>"Q"&amp;ROUNDUP(MONTH([1]StagingTable!B59)/3,0)&amp;"-"&amp;YEAR([1]StagingTable!D58)</f>
        <v>Q4-2025</v>
      </c>
      <c r="C59" t="str">
        <f>[1]StagingTable!F59&amp;"-"&amp;[1]StagingTable!G59&amp;"-"&amp;[1]StagingTable!H59</f>
        <v>Europe-Germany-Munich</v>
      </c>
      <c r="D59" t="str">
        <f>IF([1]StagingTable!T59&lt;=_xlfn.PERCENTILE.INC([1]StagingTable!T59:T690,0.33),"LOW",IF([1]StagingTable!T59&lt;=_xlfn.PERCENTILE.INC([1]StagingTable!T59:T690,0.67),"MEDIUM","HIGH"))</f>
        <v>LOW</v>
      </c>
    </row>
    <row r="60" spans="1:4" x14ac:dyDescent="0.25">
      <c r="A60" t="str">
        <f>TEXT([1]StagingTable!B60,"MMM-YYY")</f>
        <v>Jun-2025</v>
      </c>
      <c r="B60" t="str">
        <f>"Q"&amp;ROUNDUP(MONTH([1]StagingTable!B60)/3,0)&amp;"-"&amp;YEAR([1]StagingTable!D59)</f>
        <v>Q2-2024</v>
      </c>
      <c r="C60" t="str">
        <f>[1]StagingTable!F60&amp;"-"&amp;[1]StagingTable!G60&amp;"-"&amp;[1]StagingTable!H60</f>
        <v>Europe-France-Marseille</v>
      </c>
      <c r="D60" t="str">
        <f>IF([1]StagingTable!T60&lt;=_xlfn.PERCENTILE.INC([1]StagingTable!T60:T691,0.33),"LOW",IF([1]StagingTable!T60&lt;=_xlfn.PERCENTILE.INC([1]StagingTable!T60:T691,0.67),"MEDIUM","HIGH"))</f>
        <v>HIGH</v>
      </c>
    </row>
    <row r="61" spans="1:4" x14ac:dyDescent="0.25">
      <c r="A61" t="str">
        <f>TEXT([1]StagingTable!B61,"MMM-YYY")</f>
        <v>May-2025</v>
      </c>
      <c r="B61" t="str">
        <f>"Q"&amp;ROUNDUP(MONTH([1]StagingTable!B61)/3,0)&amp;"-"&amp;YEAR([1]StagingTable!D60)</f>
        <v>Q2-2025</v>
      </c>
      <c r="C61" t="str">
        <f>[1]StagingTable!F61&amp;"-"&amp;[1]StagingTable!G61&amp;"-"&amp;[1]StagingTable!H61</f>
        <v>Africa-Kenya-Nakuru</v>
      </c>
      <c r="D61" t="str">
        <f>IF([1]StagingTable!T61&lt;=_xlfn.PERCENTILE.INC([1]StagingTable!T61:T692,0.33),"LOW",IF([1]StagingTable!T61&lt;=_xlfn.PERCENTILE.INC([1]StagingTable!T61:T692,0.67),"MEDIUM","HIGH"))</f>
        <v>MEDIUM</v>
      </c>
    </row>
    <row r="62" spans="1:4" x14ac:dyDescent="0.25">
      <c r="A62" t="str">
        <f>TEXT([1]StagingTable!B62,"MMM-YYY")</f>
        <v>Mar-2024</v>
      </c>
      <c r="B62" t="str">
        <f>"Q"&amp;ROUNDUP(MONTH([1]StagingTable!B62)/3,0)&amp;"-"&amp;YEAR([1]StagingTable!D61)</f>
        <v>Q1-2025</v>
      </c>
      <c r="C62" t="str">
        <f>[1]StagingTable!F62&amp;"-"&amp;[1]StagingTable!G62&amp;"-"&amp;[1]StagingTable!H62</f>
        <v>Europe-France-Lyon</v>
      </c>
      <c r="D62" t="str">
        <f>IF([1]StagingTable!T62&lt;=_xlfn.PERCENTILE.INC([1]StagingTable!T62:T693,0.33),"LOW",IF([1]StagingTable!T62&lt;=_xlfn.PERCENTILE.INC([1]StagingTable!T62:T693,0.67),"MEDIUM","HIGH"))</f>
        <v>HIGH</v>
      </c>
    </row>
    <row r="63" spans="1:4" x14ac:dyDescent="0.25">
      <c r="A63" t="str">
        <f>TEXT([1]StagingTable!B63,"MMM-YYY")</f>
        <v>Sep-2025</v>
      </c>
      <c r="B63" t="str">
        <f>"Q"&amp;ROUNDUP(MONTH([1]StagingTable!B63)/3,0)&amp;"-"&amp;YEAR([1]StagingTable!D62)</f>
        <v>Q3-2024</v>
      </c>
      <c r="C63" t="str">
        <f>[1]StagingTable!F63&amp;"-"&amp;[1]StagingTable!G63&amp;"-"&amp;[1]StagingTable!H63</f>
        <v>Asia-Japan-Tokyo</v>
      </c>
      <c r="D63" t="str">
        <f>IF([1]StagingTable!T63&lt;=_xlfn.PERCENTILE.INC([1]StagingTable!T63:T694,0.33),"LOW",IF([1]StagingTable!T63&lt;=_xlfn.PERCENTILE.INC([1]StagingTable!T63:T694,0.67),"MEDIUM","HIGH"))</f>
        <v>HIGH</v>
      </c>
    </row>
    <row r="64" spans="1:4" x14ac:dyDescent="0.25">
      <c r="A64" t="str">
        <f>TEXT([1]StagingTable!B64,"MMM-YYY")</f>
        <v>Apr-2025</v>
      </c>
      <c r="B64" t="str">
        <f>"Q"&amp;ROUNDUP(MONTH([1]StagingTable!B64)/3,0)&amp;"-"&amp;YEAR([1]StagingTable!D63)</f>
        <v>Q2-2025</v>
      </c>
      <c r="C64" t="str">
        <f>[1]StagingTable!F64&amp;"-"&amp;[1]StagingTable!G64&amp;"-"&amp;[1]StagingTable!H64</f>
        <v>Europe-France-Paris</v>
      </c>
      <c r="D64" t="str">
        <f>IF([1]StagingTable!T64&lt;=_xlfn.PERCENTILE.INC([1]StagingTable!T64:T695,0.33),"LOW",IF([1]StagingTable!T64&lt;=_xlfn.PERCENTILE.INC([1]StagingTable!T64:T695,0.67),"MEDIUM","HIGH"))</f>
        <v>MEDIUM</v>
      </c>
    </row>
    <row r="65" spans="1:4" x14ac:dyDescent="0.25">
      <c r="A65" t="str">
        <f>TEXT([1]StagingTable!B65,"MMM-YYY")</f>
        <v>Nov-2024</v>
      </c>
      <c r="B65" t="str">
        <f>"Q"&amp;ROUNDUP(MONTH([1]StagingTable!B65)/3,0)&amp;"-"&amp;YEAR([1]StagingTable!D64)</f>
        <v>Q4-2025</v>
      </c>
      <c r="C65" t="str">
        <f>[1]StagingTable!F65&amp;"-"&amp;[1]StagingTable!G65&amp;"-"&amp;[1]StagingTable!H65</f>
        <v>Asia-India-Mumbai</v>
      </c>
      <c r="D65" t="str">
        <f>IF([1]StagingTable!T65&lt;=_xlfn.PERCENTILE.INC([1]StagingTable!T65:T696,0.33),"LOW",IF([1]StagingTable!T65&lt;=_xlfn.PERCENTILE.INC([1]StagingTable!T65:T696,0.67),"MEDIUM","HIGH"))</f>
        <v>HIGH</v>
      </c>
    </row>
    <row r="66" spans="1:4" x14ac:dyDescent="0.25">
      <c r="A66" t="str">
        <f>TEXT([1]StagingTable!B66,"MMM-YYY")</f>
        <v>Feb-2023</v>
      </c>
      <c r="B66" t="str">
        <f>"Q"&amp;ROUNDUP(MONTH([1]StagingTable!B66)/3,0)&amp;"-"&amp;YEAR([1]StagingTable!D65)</f>
        <v>Q1-2024</v>
      </c>
      <c r="C66" t="str">
        <f>[1]StagingTable!F66&amp;"-"&amp;[1]StagingTable!G66&amp;"-"&amp;[1]StagingTable!H66</f>
        <v>Africa-South Africa-Johannesburg</v>
      </c>
      <c r="D66" t="str">
        <f>IF([1]StagingTable!T66&lt;=_xlfn.PERCENTILE.INC([1]StagingTable!T66:T697,0.33),"LOW",IF([1]StagingTable!T66&lt;=_xlfn.PERCENTILE.INC([1]StagingTable!T66:T697,0.67),"MEDIUM","HIGH"))</f>
        <v>LOW</v>
      </c>
    </row>
    <row r="67" spans="1:4" x14ac:dyDescent="0.25">
      <c r="A67" t="str">
        <f>TEXT([1]StagingTable!B67,"MMM-YYY")</f>
        <v>Dec-2023</v>
      </c>
      <c r="B67" t="str">
        <f>"Q"&amp;ROUNDUP(MONTH([1]StagingTable!B67)/3,0)&amp;"-"&amp;YEAR([1]StagingTable!D66)</f>
        <v>Q4-2023</v>
      </c>
      <c r="C67" t="str">
        <f>[1]StagingTable!F67&amp;"-"&amp;[1]StagingTable!G67&amp;"-"&amp;[1]StagingTable!H67</f>
        <v>Americas-Brazil-Rio de Janeiro</v>
      </c>
      <c r="D67" t="str">
        <f>IF([1]StagingTable!T67&lt;=_xlfn.PERCENTILE.INC([1]StagingTable!T67:T698,0.33),"LOW",IF([1]StagingTable!T67&lt;=_xlfn.PERCENTILE.INC([1]StagingTable!T67:T698,0.67),"MEDIUM","HIGH"))</f>
        <v>MEDIUM</v>
      </c>
    </row>
    <row r="68" spans="1:4" x14ac:dyDescent="0.25">
      <c r="A68" t="str">
        <f>TEXT([1]StagingTable!B68,"MMM-YYY")</f>
        <v>Mar-2023</v>
      </c>
      <c r="B68" t="str">
        <f>"Q"&amp;ROUNDUP(MONTH([1]StagingTable!B68)/3,0)&amp;"-"&amp;YEAR([1]StagingTable!D67)</f>
        <v>Q1-2023</v>
      </c>
      <c r="C68" t="str">
        <f>[1]StagingTable!F68&amp;"-"&amp;[1]StagingTable!G68&amp;"-"&amp;[1]StagingTable!H68</f>
        <v>Europe-United Kingdom-Manchester</v>
      </c>
      <c r="D68" t="str">
        <f>IF([1]StagingTable!T68&lt;=_xlfn.PERCENTILE.INC([1]StagingTable!T68:T699,0.33),"LOW",IF([1]StagingTable!T68&lt;=_xlfn.PERCENTILE.INC([1]StagingTable!T68:T699,0.67),"MEDIUM","HIGH"))</f>
        <v>MEDIUM</v>
      </c>
    </row>
    <row r="69" spans="1:4" x14ac:dyDescent="0.25">
      <c r="A69" t="str">
        <f>TEXT([1]StagingTable!B69,"MMM-YYY")</f>
        <v>May-2024</v>
      </c>
      <c r="B69" t="str">
        <f>"Q"&amp;ROUNDUP(MONTH([1]StagingTable!B69)/3,0)&amp;"-"&amp;YEAR([1]StagingTable!D68)</f>
        <v>Q2-2023</v>
      </c>
      <c r="C69" t="str">
        <f>[1]StagingTable!F69&amp;"-"&amp;[1]StagingTable!G69&amp;"-"&amp;[1]StagingTable!H69</f>
        <v>Asia-Japan-Nagoya</v>
      </c>
      <c r="D69" t="str">
        <f>IF([1]StagingTable!T69&lt;=_xlfn.PERCENTILE.INC([1]StagingTable!T69:T700,0.33),"LOW",IF([1]StagingTable!T69&lt;=_xlfn.PERCENTILE.INC([1]StagingTable!T69:T700,0.67),"MEDIUM","HIGH"))</f>
        <v>MEDIUM</v>
      </c>
    </row>
    <row r="70" spans="1:4" x14ac:dyDescent="0.25">
      <c r="A70" t="str">
        <f>TEXT([1]StagingTable!B70,"MMM-YYY")</f>
        <v>Aug-2023</v>
      </c>
      <c r="B70" t="str">
        <f>"Q"&amp;ROUNDUP(MONTH([1]StagingTable!B70)/3,0)&amp;"-"&amp;YEAR([1]StagingTable!D69)</f>
        <v>Q3-2024</v>
      </c>
      <c r="C70" t="str">
        <f>[1]StagingTable!F70&amp;"-"&amp;[1]StagingTable!G70&amp;"-"&amp;[1]StagingTable!H70</f>
        <v>Africa-South Africa-Johannesburg</v>
      </c>
      <c r="D70" t="str">
        <f>IF([1]StagingTable!T70&lt;=_xlfn.PERCENTILE.INC([1]StagingTable!T70:T701,0.33),"LOW",IF([1]StagingTable!T70&lt;=_xlfn.PERCENTILE.INC([1]StagingTable!T70:T701,0.67),"MEDIUM","HIGH"))</f>
        <v>LOW</v>
      </c>
    </row>
    <row r="71" spans="1:4" x14ac:dyDescent="0.25">
      <c r="A71" t="str">
        <f>TEXT([1]StagingTable!B71,"MMM-YYY")</f>
        <v>Apr-2023</v>
      </c>
      <c r="B71" t="str">
        <f>"Q"&amp;ROUNDUP(MONTH([1]StagingTable!B71)/3,0)&amp;"-"&amp;YEAR([1]StagingTable!D70)</f>
        <v>Q2-2023</v>
      </c>
      <c r="C71" t="str">
        <f>[1]StagingTable!F71&amp;"-"&amp;[1]StagingTable!G71&amp;"-"&amp;[1]StagingTable!H71</f>
        <v>Asia-China-Shanghai</v>
      </c>
      <c r="D71" t="str">
        <f>IF([1]StagingTable!T71&lt;=_xlfn.PERCENTILE.INC([1]StagingTable!T71:T702,0.33),"LOW",IF([1]StagingTable!T71&lt;=_xlfn.PERCENTILE.INC([1]StagingTable!T71:T702,0.67),"MEDIUM","HIGH"))</f>
        <v>HIGH</v>
      </c>
    </row>
    <row r="72" spans="1:4" x14ac:dyDescent="0.25">
      <c r="A72" t="str">
        <f>TEXT([1]StagingTable!B72,"MMM-YYY")</f>
        <v>Mar-2024</v>
      </c>
      <c r="B72" t="str">
        <f>"Q"&amp;ROUNDUP(MONTH([1]StagingTable!B72)/3,0)&amp;"-"&amp;YEAR([1]StagingTable!D71)</f>
        <v>Q1-2023</v>
      </c>
      <c r="C72" t="str">
        <f>[1]StagingTable!F72&amp;"-"&amp;[1]StagingTable!G72&amp;"-"&amp;[1]StagingTable!H72</f>
        <v>Europe-Germany-Munich</v>
      </c>
      <c r="D72" t="str">
        <f>IF([1]StagingTable!T72&lt;=_xlfn.PERCENTILE.INC([1]StagingTable!T72:T703,0.33),"LOW",IF([1]StagingTable!T72&lt;=_xlfn.PERCENTILE.INC([1]StagingTable!T72:T703,0.67),"MEDIUM","HIGH"))</f>
        <v>MEDIUM</v>
      </c>
    </row>
    <row r="73" spans="1:4" x14ac:dyDescent="0.25">
      <c r="A73" t="str">
        <f>TEXT([1]StagingTable!B73,"MMM-YYY")</f>
        <v>Apr-2025</v>
      </c>
      <c r="B73" t="str">
        <f>"Q"&amp;ROUNDUP(MONTH([1]StagingTable!B73)/3,0)&amp;"-"&amp;YEAR([1]StagingTable!D72)</f>
        <v>Q2-2024</v>
      </c>
      <c r="C73" t="str">
        <f>[1]StagingTable!F73&amp;"-"&amp;[1]StagingTable!G73&amp;"-"&amp;[1]StagingTable!H73</f>
        <v>Americas-Brazil-Brasília</v>
      </c>
      <c r="D73" t="str">
        <f>IF([1]StagingTable!T73&lt;=_xlfn.PERCENTILE.INC([1]StagingTable!T73:T704,0.33),"LOW",IF([1]StagingTable!T73&lt;=_xlfn.PERCENTILE.INC([1]StagingTable!T73:T704,0.67),"MEDIUM","HIGH"))</f>
        <v>LOW</v>
      </c>
    </row>
    <row r="74" spans="1:4" x14ac:dyDescent="0.25">
      <c r="A74" t="str">
        <f>TEXT([1]StagingTable!B74,"MMM-YYY")</f>
        <v>Apr-2024</v>
      </c>
      <c r="B74" t="str">
        <f>"Q"&amp;ROUNDUP(MONTH([1]StagingTable!B74)/3,0)&amp;"-"&amp;YEAR([1]StagingTable!D73)</f>
        <v>Q2-2025</v>
      </c>
      <c r="C74" t="str">
        <f>[1]StagingTable!F74&amp;"-"&amp;[1]StagingTable!G74&amp;"-"&amp;[1]StagingTable!H74</f>
        <v>Africa-South Africa-Johannesburg</v>
      </c>
      <c r="D74" t="str">
        <f>IF([1]StagingTable!T74&lt;=_xlfn.PERCENTILE.INC([1]StagingTable!T74:T705,0.33),"LOW",IF([1]StagingTable!T74&lt;=_xlfn.PERCENTILE.INC([1]StagingTable!T74:T705,0.67),"MEDIUM","HIGH"))</f>
        <v>MEDIUM</v>
      </c>
    </row>
    <row r="75" spans="1:4" x14ac:dyDescent="0.25">
      <c r="A75" t="str">
        <f>TEXT([1]StagingTable!B75,"MMM-YYY")</f>
        <v>Dec-2024</v>
      </c>
      <c r="B75" t="str">
        <f>"Q"&amp;ROUNDUP(MONTH([1]StagingTable!B75)/3,0)&amp;"-"&amp;YEAR([1]StagingTable!D74)</f>
        <v>Q4-2024</v>
      </c>
      <c r="C75" t="str">
        <f>[1]StagingTable!F75&amp;"-"&amp;[1]StagingTable!G75&amp;"-"&amp;[1]StagingTable!H75</f>
        <v>Asia-China-Shenzhen</v>
      </c>
      <c r="D75" t="str">
        <f>IF([1]StagingTable!T75&lt;=_xlfn.PERCENTILE.INC([1]StagingTable!T75:T706,0.33),"LOW",IF([1]StagingTable!T75&lt;=_xlfn.PERCENTILE.INC([1]StagingTable!T75:T706,0.67),"MEDIUM","HIGH"))</f>
        <v>LOW</v>
      </c>
    </row>
    <row r="76" spans="1:4" x14ac:dyDescent="0.25">
      <c r="A76" t="str">
        <f>TEXT([1]StagingTable!B76,"MMM-YYY")</f>
        <v>May-2023</v>
      </c>
      <c r="B76" t="str">
        <f>"Q"&amp;ROUNDUP(MONTH([1]StagingTable!B76)/3,0)&amp;"-"&amp;YEAR([1]StagingTable!D75)</f>
        <v>Q2-2024</v>
      </c>
      <c r="C76" t="str">
        <f>[1]StagingTable!F76&amp;"-"&amp;[1]StagingTable!G76&amp;"-"&amp;[1]StagingTable!H76</f>
        <v>Africa-South Africa-Durban</v>
      </c>
      <c r="D76" t="str">
        <f>IF([1]StagingTable!T76&lt;=_xlfn.PERCENTILE.INC([1]StagingTable!T76:T707,0.33),"LOW",IF([1]StagingTable!T76&lt;=_xlfn.PERCENTILE.INC([1]StagingTable!T76:T707,0.67),"MEDIUM","HIGH"))</f>
        <v>MEDIUM</v>
      </c>
    </row>
    <row r="77" spans="1:4" x14ac:dyDescent="0.25">
      <c r="A77" t="str">
        <f>TEXT([1]StagingTable!B77,"MMM-YYY")</f>
        <v>Sep-2023</v>
      </c>
      <c r="B77" t="str">
        <f>"Q"&amp;ROUNDUP(MONTH([1]StagingTable!B77)/3,0)&amp;"-"&amp;YEAR([1]StagingTable!D76)</f>
        <v>Q3-2023</v>
      </c>
      <c r="C77" t="str">
        <f>[1]StagingTable!F77&amp;"-"&amp;[1]StagingTable!G77&amp;"-"&amp;[1]StagingTable!H77</f>
        <v>Asia-India-Delhi</v>
      </c>
      <c r="D77" t="str">
        <f>IF([1]StagingTable!T77&lt;=_xlfn.PERCENTILE.INC([1]StagingTable!T77:T708,0.33),"LOW",IF([1]StagingTable!T77&lt;=_xlfn.PERCENTILE.INC([1]StagingTable!T77:T708,0.67),"MEDIUM","HIGH"))</f>
        <v>MEDIUM</v>
      </c>
    </row>
    <row r="78" spans="1:4" x14ac:dyDescent="0.25">
      <c r="A78" t="str">
        <f>TEXT([1]StagingTable!B78,"MMM-YYY")</f>
        <v>Aug-2024</v>
      </c>
      <c r="B78" t="str">
        <f>"Q"&amp;ROUNDUP(MONTH([1]StagingTable!B78)/3,0)&amp;"-"&amp;YEAR([1]StagingTable!D77)</f>
        <v>Q3-2023</v>
      </c>
      <c r="C78" t="str">
        <f>[1]StagingTable!F78&amp;"-"&amp;[1]StagingTable!G78&amp;"-"&amp;[1]StagingTable!H78</f>
        <v>Americas-Brazil-Rio de Janeiro</v>
      </c>
      <c r="D78" t="str">
        <f>IF([1]StagingTable!T78&lt;=_xlfn.PERCENTILE.INC([1]StagingTable!T78:T709,0.33),"LOW",IF([1]StagingTable!T78&lt;=_xlfn.PERCENTILE.INC([1]StagingTable!T78:T709,0.67),"MEDIUM","HIGH"))</f>
        <v>HIGH</v>
      </c>
    </row>
    <row r="79" spans="1:4" x14ac:dyDescent="0.25">
      <c r="A79" t="str">
        <f>TEXT([1]StagingTable!B79,"MMM-YYY")</f>
        <v>Jun-2024</v>
      </c>
      <c r="B79" t="str">
        <f>"Q"&amp;ROUNDUP(MONTH([1]StagingTable!B79)/3,0)&amp;"-"&amp;YEAR([1]StagingTable!D78)</f>
        <v>Q2-2024</v>
      </c>
      <c r="C79" t="str">
        <f>[1]StagingTable!F79&amp;"-"&amp;[1]StagingTable!G79&amp;"-"&amp;[1]StagingTable!H79</f>
        <v>Americas-Brazil-Rio de Janeiro</v>
      </c>
      <c r="D79" t="str">
        <f>IF([1]StagingTable!T79&lt;=_xlfn.PERCENTILE.INC([1]StagingTable!T79:T710,0.33),"LOW",IF([1]StagingTable!T79&lt;=_xlfn.PERCENTILE.INC([1]StagingTable!T79:T710,0.67),"MEDIUM","HIGH"))</f>
        <v>HIGH</v>
      </c>
    </row>
    <row r="80" spans="1:4" x14ac:dyDescent="0.25">
      <c r="A80" t="str">
        <f>TEXT([1]StagingTable!B80,"MMM-YYY")</f>
        <v>Jun-2023</v>
      </c>
      <c r="B80" t="str">
        <f>"Q"&amp;ROUNDUP(MONTH([1]StagingTable!B80)/3,0)&amp;"-"&amp;YEAR([1]StagingTable!D79)</f>
        <v>Q2-2024</v>
      </c>
      <c r="C80" t="str">
        <f>[1]StagingTable!F80&amp;"-"&amp;[1]StagingTable!G80&amp;"-"&amp;[1]StagingTable!H80</f>
        <v>Europe-United Kingdom-Manchester</v>
      </c>
      <c r="D80" t="str">
        <f>IF([1]StagingTable!T80&lt;=_xlfn.PERCENTILE.INC([1]StagingTable!T80:T711,0.33),"LOW",IF([1]StagingTable!T80&lt;=_xlfn.PERCENTILE.INC([1]StagingTable!T80:T711,0.67),"MEDIUM","HIGH"))</f>
        <v>LOW</v>
      </c>
    </row>
    <row r="81" spans="1:4" x14ac:dyDescent="0.25">
      <c r="A81" t="str">
        <f>TEXT([1]StagingTable!B81,"MMM-YYY")</f>
        <v>Nov-2024</v>
      </c>
      <c r="B81" t="str">
        <f>"Q"&amp;ROUNDUP(MONTH([1]StagingTable!B81)/3,0)&amp;"-"&amp;YEAR([1]StagingTable!D80)</f>
        <v>Q4-2023</v>
      </c>
      <c r="C81" t="str">
        <f>[1]StagingTable!F81&amp;"-"&amp;[1]StagingTable!G81&amp;"-"&amp;[1]StagingTable!H81</f>
        <v>Europe-France-Marseille</v>
      </c>
      <c r="D81" t="str">
        <f>IF([1]StagingTable!T81&lt;=_xlfn.PERCENTILE.INC([1]StagingTable!T81:T712,0.33),"LOW",IF([1]StagingTable!T81&lt;=_xlfn.PERCENTILE.INC([1]StagingTable!T81:T712,0.67),"MEDIUM","HIGH"))</f>
        <v>HIGH</v>
      </c>
    </row>
    <row r="82" spans="1:4" x14ac:dyDescent="0.25">
      <c r="A82" t="str">
        <f>TEXT([1]StagingTable!B82,"MMM-YYY")</f>
        <v>Feb-2023</v>
      </c>
      <c r="B82" t="str">
        <f>"Q"&amp;ROUNDUP(MONTH([1]StagingTable!B82)/3,0)&amp;"-"&amp;YEAR([1]StagingTable!D81)</f>
        <v>Q1-2024</v>
      </c>
      <c r="C82" t="str">
        <f>[1]StagingTable!F82&amp;"-"&amp;[1]StagingTable!G82&amp;"-"&amp;[1]StagingTable!H82</f>
        <v>Africa-South Africa-Cape Town</v>
      </c>
      <c r="D82" t="str">
        <f>IF([1]StagingTable!T82&lt;=_xlfn.PERCENTILE.INC([1]StagingTable!T82:T713,0.33),"LOW",IF([1]StagingTable!T82&lt;=_xlfn.PERCENTILE.INC([1]StagingTable!T82:T713,0.67),"MEDIUM","HIGH"))</f>
        <v>HIGH</v>
      </c>
    </row>
    <row r="83" spans="1:4" x14ac:dyDescent="0.25">
      <c r="A83" t="str">
        <f>TEXT([1]StagingTable!B83,"MMM-YYY")</f>
        <v>Aug-2023</v>
      </c>
      <c r="B83" t="str">
        <f>"Q"&amp;ROUNDUP(MONTH([1]StagingTable!B83)/3,0)&amp;"-"&amp;YEAR([1]StagingTable!D82)</f>
        <v>Q3-2023</v>
      </c>
      <c r="C83" t="str">
        <f>[1]StagingTable!F83&amp;"-"&amp;[1]StagingTable!G83&amp;"-"&amp;[1]StagingTable!H83</f>
        <v>Americas-Canada-Vancouver</v>
      </c>
      <c r="D83" t="str">
        <f>IF([1]StagingTable!T83&lt;=_xlfn.PERCENTILE.INC([1]StagingTable!T83:T714,0.33),"LOW",IF([1]StagingTable!T83&lt;=_xlfn.PERCENTILE.INC([1]StagingTable!T83:T714,0.67),"MEDIUM","HIGH"))</f>
        <v>MEDIUM</v>
      </c>
    </row>
    <row r="84" spans="1:4" x14ac:dyDescent="0.25">
      <c r="A84" t="str">
        <f>TEXT([1]StagingTable!B84,"MMM-YYY")</f>
        <v>May-2025</v>
      </c>
      <c r="B84" t="str">
        <f>"Q"&amp;ROUNDUP(MONTH([1]StagingTable!B84)/3,0)&amp;"-"&amp;YEAR([1]StagingTable!D83)</f>
        <v>Q2-2023</v>
      </c>
      <c r="C84" t="str">
        <f>[1]StagingTable!F84&amp;"-"&amp;[1]StagingTable!G84&amp;"-"&amp;[1]StagingTable!H84</f>
        <v>Europe-France-Paris</v>
      </c>
      <c r="D84" t="str">
        <f>IF([1]StagingTable!T84&lt;=_xlfn.PERCENTILE.INC([1]StagingTable!T84:T715,0.33),"LOW",IF([1]StagingTable!T84&lt;=_xlfn.PERCENTILE.INC([1]StagingTable!T84:T715,0.67),"MEDIUM","HIGH"))</f>
        <v>LOW</v>
      </c>
    </row>
    <row r="85" spans="1:4" x14ac:dyDescent="0.25">
      <c r="A85" t="str">
        <f>TEXT([1]StagingTable!B85,"MMM-YYY")</f>
        <v>Apr-2025</v>
      </c>
      <c r="B85" t="str">
        <f>"Q"&amp;ROUNDUP(MONTH([1]StagingTable!B85)/3,0)&amp;"-"&amp;YEAR([1]StagingTable!D84)</f>
        <v>Q2-2025</v>
      </c>
      <c r="C85" t="str">
        <f>[1]StagingTable!F85&amp;"-"&amp;[1]StagingTable!G85&amp;"-"&amp;[1]StagingTable!H85</f>
        <v>Americas-USA-San Francisco</v>
      </c>
      <c r="D85" t="str">
        <f>IF([1]StagingTable!T85&lt;=_xlfn.PERCENTILE.INC([1]StagingTable!T85:T716,0.33),"LOW",IF([1]StagingTable!T85&lt;=_xlfn.PERCENTILE.INC([1]StagingTable!T85:T716,0.67),"MEDIUM","HIGH"))</f>
        <v>LOW</v>
      </c>
    </row>
    <row r="86" spans="1:4" x14ac:dyDescent="0.25">
      <c r="A86" t="str">
        <f>TEXT([1]StagingTable!B86,"MMM-YYY")</f>
        <v>Mar-2025</v>
      </c>
      <c r="B86" t="str">
        <f>"Q"&amp;ROUNDUP(MONTH([1]StagingTable!B86)/3,0)&amp;"-"&amp;YEAR([1]StagingTable!D85)</f>
        <v>Q1-2025</v>
      </c>
      <c r="C86" t="str">
        <f>[1]StagingTable!F86&amp;"-"&amp;[1]StagingTable!G86&amp;"-"&amp;[1]StagingTable!H86</f>
        <v>Europe-United Kingdom-London</v>
      </c>
      <c r="D86" t="str">
        <f>IF([1]StagingTable!T86&lt;=_xlfn.PERCENTILE.INC([1]StagingTable!T86:T717,0.33),"LOW",IF([1]StagingTable!T86&lt;=_xlfn.PERCENTILE.INC([1]StagingTable!T86:T717,0.67),"MEDIUM","HIGH"))</f>
        <v>HIGH</v>
      </c>
    </row>
    <row r="87" spans="1:4" x14ac:dyDescent="0.25">
      <c r="A87" t="str">
        <f>TEXT([1]StagingTable!B87,"MMM-YYY")</f>
        <v>Dec-2023</v>
      </c>
      <c r="B87" t="str">
        <f>"Q"&amp;ROUNDUP(MONTH([1]StagingTable!B87)/3,0)&amp;"-"&amp;YEAR([1]StagingTable!D86)</f>
        <v>Q4-2025</v>
      </c>
      <c r="C87" t="str">
        <f>[1]StagingTable!F87&amp;"-"&amp;[1]StagingTable!G87&amp;"-"&amp;[1]StagingTable!H87</f>
        <v>Africa-South Africa-Cape Town</v>
      </c>
      <c r="D87" t="str">
        <f>IF([1]StagingTable!T87&lt;=_xlfn.PERCENTILE.INC([1]StagingTable!T87:T718,0.33),"LOW",IF([1]StagingTable!T87&lt;=_xlfn.PERCENTILE.INC([1]StagingTable!T87:T718,0.67),"MEDIUM","HIGH"))</f>
        <v>MEDIUM</v>
      </c>
    </row>
    <row r="88" spans="1:4" x14ac:dyDescent="0.25">
      <c r="A88" t="str">
        <f>TEXT([1]StagingTable!B88,"MMM-YYY")</f>
        <v>Apr-2024</v>
      </c>
      <c r="B88" t="str">
        <f>"Q"&amp;ROUNDUP(MONTH([1]StagingTable!B88)/3,0)&amp;"-"&amp;YEAR([1]StagingTable!D87)</f>
        <v>Q2-2023</v>
      </c>
      <c r="C88" t="str">
        <f>[1]StagingTable!F88&amp;"-"&amp;[1]StagingTable!G88&amp;"-"&amp;[1]StagingTable!H88</f>
        <v>Asia-China-Shanghai</v>
      </c>
      <c r="D88" t="str">
        <f>IF([1]StagingTable!T88&lt;=_xlfn.PERCENTILE.INC([1]StagingTable!T88:T719,0.33),"LOW",IF([1]StagingTable!T88&lt;=_xlfn.PERCENTILE.INC([1]StagingTable!T88:T719,0.67),"MEDIUM","HIGH"))</f>
        <v>HIGH</v>
      </c>
    </row>
    <row r="89" spans="1:4" x14ac:dyDescent="0.25">
      <c r="A89" t="str">
        <f>TEXT([1]StagingTable!B89,"MMM-YYY")</f>
        <v>Aug-2025</v>
      </c>
      <c r="B89" t="str">
        <f>"Q"&amp;ROUNDUP(MONTH([1]StagingTable!B89)/3,0)&amp;"-"&amp;YEAR([1]StagingTable!D88)</f>
        <v>Q3-2024</v>
      </c>
      <c r="C89" t="str">
        <f>[1]StagingTable!F89&amp;"-"&amp;[1]StagingTable!G89&amp;"-"&amp;[1]StagingTable!H89</f>
        <v>Africa-Kenya-Nakuru</v>
      </c>
      <c r="D89" t="str">
        <f>IF([1]StagingTable!T89&lt;=_xlfn.PERCENTILE.INC([1]StagingTable!T89:T720,0.33),"LOW",IF([1]StagingTable!T89&lt;=_xlfn.PERCENTILE.INC([1]StagingTable!T89:T720,0.67),"MEDIUM","HIGH"))</f>
        <v>LOW</v>
      </c>
    </row>
    <row r="90" spans="1:4" x14ac:dyDescent="0.25">
      <c r="A90" t="str">
        <f>TEXT([1]StagingTable!B90,"MMM-YYY")</f>
        <v>Jan-2024</v>
      </c>
      <c r="B90" t="str">
        <f>"Q"&amp;ROUNDUP(MONTH([1]StagingTable!B90)/3,0)&amp;"-"&amp;YEAR([1]StagingTable!D89)</f>
        <v>Q1-2025</v>
      </c>
      <c r="C90" t="str">
        <f>[1]StagingTable!F90&amp;"-"&amp;[1]StagingTable!G90&amp;"-"&amp;[1]StagingTable!H90</f>
        <v>Asia-India-Delhi</v>
      </c>
      <c r="D90" t="str">
        <f>IF([1]StagingTable!T90&lt;=_xlfn.PERCENTILE.INC([1]StagingTable!T90:T721,0.33),"LOW",IF([1]StagingTable!T90&lt;=_xlfn.PERCENTILE.INC([1]StagingTable!T90:T721,0.67),"MEDIUM","HIGH"))</f>
        <v>MEDIUM</v>
      </c>
    </row>
    <row r="91" spans="1:4" x14ac:dyDescent="0.25">
      <c r="A91" t="str">
        <f>TEXT([1]StagingTable!B91,"MMM-YYY")</f>
        <v>Jun-2023</v>
      </c>
      <c r="B91" t="str">
        <f>"Q"&amp;ROUNDUP(MONTH([1]StagingTable!B91)/3,0)&amp;"-"&amp;YEAR([1]StagingTable!D90)</f>
        <v>Q2-2024</v>
      </c>
      <c r="C91" t="str">
        <f>[1]StagingTable!F91&amp;"-"&amp;[1]StagingTable!G91&amp;"-"&amp;[1]StagingTable!H91</f>
        <v>Asia-Japan-Nagoya</v>
      </c>
      <c r="D91" t="str">
        <f>IF([1]StagingTable!T91&lt;=_xlfn.PERCENTILE.INC([1]StagingTable!T91:T722,0.33),"LOW",IF([1]StagingTable!T91&lt;=_xlfn.PERCENTILE.INC([1]StagingTable!T91:T722,0.67),"MEDIUM","HIGH"))</f>
        <v>LOW</v>
      </c>
    </row>
    <row r="92" spans="1:4" x14ac:dyDescent="0.25">
      <c r="A92" t="str">
        <f>TEXT([1]StagingTable!B92,"MMM-YYY")</f>
        <v>Apr-2025</v>
      </c>
      <c r="B92" t="str">
        <f>"Q"&amp;ROUNDUP(MONTH([1]StagingTable!B92)/3,0)&amp;"-"&amp;YEAR([1]StagingTable!D91)</f>
        <v>Q2-2023</v>
      </c>
      <c r="C92" t="str">
        <f>[1]StagingTable!F92&amp;"-"&amp;[1]StagingTable!G92&amp;"-"&amp;[1]StagingTable!H92</f>
        <v>Asia-Japan-Nagoya</v>
      </c>
      <c r="D92" t="str">
        <f>IF([1]StagingTable!T92&lt;=_xlfn.PERCENTILE.INC([1]StagingTable!T92:T723,0.33),"LOW",IF([1]StagingTable!T92&lt;=_xlfn.PERCENTILE.INC([1]StagingTable!T92:T723,0.67),"MEDIUM","HIGH"))</f>
        <v>MEDIUM</v>
      </c>
    </row>
    <row r="93" spans="1:4" x14ac:dyDescent="0.25">
      <c r="A93" t="str">
        <f>TEXT([1]StagingTable!B93,"MMM-YYY")</f>
        <v>Jun-2025</v>
      </c>
      <c r="B93" t="str">
        <f>"Q"&amp;ROUNDUP(MONTH([1]StagingTable!B93)/3,0)&amp;"-"&amp;YEAR([1]StagingTable!D92)</f>
        <v>Q2-2025</v>
      </c>
      <c r="C93" t="str">
        <f>[1]StagingTable!F93&amp;"-"&amp;[1]StagingTable!G93&amp;"-"&amp;[1]StagingTable!H93</f>
        <v>Asia-India-Hyderabad</v>
      </c>
      <c r="D93" t="str">
        <f>IF([1]StagingTable!T93&lt;=_xlfn.PERCENTILE.INC([1]StagingTable!T93:T724,0.33),"LOW",IF([1]StagingTable!T93&lt;=_xlfn.PERCENTILE.INC([1]StagingTable!T93:T724,0.67),"MEDIUM","HIGH"))</f>
        <v>MEDIUM</v>
      </c>
    </row>
    <row r="94" spans="1:4" x14ac:dyDescent="0.25">
      <c r="A94" t="str">
        <f>TEXT([1]StagingTable!B94,"MMM-YYY")</f>
        <v>Jun-2023</v>
      </c>
      <c r="B94" t="str">
        <f>"Q"&amp;ROUNDUP(MONTH([1]StagingTable!B94)/3,0)&amp;"-"&amp;YEAR([1]StagingTable!D93)</f>
        <v>Q2-2025</v>
      </c>
      <c r="C94" t="str">
        <f>[1]StagingTable!F94&amp;"-"&amp;[1]StagingTable!G94&amp;"-"&amp;[1]StagingTable!H94</f>
        <v>Americas-Brazil-Rio de Janeiro</v>
      </c>
      <c r="D94" t="str">
        <f>IF([1]StagingTable!T94&lt;=_xlfn.PERCENTILE.INC([1]StagingTable!T94:T725,0.33),"LOW",IF([1]StagingTable!T94&lt;=_xlfn.PERCENTILE.INC([1]StagingTable!T94:T725,0.67),"MEDIUM","HIGH"))</f>
        <v>MEDIUM</v>
      </c>
    </row>
    <row r="95" spans="1:4" x14ac:dyDescent="0.25">
      <c r="A95" t="str">
        <f>TEXT([1]StagingTable!B95,"MMM-YYY")</f>
        <v>Oct-2024</v>
      </c>
      <c r="B95" t="str">
        <f>"Q"&amp;ROUNDUP(MONTH([1]StagingTable!B95)/3,0)&amp;"-"&amp;YEAR([1]StagingTable!D94)</f>
        <v>Q4-2023</v>
      </c>
      <c r="C95" t="str">
        <f>[1]StagingTable!F95&amp;"-"&amp;[1]StagingTable!G95&amp;"-"&amp;[1]StagingTable!H95</f>
        <v>Africa-Nigeria-Abuja</v>
      </c>
      <c r="D95" t="str">
        <f>IF([1]StagingTable!T95&lt;=_xlfn.PERCENTILE.INC([1]StagingTable!T95:T726,0.33),"LOW",IF([1]StagingTable!T95&lt;=_xlfn.PERCENTILE.INC([1]StagingTable!T95:T726,0.67),"MEDIUM","HIGH"))</f>
        <v>MEDIUM</v>
      </c>
    </row>
    <row r="96" spans="1:4" x14ac:dyDescent="0.25">
      <c r="A96" t="str">
        <f>TEXT([1]StagingTable!B96,"MMM-YYY")</f>
        <v>Sep-2025</v>
      </c>
      <c r="B96" t="str">
        <f>"Q"&amp;ROUNDUP(MONTH([1]StagingTable!B96)/3,0)&amp;"-"&amp;YEAR([1]StagingTable!D95)</f>
        <v>Q3-2024</v>
      </c>
      <c r="C96" t="str">
        <f>[1]StagingTable!F96&amp;"-"&amp;[1]StagingTable!G96&amp;"-"&amp;[1]StagingTable!H96</f>
        <v>Africa-Kenya-Mombasa</v>
      </c>
      <c r="D96" t="str">
        <f>IF([1]StagingTable!T96&lt;=_xlfn.PERCENTILE.INC([1]StagingTable!T96:T727,0.33),"LOW",IF([1]StagingTable!T96&lt;=_xlfn.PERCENTILE.INC([1]StagingTable!T96:T727,0.67),"MEDIUM","HIGH"))</f>
        <v>MEDIUM</v>
      </c>
    </row>
    <row r="97" spans="1:4" x14ac:dyDescent="0.25">
      <c r="A97" t="str">
        <f>TEXT([1]StagingTable!B97,"MMM-YYY")</f>
        <v>Apr-2023</v>
      </c>
      <c r="B97" t="str">
        <f>"Q"&amp;ROUNDUP(MONTH([1]StagingTable!B97)/3,0)&amp;"-"&amp;YEAR([1]StagingTable!D96)</f>
        <v>Q2-2025</v>
      </c>
      <c r="C97" t="str">
        <f>[1]StagingTable!F97&amp;"-"&amp;[1]StagingTable!G97&amp;"-"&amp;[1]StagingTable!H97</f>
        <v>Europe-United Kingdom-Manchester</v>
      </c>
      <c r="D97" t="str">
        <f>IF([1]StagingTable!T97&lt;=_xlfn.PERCENTILE.INC([1]StagingTable!T97:T728,0.33),"LOW",IF([1]StagingTable!T97&lt;=_xlfn.PERCENTILE.INC([1]StagingTable!T97:T728,0.67),"MEDIUM","HIGH"))</f>
        <v>HIGH</v>
      </c>
    </row>
    <row r="98" spans="1:4" x14ac:dyDescent="0.25">
      <c r="A98" t="str">
        <f>TEXT([1]StagingTable!B98,"MMM-YYY")</f>
        <v>Aug-2025</v>
      </c>
      <c r="B98" t="str">
        <f>"Q"&amp;ROUNDUP(MONTH([1]StagingTable!B98)/3,0)&amp;"-"&amp;YEAR([1]StagingTable!D97)</f>
        <v>Q3-2023</v>
      </c>
      <c r="C98" t="str">
        <f>[1]StagingTable!F98&amp;"-"&amp;[1]StagingTable!G98&amp;"-"&amp;[1]StagingTable!H98</f>
        <v>Asia-India-Unknown</v>
      </c>
      <c r="D98" t="str">
        <f>IF([1]StagingTable!T98&lt;=_xlfn.PERCENTILE.INC([1]StagingTable!T98:T729,0.33),"LOW",IF([1]StagingTable!T98&lt;=_xlfn.PERCENTILE.INC([1]StagingTable!T98:T729,0.67),"MEDIUM","HIGH"))</f>
        <v>LOW</v>
      </c>
    </row>
    <row r="99" spans="1:4" x14ac:dyDescent="0.25">
      <c r="A99" t="str">
        <f>TEXT([1]StagingTable!B99,"MMM-YYY")</f>
        <v>May-2024</v>
      </c>
      <c r="B99" t="str">
        <f>"Q"&amp;ROUNDUP(MONTH([1]StagingTable!B99)/3,0)&amp;"-"&amp;YEAR([1]StagingTable!D98)</f>
        <v>Q2-2025</v>
      </c>
      <c r="C99" t="str">
        <f>[1]StagingTable!F99&amp;"-"&amp;[1]StagingTable!G99&amp;"-"&amp;[1]StagingTable!H99</f>
        <v>Africa-Nigeria-Abuja</v>
      </c>
      <c r="D99" t="str">
        <f>IF([1]StagingTable!T99&lt;=_xlfn.PERCENTILE.INC([1]StagingTable!T99:T730,0.33),"LOW",IF([1]StagingTable!T99&lt;=_xlfn.PERCENTILE.INC([1]StagingTable!T99:T730,0.67),"MEDIUM","HIGH"))</f>
        <v>HIGH</v>
      </c>
    </row>
    <row r="100" spans="1:4" x14ac:dyDescent="0.25">
      <c r="A100" t="str">
        <f>TEXT([1]StagingTable!B100,"MMM-YYY")</f>
        <v>Jul-2025</v>
      </c>
      <c r="B100" t="str">
        <f>"Q"&amp;ROUNDUP(MONTH([1]StagingTable!B100)/3,0)&amp;"-"&amp;YEAR([1]StagingTable!D99)</f>
        <v>Q3-2024</v>
      </c>
      <c r="C100" t="str">
        <f>[1]StagingTable!F100&amp;"-"&amp;[1]StagingTable!G100&amp;"-"&amp;[1]StagingTable!H100</f>
        <v>Asia-China-Shenzhen</v>
      </c>
      <c r="D100" t="str">
        <f>IF([1]StagingTable!T100&lt;=_xlfn.PERCENTILE.INC([1]StagingTable!T100:T731,0.33),"LOW",IF([1]StagingTable!T100&lt;=_xlfn.PERCENTILE.INC([1]StagingTable!T100:T731,0.67),"MEDIUM","HIGH"))</f>
        <v>LOW</v>
      </c>
    </row>
    <row r="101" spans="1:4" x14ac:dyDescent="0.25">
      <c r="A101" t="str">
        <f>TEXT([1]StagingTable!B101,"MMM-YYY")</f>
        <v>Feb-2023</v>
      </c>
      <c r="B101" t="str">
        <f>"Q"&amp;ROUNDUP(MONTH([1]StagingTable!B101)/3,0)&amp;"-"&amp;YEAR([1]StagingTable!D100)</f>
        <v>Q1-2025</v>
      </c>
      <c r="C101" t="str">
        <f>[1]StagingTable!F101&amp;"-"&amp;[1]StagingTable!G101&amp;"-"&amp;[1]StagingTable!H101</f>
        <v>Europe-Germany-Berlin</v>
      </c>
      <c r="D101" t="str">
        <f>IF([1]StagingTable!T101&lt;=_xlfn.PERCENTILE.INC([1]StagingTable!T101:T732,0.33),"LOW",IF([1]StagingTable!T101&lt;=_xlfn.PERCENTILE.INC([1]StagingTable!T101:T732,0.67),"MEDIUM","HIGH"))</f>
        <v>HIGH</v>
      </c>
    </row>
    <row r="102" spans="1:4" x14ac:dyDescent="0.25">
      <c r="A102" t="str">
        <f>TEXT([1]StagingTable!B102,"MMM-YYY")</f>
        <v>Jan-2025</v>
      </c>
      <c r="B102" t="str">
        <f>"Q"&amp;ROUNDUP(MONTH([1]StagingTable!B102)/3,0)&amp;"-"&amp;YEAR([1]StagingTable!D101)</f>
        <v>Q1-2023</v>
      </c>
      <c r="C102" t="str">
        <f>[1]StagingTable!F102&amp;"-"&amp;[1]StagingTable!G102&amp;"-"&amp;[1]StagingTable!H102</f>
        <v>Asia-China-Shenzhen</v>
      </c>
      <c r="D102" t="str">
        <f>IF([1]StagingTable!T102&lt;=_xlfn.PERCENTILE.INC([1]StagingTable!T102:T733,0.33),"LOW",IF([1]StagingTable!T102&lt;=_xlfn.PERCENTILE.INC([1]StagingTable!T102:T733,0.67),"MEDIUM","HIGH"))</f>
        <v>HIGH</v>
      </c>
    </row>
    <row r="103" spans="1:4" x14ac:dyDescent="0.25">
      <c r="A103" t="str">
        <f>TEXT([1]StagingTable!B103,"MMM-YYY")</f>
        <v>Jan-2024</v>
      </c>
      <c r="B103" t="str">
        <f>"Q"&amp;ROUNDUP(MONTH([1]StagingTable!B103)/3,0)&amp;"-"&amp;YEAR([1]StagingTable!D102)</f>
        <v>Q1-2025</v>
      </c>
      <c r="C103" t="str">
        <f>[1]StagingTable!F103&amp;"-"&amp;[1]StagingTable!G103&amp;"-"&amp;[1]StagingTable!H103</f>
        <v>Asia-India-Mumbai</v>
      </c>
      <c r="D103" t="str">
        <f>IF([1]StagingTable!T103&lt;=_xlfn.PERCENTILE.INC([1]StagingTable!T103:T734,0.33),"LOW",IF([1]StagingTable!T103&lt;=_xlfn.PERCENTILE.INC([1]StagingTable!T103:T734,0.67),"MEDIUM","HIGH"))</f>
        <v>LOW</v>
      </c>
    </row>
    <row r="104" spans="1:4" x14ac:dyDescent="0.25">
      <c r="A104" t="str">
        <f>TEXT([1]StagingTable!B104,"MMM-YYY")</f>
        <v>Mar-2025</v>
      </c>
      <c r="B104" t="str">
        <f>"Q"&amp;ROUNDUP(MONTH([1]StagingTable!B104)/3,0)&amp;"-"&amp;YEAR([1]StagingTable!D103)</f>
        <v>Q1-2024</v>
      </c>
      <c r="C104" t="str">
        <f>[1]StagingTable!F104&amp;"-"&amp;[1]StagingTable!G104&amp;"-"&amp;[1]StagingTable!H104</f>
        <v>Africa-Kenya-Nakuru</v>
      </c>
      <c r="D104" t="str">
        <f>IF([1]StagingTable!T104&lt;=_xlfn.PERCENTILE.INC([1]StagingTable!T104:T735,0.33),"LOW",IF([1]StagingTable!T104&lt;=_xlfn.PERCENTILE.INC([1]StagingTable!T104:T735,0.67),"MEDIUM","HIGH"))</f>
        <v>HIGH</v>
      </c>
    </row>
    <row r="105" spans="1:4" x14ac:dyDescent="0.25">
      <c r="A105" t="str">
        <f>TEXT([1]StagingTable!B105,"MMM-YYY")</f>
        <v>Dec-2024</v>
      </c>
      <c r="B105" t="str">
        <f>"Q"&amp;ROUNDUP(MONTH([1]StagingTable!B105)/3,0)&amp;"-"&amp;YEAR([1]StagingTable!D104)</f>
        <v>Q4-2025</v>
      </c>
      <c r="C105" t="str">
        <f>[1]StagingTable!F105&amp;"-"&amp;[1]StagingTable!G105&amp;"-"&amp;[1]StagingTable!H105</f>
        <v>Americas-Canada-Vancouver</v>
      </c>
      <c r="D105" t="str">
        <f>IF([1]StagingTable!T105&lt;=_xlfn.PERCENTILE.INC([1]StagingTable!T105:T736,0.33),"LOW",IF([1]StagingTable!T105&lt;=_xlfn.PERCENTILE.INC([1]StagingTable!T105:T736,0.67),"MEDIUM","HIGH"))</f>
        <v>LOW</v>
      </c>
    </row>
    <row r="106" spans="1:4" x14ac:dyDescent="0.25">
      <c r="A106" t="str">
        <f>TEXT([1]StagingTable!B106,"MMM-YYY")</f>
        <v>Sep-2024</v>
      </c>
      <c r="B106" t="str">
        <f>"Q"&amp;ROUNDUP(MONTH([1]StagingTable!B106)/3,0)&amp;"-"&amp;YEAR([1]StagingTable!D105)</f>
        <v>Q3-2024</v>
      </c>
      <c r="C106" t="str">
        <f>[1]StagingTable!F106&amp;"-"&amp;[1]StagingTable!G106&amp;"-"&amp;[1]StagingTable!H106</f>
        <v>Asia-China-Shanghai</v>
      </c>
      <c r="D106" t="str">
        <f>IF([1]StagingTable!T106&lt;=_xlfn.PERCENTILE.INC([1]StagingTable!T106:T737,0.33),"LOW",IF([1]StagingTable!T106&lt;=_xlfn.PERCENTILE.INC([1]StagingTable!T106:T737,0.67),"MEDIUM","HIGH"))</f>
        <v>HIGH</v>
      </c>
    </row>
    <row r="107" spans="1:4" x14ac:dyDescent="0.25">
      <c r="A107" t="str">
        <f>TEXT([1]StagingTable!B107,"MMM-YYY")</f>
        <v>May-2024</v>
      </c>
      <c r="B107" t="str">
        <f>"Q"&amp;ROUNDUP(MONTH([1]StagingTable!B107)/3,0)&amp;"-"&amp;YEAR([1]StagingTable!D106)</f>
        <v>Q2-2024</v>
      </c>
      <c r="C107" t="str">
        <f>[1]StagingTable!F107&amp;"-"&amp;[1]StagingTable!G107&amp;"-"&amp;[1]StagingTable!H107</f>
        <v>Africa-South Africa-Johannesburg</v>
      </c>
      <c r="D107" t="str">
        <f>IF([1]StagingTable!T107&lt;=_xlfn.PERCENTILE.INC([1]StagingTable!T107:T738,0.33),"LOW",IF([1]StagingTable!T107&lt;=_xlfn.PERCENTILE.INC([1]StagingTable!T107:T738,0.67),"MEDIUM","HIGH"))</f>
        <v>MEDIUM</v>
      </c>
    </row>
    <row r="108" spans="1:4" x14ac:dyDescent="0.25">
      <c r="A108" t="str">
        <f>TEXT([1]StagingTable!B108,"MMM-YYY")</f>
        <v>May-2023</v>
      </c>
      <c r="B108" t="str">
        <f>"Q"&amp;ROUNDUP(MONTH([1]StagingTable!B108)/3,0)&amp;"-"&amp;YEAR([1]StagingTable!D107)</f>
        <v>Q2-2024</v>
      </c>
      <c r="C108" t="str">
        <f>[1]StagingTable!F108&amp;"-"&amp;[1]StagingTable!G108&amp;"-"&amp;[1]StagingTable!H108</f>
        <v>Africa-Kenya-Mombasa</v>
      </c>
      <c r="D108" t="str">
        <f>IF([1]StagingTable!T108&lt;=_xlfn.PERCENTILE.INC([1]StagingTable!T108:T739,0.33),"LOW",IF([1]StagingTable!T108&lt;=_xlfn.PERCENTILE.INC([1]StagingTable!T108:T739,0.67),"MEDIUM","HIGH"))</f>
        <v>LOW</v>
      </c>
    </row>
    <row r="109" spans="1:4" x14ac:dyDescent="0.25">
      <c r="A109" t="str">
        <f>TEXT([1]StagingTable!B109,"MMM-YYY")</f>
        <v>Aug-2024</v>
      </c>
      <c r="B109" t="str">
        <f>"Q"&amp;ROUNDUP(MONTH([1]StagingTable!B109)/3,0)&amp;"-"&amp;YEAR([1]StagingTable!D108)</f>
        <v>Q3-2023</v>
      </c>
      <c r="C109" t="str">
        <f>[1]StagingTable!F109&amp;"-"&amp;[1]StagingTable!G109&amp;"-"&amp;[1]StagingTable!H109</f>
        <v>Europe-United Kingdom-Manchester</v>
      </c>
      <c r="D109" t="str">
        <f>IF([1]StagingTable!T109&lt;=_xlfn.PERCENTILE.INC([1]StagingTable!T109:T740,0.33),"LOW",IF([1]StagingTable!T109&lt;=_xlfn.PERCENTILE.INC([1]StagingTable!T109:T740,0.67),"MEDIUM","HIGH"))</f>
        <v>HIGH</v>
      </c>
    </row>
    <row r="110" spans="1:4" x14ac:dyDescent="0.25">
      <c r="A110" t="str">
        <f>TEXT([1]StagingTable!B110,"MMM-YYY")</f>
        <v>Oct-2024</v>
      </c>
      <c r="B110" t="str">
        <f>"Q"&amp;ROUNDUP(MONTH([1]StagingTable!B110)/3,0)&amp;"-"&amp;YEAR([1]StagingTable!D109)</f>
        <v>Q4-2024</v>
      </c>
      <c r="C110" t="str">
        <f>[1]StagingTable!F110&amp;"-"&amp;[1]StagingTable!G110&amp;"-"&amp;[1]StagingTable!H110</f>
        <v>Asia-Japan-Osaka</v>
      </c>
      <c r="D110" t="str">
        <f>IF([1]StagingTable!T110&lt;=_xlfn.PERCENTILE.INC([1]StagingTable!T110:T741,0.33),"LOW",IF([1]StagingTable!T110&lt;=_xlfn.PERCENTILE.INC([1]StagingTable!T110:T741,0.67),"MEDIUM","HIGH"))</f>
        <v>LOW</v>
      </c>
    </row>
    <row r="111" spans="1:4" x14ac:dyDescent="0.25">
      <c r="A111" t="str">
        <f>TEXT([1]StagingTable!B111,"MMM-YYY")</f>
        <v>Jun-2024</v>
      </c>
      <c r="B111" t="str">
        <f>"Q"&amp;ROUNDUP(MONTH([1]StagingTable!B111)/3,0)&amp;"-"&amp;YEAR([1]StagingTable!D110)</f>
        <v>Q2-2024</v>
      </c>
      <c r="C111" t="str">
        <f>[1]StagingTable!F111&amp;"-"&amp;[1]StagingTable!G111&amp;"-"&amp;[1]StagingTable!H111</f>
        <v>Africa-Kenya-Kisumu</v>
      </c>
      <c r="D111" t="str">
        <f>IF([1]StagingTable!T111&lt;=_xlfn.PERCENTILE.INC([1]StagingTable!T111:T742,0.33),"LOW",IF([1]StagingTable!T111&lt;=_xlfn.PERCENTILE.INC([1]StagingTable!T111:T742,0.67),"MEDIUM","HIGH"))</f>
        <v>LOW</v>
      </c>
    </row>
    <row r="112" spans="1:4" x14ac:dyDescent="0.25">
      <c r="A112" t="str">
        <f>TEXT([1]StagingTable!B112,"MMM-YYY")</f>
        <v>Jun-2024</v>
      </c>
      <c r="B112" t="str">
        <f>"Q"&amp;ROUNDUP(MONTH([1]StagingTable!B112)/3,0)&amp;"-"&amp;YEAR([1]StagingTable!D111)</f>
        <v>Q2-2024</v>
      </c>
      <c r="C112" t="str">
        <f>[1]StagingTable!F112&amp;"-"&amp;[1]StagingTable!G112&amp;"-"&amp;[1]StagingTable!H112</f>
        <v>Asia-China-Shenzhen</v>
      </c>
      <c r="D112" t="str">
        <f>IF([1]StagingTable!T112&lt;=_xlfn.PERCENTILE.INC([1]StagingTable!T112:T743,0.33),"LOW",IF([1]StagingTable!T112&lt;=_xlfn.PERCENTILE.INC([1]StagingTable!T112:T743,0.67),"MEDIUM","HIGH"))</f>
        <v>MEDIUM</v>
      </c>
    </row>
    <row r="113" spans="1:4" x14ac:dyDescent="0.25">
      <c r="A113" t="str">
        <f>TEXT([1]StagingTable!B113,"MMM-YYY")</f>
        <v>Jun-2024</v>
      </c>
      <c r="B113" t="str">
        <f>"Q"&amp;ROUNDUP(MONTH([1]StagingTable!B113)/3,0)&amp;"-"&amp;YEAR([1]StagingTable!D112)</f>
        <v>Q2-2024</v>
      </c>
      <c r="C113" t="str">
        <f>[1]StagingTable!F113&amp;"-"&amp;[1]StagingTable!G113&amp;"-"&amp;[1]StagingTable!H113</f>
        <v>Europe-United Kingdom-Birmingham</v>
      </c>
      <c r="D113" t="str">
        <f>IF([1]StagingTable!T113&lt;=_xlfn.PERCENTILE.INC([1]StagingTable!T113:T744,0.33),"LOW",IF([1]StagingTable!T113&lt;=_xlfn.PERCENTILE.INC([1]StagingTable!T113:T744,0.67),"MEDIUM","HIGH"))</f>
        <v>HIGH</v>
      </c>
    </row>
    <row r="114" spans="1:4" x14ac:dyDescent="0.25">
      <c r="A114" t="str">
        <f>TEXT([1]StagingTable!B114,"MMM-YYY")</f>
        <v>Jun-2024</v>
      </c>
      <c r="B114" t="str">
        <f>"Q"&amp;ROUNDUP(MONTH([1]StagingTable!B114)/3,0)&amp;"-"&amp;YEAR([1]StagingTable!D113)</f>
        <v>Q2-2024</v>
      </c>
      <c r="C114" t="str">
        <f>[1]StagingTable!F114&amp;"-"&amp;[1]StagingTable!G114&amp;"-"&amp;[1]StagingTable!H114</f>
        <v>Africa-South Africa-Durban</v>
      </c>
      <c r="D114" t="str">
        <f>IF([1]StagingTable!T114&lt;=_xlfn.PERCENTILE.INC([1]StagingTable!T114:T745,0.33),"LOW",IF([1]StagingTable!T114&lt;=_xlfn.PERCENTILE.INC([1]StagingTable!T114:T745,0.67),"MEDIUM","HIGH"))</f>
        <v>LOW</v>
      </c>
    </row>
    <row r="115" spans="1:4" x14ac:dyDescent="0.25">
      <c r="A115" t="str">
        <f>TEXT([1]StagingTable!B115,"MMM-YYY")</f>
        <v>Jan-2025</v>
      </c>
      <c r="B115" t="str">
        <f>"Q"&amp;ROUNDUP(MONTH([1]StagingTable!B115)/3,0)&amp;"-"&amp;YEAR([1]StagingTable!D114)</f>
        <v>Q1-2024</v>
      </c>
      <c r="C115" t="str">
        <f>[1]StagingTable!F115&amp;"-"&amp;[1]StagingTable!G115&amp;"-"&amp;[1]StagingTable!H115</f>
        <v>Americas-USA-Austin</v>
      </c>
      <c r="D115" t="str">
        <f>IF([1]StagingTable!T115&lt;=_xlfn.PERCENTILE.INC([1]StagingTable!T115:T746,0.33),"LOW",IF([1]StagingTable!T115&lt;=_xlfn.PERCENTILE.INC([1]StagingTable!T115:T746,0.67),"MEDIUM","HIGH"))</f>
        <v>LOW</v>
      </c>
    </row>
    <row r="116" spans="1:4" x14ac:dyDescent="0.25">
      <c r="A116" t="str">
        <f>TEXT([1]StagingTable!B116,"MMM-YYY")</f>
        <v>Nov-2023</v>
      </c>
      <c r="B116" t="str">
        <f>"Q"&amp;ROUNDUP(MONTH([1]StagingTable!B116)/3,0)&amp;"-"&amp;YEAR([1]StagingTable!D115)</f>
        <v>Q4-2025</v>
      </c>
      <c r="C116" t="str">
        <f>[1]StagingTable!F116&amp;"-"&amp;[1]StagingTable!G116&amp;"-"&amp;[1]StagingTable!H116</f>
        <v>Asia-Japan-Tokyo</v>
      </c>
      <c r="D116" t="str">
        <f>IF([1]StagingTable!T116&lt;=_xlfn.PERCENTILE.INC([1]StagingTable!T116:T747,0.33),"LOW",IF([1]StagingTable!T116&lt;=_xlfn.PERCENTILE.INC([1]StagingTable!T116:T747,0.67),"MEDIUM","HIGH"))</f>
        <v>LOW</v>
      </c>
    </row>
    <row r="117" spans="1:4" x14ac:dyDescent="0.25">
      <c r="A117" t="str">
        <f>TEXT([1]StagingTable!B117,"MMM-YYY")</f>
        <v>Mar-2023</v>
      </c>
      <c r="B117" t="str">
        <f>"Q"&amp;ROUNDUP(MONTH([1]StagingTable!B117)/3,0)&amp;"-"&amp;YEAR([1]StagingTable!D116)</f>
        <v>Q1-2023</v>
      </c>
      <c r="C117" t="str">
        <f>[1]StagingTable!F117&amp;"-"&amp;[1]StagingTable!G117&amp;"-"&amp;[1]StagingTable!H117</f>
        <v>Americas-Brazil-Brasília</v>
      </c>
      <c r="D117" t="str">
        <f>IF([1]StagingTable!T117&lt;=_xlfn.PERCENTILE.INC([1]StagingTable!T117:T748,0.33),"LOW",IF([1]StagingTable!T117&lt;=_xlfn.PERCENTILE.INC([1]StagingTable!T117:T748,0.67),"MEDIUM","HIGH"))</f>
        <v>HIGH</v>
      </c>
    </row>
    <row r="118" spans="1:4" x14ac:dyDescent="0.25">
      <c r="A118" t="str">
        <f>TEXT([1]StagingTable!B118,"MMM-YYY")</f>
        <v>Jun-2025</v>
      </c>
      <c r="B118" t="str">
        <f>"Q"&amp;ROUNDUP(MONTH([1]StagingTable!B118)/3,0)&amp;"-"&amp;YEAR([1]StagingTable!D117)</f>
        <v>Q2-2023</v>
      </c>
      <c r="C118" t="str">
        <f>[1]StagingTable!F118&amp;"-"&amp;[1]StagingTable!G118&amp;"-"&amp;[1]StagingTable!H118</f>
        <v>Americas-Canada-Toronto</v>
      </c>
      <c r="D118" t="str">
        <f>IF([1]StagingTable!T118&lt;=_xlfn.PERCENTILE.INC([1]StagingTable!T118:T749,0.33),"LOW",IF([1]StagingTable!T118&lt;=_xlfn.PERCENTILE.INC([1]StagingTable!T118:T749,0.67),"MEDIUM","HIGH"))</f>
        <v>LOW</v>
      </c>
    </row>
    <row r="119" spans="1:4" x14ac:dyDescent="0.25">
      <c r="A119" t="str">
        <f>TEXT([1]StagingTable!B119,"MMM-YYY")</f>
        <v>Dec-2024</v>
      </c>
      <c r="B119" t="str">
        <f>"Q"&amp;ROUNDUP(MONTH([1]StagingTable!B119)/3,0)&amp;"-"&amp;YEAR([1]StagingTable!D118)</f>
        <v>Q4-2025</v>
      </c>
      <c r="C119" t="str">
        <f>[1]StagingTable!F119&amp;"-"&amp;[1]StagingTable!G119&amp;"-"&amp;[1]StagingTable!H119</f>
        <v>Europe-Germany-Frankfurt</v>
      </c>
      <c r="D119" t="str">
        <f>IF([1]StagingTable!T119&lt;=_xlfn.PERCENTILE.INC([1]StagingTable!T119:T750,0.33),"LOW",IF([1]StagingTable!T119&lt;=_xlfn.PERCENTILE.INC([1]StagingTable!T119:T750,0.67),"MEDIUM","HIGH"))</f>
        <v>HIGH</v>
      </c>
    </row>
    <row r="120" spans="1:4" x14ac:dyDescent="0.25">
      <c r="A120" t="str">
        <f>TEXT([1]StagingTable!B120,"MMM-YYY")</f>
        <v>Jun-2023</v>
      </c>
      <c r="B120" t="str">
        <f>"Q"&amp;ROUNDUP(MONTH([1]StagingTable!B120)/3,0)&amp;"-"&amp;YEAR([1]StagingTable!D119)</f>
        <v>Q2-2025</v>
      </c>
      <c r="C120" t="str">
        <f>[1]StagingTable!F120&amp;"-"&amp;[1]StagingTable!G120&amp;"-"&amp;[1]StagingTable!H120</f>
        <v>Asia-China-Beijing</v>
      </c>
      <c r="D120" t="str">
        <f>IF([1]StagingTable!T120&lt;=_xlfn.PERCENTILE.INC([1]StagingTable!T120:T751,0.33),"LOW",IF([1]StagingTable!T120&lt;=_xlfn.PERCENTILE.INC([1]StagingTable!T120:T751,0.67),"MEDIUM","HIGH"))</f>
        <v>LOW</v>
      </c>
    </row>
    <row r="121" spans="1:4" x14ac:dyDescent="0.25">
      <c r="A121" t="str">
        <f>TEXT([1]StagingTable!B121,"MMM-YYY")</f>
        <v>Jul-2025</v>
      </c>
      <c r="B121" t="str">
        <f>"Q"&amp;ROUNDUP(MONTH([1]StagingTable!B121)/3,0)&amp;"-"&amp;YEAR([1]StagingTable!D120)</f>
        <v>Q3-2023</v>
      </c>
      <c r="C121" t="str">
        <f>[1]StagingTable!F121&amp;"-"&amp;[1]StagingTable!G121&amp;"-"&amp;[1]StagingTable!H121</f>
        <v>Americas-Canada-Vancouver</v>
      </c>
      <c r="D121" t="str">
        <f>IF([1]StagingTable!T121&lt;=_xlfn.PERCENTILE.INC([1]StagingTable!T121:T752,0.33),"LOW",IF([1]StagingTable!T121&lt;=_xlfn.PERCENTILE.INC([1]StagingTable!T121:T752,0.67),"MEDIUM","HIGH"))</f>
        <v>LOW</v>
      </c>
    </row>
    <row r="122" spans="1:4" x14ac:dyDescent="0.25">
      <c r="A122" t="str">
        <f>TEXT([1]StagingTable!B122,"MMM-YYY")</f>
        <v>Jun-2025</v>
      </c>
      <c r="B122" t="str">
        <f>"Q"&amp;ROUNDUP(MONTH([1]StagingTable!B122)/3,0)&amp;"-"&amp;YEAR([1]StagingTable!D121)</f>
        <v>Q2-2025</v>
      </c>
      <c r="C122" t="str">
        <f>[1]StagingTable!F122&amp;"-"&amp;[1]StagingTable!G122&amp;"-"&amp;[1]StagingTable!H122</f>
        <v>Europe-United Kingdom-Unknown</v>
      </c>
      <c r="D122" t="str">
        <f>IF([1]StagingTable!T122&lt;=_xlfn.PERCENTILE.INC([1]StagingTable!T122:T753,0.33),"LOW",IF([1]StagingTable!T122&lt;=_xlfn.PERCENTILE.INC([1]StagingTable!T122:T753,0.67),"MEDIUM","HIGH"))</f>
        <v>HIGH</v>
      </c>
    </row>
    <row r="123" spans="1:4" x14ac:dyDescent="0.25">
      <c r="A123" t="str">
        <f>TEXT([1]StagingTable!B123,"MMM-YYY")</f>
        <v>Nov-2023</v>
      </c>
      <c r="B123" t="str">
        <f>"Q"&amp;ROUNDUP(MONTH([1]StagingTable!B123)/3,0)&amp;"-"&amp;YEAR([1]StagingTable!D122)</f>
        <v>Q4-2025</v>
      </c>
      <c r="C123" t="str">
        <f>[1]StagingTable!F123&amp;"-"&amp;[1]StagingTable!G123&amp;"-"&amp;[1]StagingTable!H123</f>
        <v>Europe-France-Lyon</v>
      </c>
      <c r="D123" t="str">
        <f>IF([1]StagingTable!T123&lt;=_xlfn.PERCENTILE.INC([1]StagingTable!T123:T754,0.33),"LOW",IF([1]StagingTable!T123&lt;=_xlfn.PERCENTILE.INC([1]StagingTable!T123:T754,0.67),"MEDIUM","HIGH"))</f>
        <v>HIGH</v>
      </c>
    </row>
    <row r="124" spans="1:4" x14ac:dyDescent="0.25">
      <c r="A124" t="str">
        <f>TEXT([1]StagingTable!B124,"MMM-YYY")</f>
        <v>Dec-2023</v>
      </c>
      <c r="B124" t="str">
        <f>"Q"&amp;ROUNDUP(MONTH([1]StagingTable!B124)/3,0)&amp;"-"&amp;YEAR([1]StagingTable!D123)</f>
        <v>Q4-2023</v>
      </c>
      <c r="C124" t="str">
        <f>[1]StagingTable!F124&amp;"-"&amp;[1]StagingTable!G124&amp;"-"&amp;[1]StagingTable!H124</f>
        <v>Africa-Kenya-Kisumu</v>
      </c>
      <c r="D124" t="str">
        <f>IF([1]StagingTable!T124&lt;=_xlfn.PERCENTILE.INC([1]StagingTable!T124:T755,0.33),"LOW",IF([1]StagingTable!T124&lt;=_xlfn.PERCENTILE.INC([1]StagingTable!T124:T755,0.67),"MEDIUM","HIGH"))</f>
        <v>HIGH</v>
      </c>
    </row>
    <row r="125" spans="1:4" x14ac:dyDescent="0.25">
      <c r="A125" t="str">
        <f>TEXT([1]StagingTable!B125,"MMM-YYY")</f>
        <v>Nov-2024</v>
      </c>
      <c r="B125" t="str">
        <f>"Q"&amp;ROUNDUP(MONTH([1]StagingTable!B125)/3,0)&amp;"-"&amp;YEAR([1]StagingTable!D124)</f>
        <v>Q4-2024</v>
      </c>
      <c r="C125" t="str">
        <f>[1]StagingTable!F125&amp;"-"&amp;[1]StagingTable!G125&amp;"-"&amp;[1]StagingTable!H125</f>
        <v>Americas-Brazil-Brasília</v>
      </c>
      <c r="D125" t="str">
        <f>IF([1]StagingTable!T125&lt;=_xlfn.PERCENTILE.INC([1]StagingTable!T125:T756,0.33),"LOW",IF([1]StagingTable!T125&lt;=_xlfn.PERCENTILE.INC([1]StagingTable!T125:T756,0.67),"MEDIUM","HIGH"))</f>
        <v>MEDIUM</v>
      </c>
    </row>
    <row r="126" spans="1:4" x14ac:dyDescent="0.25">
      <c r="A126" t="str">
        <f>TEXT([1]StagingTable!B126,"MMM-YYY")</f>
        <v>Aug-2023</v>
      </c>
      <c r="B126" t="str">
        <f>"Q"&amp;ROUNDUP(MONTH([1]StagingTable!B126)/3,0)&amp;"-"&amp;YEAR([1]StagingTable!D125)</f>
        <v>Q3-2024</v>
      </c>
      <c r="C126" t="str">
        <f>[1]StagingTable!F126&amp;"-"&amp;[1]StagingTable!G126&amp;"-"&amp;[1]StagingTable!H126</f>
        <v>Americas-Canada-Montreal</v>
      </c>
      <c r="D126" t="str">
        <f>IF([1]StagingTable!T126&lt;=_xlfn.PERCENTILE.INC([1]StagingTable!T126:T757,0.33),"LOW",IF([1]StagingTable!T126&lt;=_xlfn.PERCENTILE.INC([1]StagingTable!T126:T757,0.67),"MEDIUM","HIGH"))</f>
        <v>LOW</v>
      </c>
    </row>
    <row r="127" spans="1:4" x14ac:dyDescent="0.25">
      <c r="A127" t="str">
        <f>TEXT([1]StagingTable!B127,"MMM-YYY")</f>
        <v>Aug-2023</v>
      </c>
      <c r="B127" t="str">
        <f>"Q"&amp;ROUNDUP(MONTH([1]StagingTable!B127)/3,0)&amp;"-"&amp;YEAR([1]StagingTable!D126)</f>
        <v>Q3-2023</v>
      </c>
      <c r="C127" t="str">
        <f>[1]StagingTable!F127&amp;"-"&amp;[1]StagingTable!G127&amp;"-"&amp;[1]StagingTable!H127</f>
        <v>Asia-China-Shanghai</v>
      </c>
      <c r="D127" t="str">
        <f>IF([1]StagingTable!T127&lt;=_xlfn.PERCENTILE.INC([1]StagingTable!T127:T758,0.33),"LOW",IF([1]StagingTable!T127&lt;=_xlfn.PERCENTILE.INC([1]StagingTable!T127:T758,0.67),"MEDIUM","HIGH"))</f>
        <v>LOW</v>
      </c>
    </row>
    <row r="128" spans="1:4" x14ac:dyDescent="0.25">
      <c r="A128" t="str">
        <f>TEXT([1]StagingTable!B128,"MMM-YYY")</f>
        <v>Jun-2024</v>
      </c>
      <c r="B128" t="str">
        <f>"Q"&amp;ROUNDUP(MONTH([1]StagingTable!B128)/3,0)&amp;"-"&amp;YEAR([1]StagingTable!D127)</f>
        <v>Q2-2023</v>
      </c>
      <c r="C128" t="str">
        <f>[1]StagingTable!F128&amp;"-"&amp;[1]StagingTable!G128&amp;"-"&amp;[1]StagingTable!H128</f>
        <v>Europe-Germany-Berlin</v>
      </c>
      <c r="D128" t="str">
        <f>IF([1]StagingTable!T128&lt;=_xlfn.PERCENTILE.INC([1]StagingTable!T128:T759,0.33),"LOW",IF([1]StagingTable!T128&lt;=_xlfn.PERCENTILE.INC([1]StagingTable!T128:T759,0.67),"MEDIUM","HIGH"))</f>
        <v>HIGH</v>
      </c>
    </row>
    <row r="129" spans="1:4" x14ac:dyDescent="0.25">
      <c r="A129" t="str">
        <f>TEXT([1]StagingTable!B129,"MMM-YYY")</f>
        <v>Aug-2025</v>
      </c>
      <c r="B129" t="str">
        <f>"Q"&amp;ROUNDUP(MONTH([1]StagingTable!B129)/3,0)&amp;"-"&amp;YEAR([1]StagingTable!D128)</f>
        <v>Q3-2024</v>
      </c>
      <c r="C129" t="str">
        <f>[1]StagingTable!F129&amp;"-"&amp;[1]StagingTable!G129&amp;"-"&amp;[1]StagingTable!H129</f>
        <v>Europe-United Kingdom-London</v>
      </c>
      <c r="D129" t="str">
        <f>IF([1]StagingTable!T129&lt;=_xlfn.PERCENTILE.INC([1]StagingTable!T129:T760,0.33),"LOW",IF([1]StagingTable!T129&lt;=_xlfn.PERCENTILE.INC([1]StagingTable!T129:T760,0.67),"MEDIUM","HIGH"))</f>
        <v>LOW</v>
      </c>
    </row>
    <row r="130" spans="1:4" x14ac:dyDescent="0.25">
      <c r="A130" t="str">
        <f>TEXT([1]StagingTable!B130,"MMM-YYY")</f>
        <v>May-2024</v>
      </c>
      <c r="B130" t="str">
        <f>"Q"&amp;ROUNDUP(MONTH([1]StagingTable!B130)/3,0)&amp;"-"&amp;YEAR([1]StagingTable!D129)</f>
        <v>Q2-2025</v>
      </c>
      <c r="C130" t="str">
        <f>[1]StagingTable!F130&amp;"-"&amp;[1]StagingTable!G130&amp;"-"&amp;[1]StagingTable!H130</f>
        <v>Americas-USA-San Francisco</v>
      </c>
      <c r="D130" t="str">
        <f>IF([1]StagingTable!T130&lt;=_xlfn.PERCENTILE.INC([1]StagingTable!T130:T761,0.33),"LOW",IF([1]StagingTable!T130&lt;=_xlfn.PERCENTILE.INC([1]StagingTable!T130:T761,0.67),"MEDIUM","HIGH"))</f>
        <v>LOW</v>
      </c>
    </row>
    <row r="131" spans="1:4" x14ac:dyDescent="0.25">
      <c r="A131" t="str">
        <f>TEXT([1]StagingTable!B131,"MMM-YYY")</f>
        <v>Jan-2023</v>
      </c>
      <c r="B131" t="str">
        <f>"Q"&amp;ROUNDUP(MONTH([1]StagingTable!B131)/3,0)&amp;"-"&amp;YEAR([1]StagingTable!D130)</f>
        <v>Q1-2024</v>
      </c>
      <c r="C131" t="str">
        <f>[1]StagingTable!F131&amp;"-"&amp;[1]StagingTable!G131&amp;"-"&amp;[1]StagingTable!H131</f>
        <v>Americas-USA-San Francisco</v>
      </c>
      <c r="D131" t="str">
        <f>IF([1]StagingTable!T131&lt;=_xlfn.PERCENTILE.INC([1]StagingTable!T131:T762,0.33),"LOW",IF([1]StagingTable!T131&lt;=_xlfn.PERCENTILE.INC([1]StagingTable!T131:T762,0.67),"MEDIUM","HIGH"))</f>
        <v>MEDIUM</v>
      </c>
    </row>
    <row r="132" spans="1:4" x14ac:dyDescent="0.25">
      <c r="A132" t="str">
        <f>TEXT([1]StagingTable!B132,"MMM-YYY")</f>
        <v>Feb-2025</v>
      </c>
      <c r="B132" t="str">
        <f>"Q"&amp;ROUNDUP(MONTH([1]StagingTable!B132)/3,0)&amp;"-"&amp;YEAR([1]StagingTable!D131)</f>
        <v>Q1-2023</v>
      </c>
      <c r="C132" t="str">
        <f>[1]StagingTable!F132&amp;"-"&amp;[1]StagingTable!G132&amp;"-"&amp;[1]StagingTable!H132</f>
        <v>Americas-Brazil-São Paulo</v>
      </c>
      <c r="D132" t="str">
        <f>IF([1]StagingTable!T132&lt;=_xlfn.PERCENTILE.INC([1]StagingTable!T132:T763,0.33),"LOW",IF([1]StagingTable!T132&lt;=_xlfn.PERCENTILE.INC([1]StagingTable!T132:T763,0.67),"MEDIUM","HIGH"))</f>
        <v>MEDIUM</v>
      </c>
    </row>
    <row r="133" spans="1:4" x14ac:dyDescent="0.25">
      <c r="A133" t="str">
        <f>TEXT([1]StagingTable!B133,"MMM-YYY")</f>
        <v>Mar-2025</v>
      </c>
      <c r="B133" t="str">
        <f>"Q"&amp;ROUNDUP(MONTH([1]StagingTable!B133)/3,0)&amp;"-"&amp;YEAR([1]StagingTable!D132)</f>
        <v>Q1-2025</v>
      </c>
      <c r="C133" t="str">
        <f>[1]StagingTable!F133&amp;"-"&amp;[1]StagingTable!G133&amp;"-"&amp;[1]StagingTable!H133</f>
        <v>Africa-Nigeria-Abuja</v>
      </c>
      <c r="D133" t="str">
        <f>IF([1]StagingTable!T133&lt;=_xlfn.PERCENTILE.INC([1]StagingTable!T133:T764,0.33),"LOW",IF([1]StagingTable!T133&lt;=_xlfn.PERCENTILE.INC([1]StagingTable!T133:T764,0.67),"MEDIUM","HIGH"))</f>
        <v>LOW</v>
      </c>
    </row>
    <row r="134" spans="1:4" x14ac:dyDescent="0.25">
      <c r="A134" t="str">
        <f>TEXT([1]StagingTable!B134,"MMM-YYY")</f>
        <v>Jan-2023</v>
      </c>
      <c r="B134" t="str">
        <f>"Q"&amp;ROUNDUP(MONTH([1]StagingTable!B134)/3,0)&amp;"-"&amp;YEAR([1]StagingTable!D133)</f>
        <v>Q1-2025</v>
      </c>
      <c r="C134" t="str">
        <f>[1]StagingTable!F134&amp;"-"&amp;[1]StagingTable!G134&amp;"-"&amp;[1]StagingTable!H134</f>
        <v>Europe-United Kingdom-Manchester</v>
      </c>
      <c r="D134" t="str">
        <f>IF([1]StagingTable!T134&lt;=_xlfn.PERCENTILE.INC([1]StagingTable!T134:T765,0.33),"LOW",IF([1]StagingTable!T134&lt;=_xlfn.PERCENTILE.INC([1]StagingTable!T134:T765,0.67),"MEDIUM","HIGH"))</f>
        <v>LOW</v>
      </c>
    </row>
    <row r="135" spans="1:4" x14ac:dyDescent="0.25">
      <c r="A135" t="str">
        <f>TEXT([1]StagingTable!B135,"MMM-YYY")</f>
        <v>Jan-2025</v>
      </c>
      <c r="B135" t="str">
        <f>"Q"&amp;ROUNDUP(MONTH([1]StagingTable!B135)/3,0)&amp;"-"&amp;YEAR([1]StagingTable!D134)</f>
        <v>Q1-2023</v>
      </c>
      <c r="C135" t="str">
        <f>[1]StagingTable!F135&amp;"-"&amp;[1]StagingTable!G135&amp;"-"&amp;[1]StagingTable!H135</f>
        <v>Asia-China-Beijing</v>
      </c>
      <c r="D135" t="str">
        <f>IF([1]StagingTable!T135&lt;=_xlfn.PERCENTILE.INC([1]StagingTable!T135:T766,0.33),"LOW",IF([1]StagingTable!T135&lt;=_xlfn.PERCENTILE.INC([1]StagingTable!T135:T766,0.67),"MEDIUM","HIGH"))</f>
        <v>LOW</v>
      </c>
    </row>
    <row r="136" spans="1:4" x14ac:dyDescent="0.25">
      <c r="A136" t="str">
        <f>TEXT([1]StagingTable!B136,"MMM-YYY")</f>
        <v>Dec-2024</v>
      </c>
      <c r="B136" t="str">
        <f>"Q"&amp;ROUNDUP(MONTH([1]StagingTable!B136)/3,0)&amp;"-"&amp;YEAR([1]StagingTable!D135)</f>
        <v>Q4-2025</v>
      </c>
      <c r="C136" t="str">
        <f>[1]StagingTable!F136&amp;"-"&amp;[1]StagingTable!G136&amp;"-"&amp;[1]StagingTable!H136</f>
        <v>Americas-USA-San Francisco</v>
      </c>
      <c r="D136" t="str">
        <f>IF([1]StagingTable!T136&lt;=_xlfn.PERCENTILE.INC([1]StagingTable!T136:T767,0.33),"LOW",IF([1]StagingTable!T136&lt;=_xlfn.PERCENTILE.INC([1]StagingTable!T136:T767,0.67),"MEDIUM","HIGH"))</f>
        <v>LOW</v>
      </c>
    </row>
    <row r="137" spans="1:4" x14ac:dyDescent="0.25">
      <c r="A137" t="str">
        <f>TEXT([1]StagingTable!B137,"MMM-YYY")</f>
        <v>Apr-2023</v>
      </c>
      <c r="B137" t="str">
        <f>"Q"&amp;ROUNDUP(MONTH([1]StagingTable!B137)/3,0)&amp;"-"&amp;YEAR([1]StagingTable!D136)</f>
        <v>Q2-2024</v>
      </c>
      <c r="C137" t="str">
        <f>[1]StagingTable!F137&amp;"-"&amp;[1]StagingTable!G137&amp;"-"&amp;[1]StagingTable!H137</f>
        <v>Europe-France-Lyon</v>
      </c>
      <c r="D137" t="str">
        <f>IF([1]StagingTable!T137&lt;=_xlfn.PERCENTILE.INC([1]StagingTable!T137:T768,0.33),"LOW",IF([1]StagingTable!T137&lt;=_xlfn.PERCENTILE.INC([1]StagingTable!T137:T768,0.67),"MEDIUM","HIGH"))</f>
        <v>HIGH</v>
      </c>
    </row>
    <row r="138" spans="1:4" x14ac:dyDescent="0.25">
      <c r="A138" t="str">
        <f>TEXT([1]StagingTable!B138,"MMM-YYY")</f>
        <v>Dec-2024</v>
      </c>
      <c r="B138" t="str">
        <f>"Q"&amp;ROUNDUP(MONTH([1]StagingTable!B138)/3,0)&amp;"-"&amp;YEAR([1]StagingTable!D137)</f>
        <v>Q4-2023</v>
      </c>
      <c r="C138" t="str">
        <f>[1]StagingTable!F138&amp;"-"&amp;[1]StagingTable!G138&amp;"-"&amp;[1]StagingTable!H138</f>
        <v>Asia-China-Shenzhen</v>
      </c>
      <c r="D138" t="str">
        <f>IF([1]StagingTable!T138&lt;=_xlfn.PERCENTILE.INC([1]StagingTable!T138:T769,0.33),"LOW",IF([1]StagingTable!T138&lt;=_xlfn.PERCENTILE.INC([1]StagingTable!T138:T769,0.67),"MEDIUM","HIGH"))</f>
        <v>HIGH</v>
      </c>
    </row>
    <row r="139" spans="1:4" x14ac:dyDescent="0.25">
      <c r="A139" t="str">
        <f>TEXT([1]StagingTable!B139,"MMM-YYY")</f>
        <v>Mar-2023</v>
      </c>
      <c r="B139" t="str">
        <f>"Q"&amp;ROUNDUP(MONTH([1]StagingTable!B139)/3,0)&amp;"-"&amp;YEAR([1]StagingTable!D138)</f>
        <v>Q1-2025</v>
      </c>
      <c r="C139" t="str">
        <f>[1]StagingTable!F139&amp;"-"&amp;[1]StagingTable!G139&amp;"-"&amp;[1]StagingTable!H139</f>
        <v>Africa-Kenya-Mombasa</v>
      </c>
      <c r="D139" t="str">
        <f>IF([1]StagingTable!T139&lt;=_xlfn.PERCENTILE.INC([1]StagingTable!T139:T770,0.33),"LOW",IF([1]StagingTable!T139&lt;=_xlfn.PERCENTILE.INC([1]StagingTable!T139:T770,0.67),"MEDIUM","HIGH"))</f>
        <v>LOW</v>
      </c>
    </row>
    <row r="140" spans="1:4" x14ac:dyDescent="0.25">
      <c r="A140" t="str">
        <f>TEXT([1]StagingTable!B140,"MMM-YYY")</f>
        <v>Nov-2024</v>
      </c>
      <c r="B140" t="str">
        <f>"Q"&amp;ROUNDUP(MONTH([1]StagingTable!B140)/3,0)&amp;"-"&amp;YEAR([1]StagingTable!D139)</f>
        <v>Q4-2023</v>
      </c>
      <c r="C140" t="str">
        <f>[1]StagingTable!F140&amp;"-"&amp;[1]StagingTable!G140&amp;"-"&amp;[1]StagingTable!H140</f>
        <v>Europe-France-Paris</v>
      </c>
      <c r="D140" t="str">
        <f>IF([1]StagingTable!T140&lt;=_xlfn.PERCENTILE.INC([1]StagingTable!T140:T771,0.33),"LOW",IF([1]StagingTable!T140&lt;=_xlfn.PERCENTILE.INC([1]StagingTable!T140:T771,0.67),"MEDIUM","HIGH"))</f>
        <v>HIGH</v>
      </c>
    </row>
    <row r="141" spans="1:4" x14ac:dyDescent="0.25">
      <c r="A141" t="str">
        <f>TEXT([1]StagingTable!B141,"MMM-YYY")</f>
        <v>Feb-2024</v>
      </c>
      <c r="B141" t="str">
        <f>"Q"&amp;ROUNDUP(MONTH([1]StagingTable!B141)/3,0)&amp;"-"&amp;YEAR([1]StagingTable!D140)</f>
        <v>Q1-2024</v>
      </c>
      <c r="C141" t="str">
        <f>[1]StagingTable!F141&amp;"-"&amp;[1]StagingTable!G141&amp;"-"&amp;[1]StagingTable!H141</f>
        <v>Asia-China-Beijing</v>
      </c>
      <c r="D141" t="str">
        <f>IF([1]StagingTable!T141&lt;=_xlfn.PERCENTILE.INC([1]StagingTable!T141:T772,0.33),"LOW",IF([1]StagingTable!T141&lt;=_xlfn.PERCENTILE.INC([1]StagingTable!T141:T772,0.67),"MEDIUM","HIGH"))</f>
        <v>LOW</v>
      </c>
    </row>
    <row r="142" spans="1:4" x14ac:dyDescent="0.25">
      <c r="A142" t="str">
        <f>TEXT([1]StagingTable!B142,"MMM-YYY")</f>
        <v>May-2023</v>
      </c>
      <c r="B142" t="str">
        <f>"Q"&amp;ROUNDUP(MONTH([1]StagingTable!B142)/3,0)&amp;"-"&amp;YEAR([1]StagingTable!D141)</f>
        <v>Q2-2024</v>
      </c>
      <c r="C142" t="str">
        <f>[1]StagingTable!F142&amp;"-"&amp;[1]StagingTable!G142&amp;"-"&amp;[1]StagingTable!H142</f>
        <v>Asia-India-Delhi</v>
      </c>
      <c r="D142" t="str">
        <f>IF([1]StagingTable!T142&lt;=_xlfn.PERCENTILE.INC([1]StagingTable!T142:T773,0.33),"LOW",IF([1]StagingTable!T142&lt;=_xlfn.PERCENTILE.INC([1]StagingTable!T142:T773,0.67),"MEDIUM","HIGH"))</f>
        <v>HIGH</v>
      </c>
    </row>
    <row r="143" spans="1:4" x14ac:dyDescent="0.25">
      <c r="A143" t="str">
        <f>TEXT([1]StagingTable!B143,"MMM-YYY")</f>
        <v>Dec-2024</v>
      </c>
      <c r="B143" t="str">
        <f>"Q"&amp;ROUNDUP(MONTH([1]StagingTable!B143)/3,0)&amp;"-"&amp;YEAR([1]StagingTable!D142)</f>
        <v>Q4-2023</v>
      </c>
      <c r="C143" t="str">
        <f>[1]StagingTable!F143&amp;"-"&amp;[1]StagingTable!G143&amp;"-"&amp;[1]StagingTable!H143</f>
        <v>Europe-Germany-Berlin</v>
      </c>
      <c r="D143" t="str">
        <f>IF([1]StagingTable!T143&lt;=_xlfn.PERCENTILE.INC([1]StagingTable!T143:T774,0.33),"LOW",IF([1]StagingTable!T143&lt;=_xlfn.PERCENTILE.INC([1]StagingTable!T143:T774,0.67),"MEDIUM","HIGH"))</f>
        <v>MEDIUM</v>
      </c>
    </row>
    <row r="144" spans="1:4" x14ac:dyDescent="0.25">
      <c r="A144" t="str">
        <f>TEXT([1]StagingTable!B144,"MMM-YYY")</f>
        <v>Jul-2023</v>
      </c>
      <c r="B144" t="str">
        <f>"Q"&amp;ROUNDUP(MONTH([1]StagingTable!B144)/3,0)&amp;"-"&amp;YEAR([1]StagingTable!D143)</f>
        <v>Q3-2025</v>
      </c>
      <c r="C144" t="str">
        <f>[1]StagingTable!F144&amp;"-"&amp;[1]StagingTable!G144&amp;"-"&amp;[1]StagingTable!H144</f>
        <v>Americas-USA-New York</v>
      </c>
      <c r="D144" t="str">
        <f>IF([1]StagingTable!T144&lt;=_xlfn.PERCENTILE.INC([1]StagingTable!T144:T775,0.33),"LOW",IF([1]StagingTable!T144&lt;=_xlfn.PERCENTILE.INC([1]StagingTable!T144:T775,0.67),"MEDIUM","HIGH"))</f>
        <v>HIGH</v>
      </c>
    </row>
    <row r="145" spans="1:4" x14ac:dyDescent="0.25">
      <c r="A145" t="str">
        <f>TEXT([1]StagingTable!B145,"MMM-YYY")</f>
        <v>Jun-2024</v>
      </c>
      <c r="B145" t="str">
        <f>"Q"&amp;ROUNDUP(MONTH([1]StagingTable!B145)/3,0)&amp;"-"&amp;YEAR([1]StagingTable!D144)</f>
        <v>Q2-2023</v>
      </c>
      <c r="C145" t="str">
        <f>[1]StagingTable!F145&amp;"-"&amp;[1]StagingTable!G145&amp;"-"&amp;[1]StagingTable!H145</f>
        <v>Americas-Canada-Toronto</v>
      </c>
      <c r="D145" t="str">
        <f>IF([1]StagingTable!T145&lt;=_xlfn.PERCENTILE.INC([1]StagingTable!T145:T776,0.33),"LOW",IF([1]StagingTable!T145&lt;=_xlfn.PERCENTILE.INC([1]StagingTable!T145:T776,0.67),"MEDIUM","HIGH"))</f>
        <v>MEDIUM</v>
      </c>
    </row>
    <row r="146" spans="1:4" x14ac:dyDescent="0.25">
      <c r="A146" t="str">
        <f>TEXT([1]StagingTable!B146,"MMM-YYY")</f>
        <v>Jul-2023</v>
      </c>
      <c r="B146" t="str">
        <f>"Q"&amp;ROUNDUP(MONTH([1]StagingTable!B146)/3,0)&amp;"-"&amp;YEAR([1]StagingTable!D145)</f>
        <v>Q3-2024</v>
      </c>
      <c r="C146" t="str">
        <f>[1]StagingTable!F146&amp;"-"&amp;[1]StagingTable!G146&amp;"-"&amp;[1]StagingTable!H146</f>
        <v>Americas-Brazil-Brasília</v>
      </c>
      <c r="D146" t="str">
        <f>IF([1]StagingTable!T146&lt;=_xlfn.PERCENTILE.INC([1]StagingTable!T146:T777,0.33),"LOW",IF([1]StagingTable!T146&lt;=_xlfn.PERCENTILE.INC([1]StagingTable!T146:T777,0.67),"MEDIUM","HIGH"))</f>
        <v>MEDIUM</v>
      </c>
    </row>
    <row r="147" spans="1:4" x14ac:dyDescent="0.25">
      <c r="A147" t="str">
        <f>TEXT([1]StagingTable!B147,"MMM-YYY")</f>
        <v>Nov-2023</v>
      </c>
      <c r="B147" t="str">
        <f>"Q"&amp;ROUNDUP(MONTH([1]StagingTable!B147)/3,0)&amp;"-"&amp;YEAR([1]StagingTable!D146)</f>
        <v>Q4-2023</v>
      </c>
      <c r="C147" t="str">
        <f>[1]StagingTable!F147&amp;"-"&amp;[1]StagingTable!G147&amp;"-"&amp;[1]StagingTable!H147</f>
        <v>Africa-South Africa-Durban</v>
      </c>
      <c r="D147" t="str">
        <f>IF([1]StagingTable!T147&lt;=_xlfn.PERCENTILE.INC([1]StagingTable!T147:T778,0.33),"LOW",IF([1]StagingTable!T147&lt;=_xlfn.PERCENTILE.INC([1]StagingTable!T147:T778,0.67),"MEDIUM","HIGH"))</f>
        <v>LOW</v>
      </c>
    </row>
    <row r="148" spans="1:4" x14ac:dyDescent="0.25">
      <c r="A148" t="str">
        <f>TEXT([1]StagingTable!B148,"MMM-YYY")</f>
        <v>Sep-2025</v>
      </c>
      <c r="B148" t="str">
        <f>"Q"&amp;ROUNDUP(MONTH([1]StagingTable!B148)/3,0)&amp;"-"&amp;YEAR([1]StagingTable!D147)</f>
        <v>Q3-2023</v>
      </c>
      <c r="C148" t="str">
        <f>[1]StagingTable!F148&amp;"-"&amp;[1]StagingTable!G148&amp;"-"&amp;[1]StagingTable!H148</f>
        <v>Africa-Kenya-Nairobi</v>
      </c>
      <c r="D148" t="str">
        <f>IF([1]StagingTable!T148&lt;=_xlfn.PERCENTILE.INC([1]StagingTable!T148:T779,0.33),"LOW",IF([1]StagingTable!T148&lt;=_xlfn.PERCENTILE.INC([1]StagingTable!T148:T779,0.67),"MEDIUM","HIGH"))</f>
        <v>LOW</v>
      </c>
    </row>
    <row r="149" spans="1:4" x14ac:dyDescent="0.25">
      <c r="A149" t="str">
        <f>TEXT([1]StagingTable!B149,"MMM-YYY")</f>
        <v>Apr-2024</v>
      </c>
      <c r="B149" t="str">
        <f>"Q"&amp;ROUNDUP(MONTH([1]StagingTable!B149)/3,0)&amp;"-"&amp;YEAR([1]StagingTable!D148)</f>
        <v>Q2-2025</v>
      </c>
      <c r="C149" t="str">
        <f>[1]StagingTable!F149&amp;"-"&amp;[1]StagingTable!G149&amp;"-"&amp;[1]StagingTable!H149</f>
        <v>Europe-Germany-Frankfurt</v>
      </c>
      <c r="D149" t="str">
        <f>IF([1]StagingTable!T149&lt;=_xlfn.PERCENTILE.INC([1]StagingTable!T149:T780,0.33),"LOW",IF([1]StagingTable!T149&lt;=_xlfn.PERCENTILE.INC([1]StagingTable!T149:T780,0.67),"MEDIUM","HIGH"))</f>
        <v>MEDIUM</v>
      </c>
    </row>
    <row r="150" spans="1:4" x14ac:dyDescent="0.25">
      <c r="A150" t="str">
        <f>TEXT([1]StagingTable!B150,"MMM-YYY")</f>
        <v>Sep-2023</v>
      </c>
      <c r="B150" t="str">
        <f>"Q"&amp;ROUNDUP(MONTH([1]StagingTable!B150)/3,0)&amp;"-"&amp;YEAR([1]StagingTable!D149)</f>
        <v>Q3-2024</v>
      </c>
      <c r="C150" t="str">
        <f>[1]StagingTable!F150&amp;"-"&amp;[1]StagingTable!G150&amp;"-"&amp;[1]StagingTable!H150</f>
        <v>Europe-France-Lyon</v>
      </c>
      <c r="D150" t="str">
        <f>IF([1]StagingTable!T150&lt;=_xlfn.PERCENTILE.INC([1]StagingTable!T150:T781,0.33),"LOW",IF([1]StagingTable!T150&lt;=_xlfn.PERCENTILE.INC([1]StagingTable!T150:T781,0.67),"MEDIUM","HIGH"))</f>
        <v>LOW</v>
      </c>
    </row>
    <row r="151" spans="1:4" x14ac:dyDescent="0.25">
      <c r="A151" t="str">
        <f>TEXT([1]StagingTable!B151,"MMM-YYY")</f>
        <v>Sep-2024</v>
      </c>
      <c r="B151" t="str">
        <f>"Q"&amp;ROUNDUP(MONTH([1]StagingTable!B151)/3,0)&amp;"-"&amp;YEAR([1]StagingTable!D150)</f>
        <v>Q3-2023</v>
      </c>
      <c r="C151" t="str">
        <f>[1]StagingTable!F151&amp;"-"&amp;[1]StagingTable!G151&amp;"-"&amp;[1]StagingTable!H151</f>
        <v>Americas-Canada-Vancouver</v>
      </c>
      <c r="D151" t="str">
        <f>IF([1]StagingTable!T151&lt;=_xlfn.PERCENTILE.INC([1]StagingTable!T151:T782,0.33),"LOW",IF([1]StagingTable!T151&lt;=_xlfn.PERCENTILE.INC([1]StagingTable!T151:T782,0.67),"MEDIUM","HIGH"))</f>
        <v>HIGH</v>
      </c>
    </row>
    <row r="152" spans="1:4" x14ac:dyDescent="0.25">
      <c r="A152" t="str">
        <f>TEXT([1]StagingTable!B152,"MMM-YYY")</f>
        <v>Apr-2025</v>
      </c>
      <c r="B152" t="str">
        <f>"Q"&amp;ROUNDUP(MONTH([1]StagingTable!B152)/3,0)&amp;"-"&amp;YEAR([1]StagingTable!D151)</f>
        <v>Q2-2024</v>
      </c>
      <c r="C152" t="str">
        <f>[1]StagingTable!F152&amp;"-"&amp;[1]StagingTable!G152&amp;"-"&amp;[1]StagingTable!H152</f>
        <v>Americas-Canada-Montreal</v>
      </c>
      <c r="D152" t="str">
        <f>IF([1]StagingTable!T152&lt;=_xlfn.PERCENTILE.INC([1]StagingTable!T152:T783,0.33),"LOW",IF([1]StagingTable!T152&lt;=_xlfn.PERCENTILE.INC([1]StagingTable!T152:T783,0.67),"MEDIUM","HIGH"))</f>
        <v>LOW</v>
      </c>
    </row>
    <row r="153" spans="1:4" x14ac:dyDescent="0.25">
      <c r="A153" t="str">
        <f>TEXT([1]StagingTable!B153,"MMM-YYY")</f>
        <v>Jul-2023</v>
      </c>
      <c r="B153" t="str">
        <f>"Q"&amp;ROUNDUP(MONTH([1]StagingTable!B153)/3,0)&amp;"-"&amp;YEAR([1]StagingTable!D152)</f>
        <v>Q3-2025</v>
      </c>
      <c r="C153" t="str">
        <f>[1]StagingTable!F153&amp;"-"&amp;[1]StagingTable!G153&amp;"-"&amp;[1]StagingTable!H153</f>
        <v>Africa-South Africa-Johannesburg</v>
      </c>
      <c r="D153" t="str">
        <f>IF([1]StagingTable!T153&lt;=_xlfn.PERCENTILE.INC([1]StagingTable!T153:T784,0.33),"LOW",IF([1]StagingTable!T153&lt;=_xlfn.PERCENTILE.INC([1]StagingTable!T153:T784,0.67),"MEDIUM","HIGH"))</f>
        <v>MEDIUM</v>
      </c>
    </row>
    <row r="154" spans="1:4" x14ac:dyDescent="0.25">
      <c r="A154" t="str">
        <f>TEXT([1]StagingTable!B154,"MMM-YYY")</f>
        <v>Dec-2023</v>
      </c>
      <c r="B154" t="str">
        <f>"Q"&amp;ROUNDUP(MONTH([1]StagingTable!B154)/3,0)&amp;"-"&amp;YEAR([1]StagingTable!D153)</f>
        <v>Q4-2023</v>
      </c>
      <c r="C154" t="str">
        <f>[1]StagingTable!F154&amp;"-"&amp;[1]StagingTable!G154&amp;"-"&amp;[1]StagingTable!H154</f>
        <v>Asia-Japan-Tokyo</v>
      </c>
      <c r="D154" t="str">
        <f>IF([1]StagingTable!T154&lt;=_xlfn.PERCENTILE.INC([1]StagingTable!T154:T785,0.33),"LOW",IF([1]StagingTable!T154&lt;=_xlfn.PERCENTILE.INC([1]StagingTable!T154:T785,0.67),"MEDIUM","HIGH"))</f>
        <v>LOW</v>
      </c>
    </row>
    <row r="155" spans="1:4" x14ac:dyDescent="0.25">
      <c r="A155" t="str">
        <f>TEXT([1]StagingTable!B155,"MMM-YYY")</f>
        <v>Feb-2024</v>
      </c>
      <c r="B155" t="str">
        <f>"Q"&amp;ROUNDUP(MONTH([1]StagingTable!B155)/3,0)&amp;"-"&amp;YEAR([1]StagingTable!D154)</f>
        <v>Q1-2023</v>
      </c>
      <c r="C155" t="str">
        <f>[1]StagingTable!F155&amp;"-"&amp;[1]StagingTable!G155&amp;"-"&amp;[1]StagingTable!H155</f>
        <v>Africa-Kenya-Kisumu</v>
      </c>
      <c r="D155" t="str">
        <f>IF([1]StagingTable!T155&lt;=_xlfn.PERCENTILE.INC([1]StagingTable!T155:T786,0.33),"LOW",IF([1]StagingTable!T155&lt;=_xlfn.PERCENTILE.INC([1]StagingTable!T155:T786,0.67),"MEDIUM","HIGH"))</f>
        <v>HIGH</v>
      </c>
    </row>
    <row r="156" spans="1:4" x14ac:dyDescent="0.25">
      <c r="A156" t="str">
        <f>TEXT([1]StagingTable!B156,"MMM-YYY")</f>
        <v>Oct-2023</v>
      </c>
      <c r="B156" t="str">
        <f>"Q"&amp;ROUNDUP(MONTH([1]StagingTable!B156)/3,0)&amp;"-"&amp;YEAR([1]StagingTable!D155)</f>
        <v>Q4-2024</v>
      </c>
      <c r="C156" t="str">
        <f>[1]StagingTable!F156&amp;"-"&amp;[1]StagingTable!G156&amp;"-"&amp;[1]StagingTable!H156</f>
        <v>Africa-Kenya-Kisumu</v>
      </c>
      <c r="D156" t="str">
        <f>IF([1]StagingTable!T156&lt;=_xlfn.PERCENTILE.INC([1]StagingTable!T156:T787,0.33),"LOW",IF([1]StagingTable!T156&lt;=_xlfn.PERCENTILE.INC([1]StagingTable!T156:T787,0.67),"MEDIUM","HIGH"))</f>
        <v>MEDIUM</v>
      </c>
    </row>
    <row r="157" spans="1:4" x14ac:dyDescent="0.25">
      <c r="A157" t="str">
        <f>TEXT([1]StagingTable!B157,"MMM-YYY")</f>
        <v>Aug-2024</v>
      </c>
      <c r="B157" t="str">
        <f>"Q"&amp;ROUNDUP(MONTH([1]StagingTable!B157)/3,0)&amp;"-"&amp;YEAR([1]StagingTable!D156)</f>
        <v>Q3-2023</v>
      </c>
      <c r="C157" t="str">
        <f>[1]StagingTable!F157&amp;"-"&amp;[1]StagingTable!G157&amp;"-"&amp;[1]StagingTable!H157</f>
        <v>Asia-Japan-Osaka</v>
      </c>
      <c r="D157" t="str">
        <f>IF([1]StagingTable!T157&lt;=_xlfn.PERCENTILE.INC([1]StagingTable!T157:T788,0.33),"LOW",IF([1]StagingTable!T157&lt;=_xlfn.PERCENTILE.INC([1]StagingTable!T157:T788,0.67),"MEDIUM","HIGH"))</f>
        <v>LOW</v>
      </c>
    </row>
    <row r="158" spans="1:4" x14ac:dyDescent="0.25">
      <c r="A158" t="str">
        <f>TEXT([1]StagingTable!B158,"MMM-YYY")</f>
        <v>Feb-2024</v>
      </c>
      <c r="B158" t="str">
        <f>"Q"&amp;ROUNDUP(MONTH([1]StagingTable!B158)/3,0)&amp;"-"&amp;YEAR([1]StagingTable!D157)</f>
        <v>Q1-2024</v>
      </c>
      <c r="C158" t="str">
        <f>[1]StagingTable!F158&amp;"-"&amp;[1]StagingTable!G158&amp;"-"&amp;[1]StagingTable!H158</f>
        <v>Europe-France-Paris</v>
      </c>
      <c r="D158" t="str">
        <f>IF([1]StagingTable!T158&lt;=_xlfn.PERCENTILE.INC([1]StagingTable!T158:T789,0.33),"LOW",IF([1]StagingTable!T158&lt;=_xlfn.PERCENTILE.INC([1]StagingTable!T158:T789,0.67),"MEDIUM","HIGH"))</f>
        <v>MEDIUM</v>
      </c>
    </row>
    <row r="159" spans="1:4" x14ac:dyDescent="0.25">
      <c r="A159" t="str">
        <f>TEXT([1]StagingTable!B159,"MMM-YYY")</f>
        <v>Aug-2024</v>
      </c>
      <c r="B159" t="str">
        <f>"Q"&amp;ROUNDUP(MONTH([1]StagingTable!B159)/3,0)&amp;"-"&amp;YEAR([1]StagingTable!D158)</f>
        <v>Q3-2024</v>
      </c>
      <c r="C159" t="str">
        <f>[1]StagingTable!F159&amp;"-"&amp;[1]StagingTable!G159&amp;"-"&amp;[1]StagingTable!H159</f>
        <v>Asia-India-Delhi</v>
      </c>
      <c r="D159" t="str">
        <f>IF([1]StagingTable!T159&lt;=_xlfn.PERCENTILE.INC([1]StagingTable!T159:T790,0.33),"LOW",IF([1]StagingTable!T159&lt;=_xlfn.PERCENTILE.INC([1]StagingTable!T159:T790,0.67),"MEDIUM","HIGH"))</f>
        <v>HIGH</v>
      </c>
    </row>
    <row r="160" spans="1:4" x14ac:dyDescent="0.25">
      <c r="A160" t="str">
        <f>TEXT([1]StagingTable!B160,"MMM-YYY")</f>
        <v>Feb-2025</v>
      </c>
      <c r="B160" t="str">
        <f>"Q"&amp;ROUNDUP(MONTH([1]StagingTable!B160)/3,0)&amp;"-"&amp;YEAR([1]StagingTable!D159)</f>
        <v>Q1-2024</v>
      </c>
      <c r="C160" t="str">
        <f>[1]StagingTable!F160&amp;"-"&amp;[1]StagingTable!G160&amp;"-"&amp;[1]StagingTable!H160</f>
        <v>Europe-Germany-Frankfurt</v>
      </c>
      <c r="D160" t="str">
        <f>IF([1]StagingTable!T160&lt;=_xlfn.PERCENTILE.INC([1]StagingTable!T160:T791,0.33),"LOW",IF([1]StagingTable!T160&lt;=_xlfn.PERCENTILE.INC([1]StagingTable!T160:T791,0.67),"MEDIUM","HIGH"))</f>
        <v>HIGH</v>
      </c>
    </row>
    <row r="161" spans="1:4" x14ac:dyDescent="0.25">
      <c r="A161" t="str">
        <f>TEXT([1]StagingTable!B161,"MMM-YYY")</f>
        <v>Aug-2025</v>
      </c>
      <c r="B161" t="str">
        <f>"Q"&amp;ROUNDUP(MONTH([1]StagingTable!B161)/3,0)&amp;"-"&amp;YEAR([1]StagingTable!D160)</f>
        <v>Q3-2025</v>
      </c>
      <c r="C161" t="str">
        <f>[1]StagingTable!F161&amp;"-"&amp;[1]StagingTable!G161&amp;"-"&amp;[1]StagingTable!H161</f>
        <v>Asia-China-Shanghai</v>
      </c>
      <c r="D161" t="str">
        <f>IF([1]StagingTable!T161&lt;=_xlfn.PERCENTILE.INC([1]StagingTable!T161:T792,0.33),"LOW",IF([1]StagingTable!T161&lt;=_xlfn.PERCENTILE.INC([1]StagingTable!T161:T792,0.67),"MEDIUM","HIGH"))</f>
        <v>HIGH</v>
      </c>
    </row>
    <row r="162" spans="1:4" x14ac:dyDescent="0.25">
      <c r="A162" t="str">
        <f>TEXT([1]StagingTable!B162,"MMM-YYY")</f>
        <v>Feb-2023</v>
      </c>
      <c r="B162" t="str">
        <f>"Q"&amp;ROUNDUP(MONTH([1]StagingTable!B162)/3,0)&amp;"-"&amp;YEAR([1]StagingTable!D161)</f>
        <v>Q1-2025</v>
      </c>
      <c r="C162" t="str">
        <f>[1]StagingTable!F162&amp;"-"&amp;[1]StagingTable!G162&amp;"-"&amp;[1]StagingTable!H162</f>
        <v>Asia-India-Delhi</v>
      </c>
      <c r="D162" t="str">
        <f>IF([1]StagingTable!T162&lt;=_xlfn.PERCENTILE.INC([1]StagingTable!T162:T793,0.33),"LOW",IF([1]StagingTable!T162&lt;=_xlfn.PERCENTILE.INC([1]StagingTable!T162:T793,0.67),"MEDIUM","HIGH"))</f>
        <v>LOW</v>
      </c>
    </row>
    <row r="163" spans="1:4" x14ac:dyDescent="0.25">
      <c r="A163" t="str">
        <f>TEXT([1]StagingTable!B163,"MMM-YYY")</f>
        <v>Oct-2024</v>
      </c>
      <c r="B163" t="str">
        <f>"Q"&amp;ROUNDUP(MONTH([1]StagingTable!B163)/3,0)&amp;"-"&amp;YEAR([1]StagingTable!D162)</f>
        <v>Q4-2023</v>
      </c>
      <c r="C163" t="str">
        <f>[1]StagingTable!F163&amp;"-"&amp;[1]StagingTable!G163&amp;"-"&amp;[1]StagingTable!H163</f>
        <v>Asia-China-Shenzhen</v>
      </c>
      <c r="D163" t="str">
        <f>IF([1]StagingTable!T163&lt;=_xlfn.PERCENTILE.INC([1]StagingTable!T163:T794,0.33),"LOW",IF([1]StagingTable!T163&lt;=_xlfn.PERCENTILE.INC([1]StagingTable!T163:T794,0.67),"MEDIUM","HIGH"))</f>
        <v>MEDIUM</v>
      </c>
    </row>
    <row r="164" spans="1:4" x14ac:dyDescent="0.25">
      <c r="A164" t="str">
        <f>TEXT([1]StagingTable!B164,"MMM-YYY")</f>
        <v>Apr-2024</v>
      </c>
      <c r="B164" t="str">
        <f>"Q"&amp;ROUNDUP(MONTH([1]StagingTable!B164)/3,0)&amp;"-"&amp;YEAR([1]StagingTable!D163)</f>
        <v>Q2-2024</v>
      </c>
      <c r="C164" t="str">
        <f>[1]StagingTable!F164&amp;"-"&amp;[1]StagingTable!G164&amp;"-"&amp;[1]StagingTable!H164</f>
        <v>Americas-Brazil-Brasília</v>
      </c>
      <c r="D164" t="str">
        <f>IF([1]StagingTable!T164&lt;=_xlfn.PERCENTILE.INC([1]StagingTable!T164:T795,0.33),"LOW",IF([1]StagingTable!T164&lt;=_xlfn.PERCENTILE.INC([1]StagingTable!T164:T795,0.67),"MEDIUM","HIGH"))</f>
        <v>MEDIUM</v>
      </c>
    </row>
    <row r="165" spans="1:4" x14ac:dyDescent="0.25">
      <c r="A165" t="str">
        <f>TEXT([1]StagingTable!B165,"MMM-YYY")</f>
        <v>Mar-2023</v>
      </c>
      <c r="B165" t="str">
        <f>"Q"&amp;ROUNDUP(MONTH([1]StagingTable!B165)/3,0)&amp;"-"&amp;YEAR([1]StagingTable!D164)</f>
        <v>Q1-2024</v>
      </c>
      <c r="C165" t="str">
        <f>[1]StagingTable!F165&amp;"-"&amp;[1]StagingTable!G165&amp;"-"&amp;[1]StagingTable!H165</f>
        <v>Asia-Japan-Osaka</v>
      </c>
      <c r="D165" t="str">
        <f>IF([1]StagingTable!T165&lt;=_xlfn.PERCENTILE.INC([1]StagingTable!T165:T796,0.33),"LOW",IF([1]StagingTable!T165&lt;=_xlfn.PERCENTILE.INC([1]StagingTable!T165:T796,0.67),"MEDIUM","HIGH"))</f>
        <v>LOW</v>
      </c>
    </row>
    <row r="166" spans="1:4" x14ac:dyDescent="0.25">
      <c r="A166" t="str">
        <f>TEXT([1]StagingTable!B166,"MMM-YYY")</f>
        <v>Jun-2024</v>
      </c>
      <c r="B166" t="str">
        <f>"Q"&amp;ROUNDUP(MONTH([1]StagingTable!B166)/3,0)&amp;"-"&amp;YEAR([1]StagingTable!D165)</f>
        <v>Q2-2023</v>
      </c>
      <c r="C166" t="str">
        <f>[1]StagingTable!F166&amp;"-"&amp;[1]StagingTable!G166&amp;"-"&amp;[1]StagingTable!H166</f>
        <v>Asia-China-Shanghai</v>
      </c>
      <c r="D166" t="str">
        <f>IF([1]StagingTable!T166&lt;=_xlfn.PERCENTILE.INC([1]StagingTable!T166:T797,0.33),"LOW",IF([1]StagingTable!T166&lt;=_xlfn.PERCENTILE.INC([1]StagingTable!T166:T797,0.67),"MEDIUM","HIGH"))</f>
        <v>MEDIUM</v>
      </c>
    </row>
    <row r="167" spans="1:4" x14ac:dyDescent="0.25">
      <c r="A167" t="str">
        <f>TEXT([1]StagingTable!B167,"MMM-YYY")</f>
        <v>Feb-2023</v>
      </c>
      <c r="B167" t="str">
        <f>"Q"&amp;ROUNDUP(MONTH([1]StagingTable!B167)/3,0)&amp;"-"&amp;YEAR([1]StagingTable!D166)</f>
        <v>Q1-2024</v>
      </c>
      <c r="C167" t="str">
        <f>[1]StagingTable!F167&amp;"-"&amp;[1]StagingTable!G167&amp;"-"&amp;[1]StagingTable!H167</f>
        <v>Europe-Germany-Berlin</v>
      </c>
      <c r="D167" t="str">
        <f>IF([1]StagingTable!T167&lt;=_xlfn.PERCENTILE.INC([1]StagingTable!T167:T798,0.33),"LOW",IF([1]StagingTable!T167&lt;=_xlfn.PERCENTILE.INC([1]StagingTable!T167:T798,0.67),"MEDIUM","HIGH"))</f>
        <v>HIGH</v>
      </c>
    </row>
    <row r="168" spans="1:4" x14ac:dyDescent="0.25">
      <c r="A168" t="str">
        <f>TEXT([1]StagingTable!B168,"MMM-YYY")</f>
        <v>Apr-2023</v>
      </c>
      <c r="B168" t="str">
        <f>"Q"&amp;ROUNDUP(MONTH([1]StagingTable!B168)/3,0)&amp;"-"&amp;YEAR([1]StagingTable!D167)</f>
        <v>Q2-2023</v>
      </c>
      <c r="C168" t="str">
        <f>[1]StagingTable!F168&amp;"-"&amp;[1]StagingTable!G168&amp;"-"&amp;[1]StagingTable!H168</f>
        <v>Asia-China-Shenzhen</v>
      </c>
      <c r="D168" t="str">
        <f>IF([1]StagingTable!T168&lt;=_xlfn.PERCENTILE.INC([1]StagingTable!T168:T799,0.33),"LOW",IF([1]StagingTable!T168&lt;=_xlfn.PERCENTILE.INC([1]StagingTable!T168:T799,0.67),"MEDIUM","HIGH"))</f>
        <v>LOW</v>
      </c>
    </row>
    <row r="169" spans="1:4" x14ac:dyDescent="0.25">
      <c r="A169" t="str">
        <f>TEXT([1]StagingTable!B169,"MMM-YYY")</f>
        <v>May-2024</v>
      </c>
      <c r="B169" t="str">
        <f>"Q"&amp;ROUNDUP(MONTH([1]StagingTable!B169)/3,0)&amp;"-"&amp;YEAR([1]StagingTable!D168)</f>
        <v>Q2-2023</v>
      </c>
      <c r="C169" t="str">
        <f>[1]StagingTable!F169&amp;"-"&amp;[1]StagingTable!G169&amp;"-"&amp;[1]StagingTable!H169</f>
        <v>Europe-France-Marseille</v>
      </c>
      <c r="D169" t="str">
        <f>IF([1]StagingTable!T169&lt;=_xlfn.PERCENTILE.INC([1]StagingTable!T169:T800,0.33),"LOW",IF([1]StagingTable!T169&lt;=_xlfn.PERCENTILE.INC([1]StagingTable!T169:T800,0.67),"MEDIUM","HIGH"))</f>
        <v>HIGH</v>
      </c>
    </row>
    <row r="170" spans="1:4" x14ac:dyDescent="0.25">
      <c r="A170" t="str">
        <f>TEXT([1]StagingTable!B170,"MMM-YYY")</f>
        <v>Oct-2023</v>
      </c>
      <c r="B170" t="str">
        <f>"Q"&amp;ROUNDUP(MONTH([1]StagingTable!B170)/3,0)&amp;"-"&amp;YEAR([1]StagingTable!D169)</f>
        <v>Q4-2024</v>
      </c>
      <c r="C170" t="str">
        <f>[1]StagingTable!F170&amp;"-"&amp;[1]StagingTable!G170&amp;"-"&amp;[1]StagingTable!H170</f>
        <v>Asia-India-Hyderabad</v>
      </c>
      <c r="D170" t="str">
        <f>IF([1]StagingTable!T170&lt;=_xlfn.PERCENTILE.INC([1]StagingTable!T170:T801,0.33),"LOW",IF([1]StagingTable!T170&lt;=_xlfn.PERCENTILE.INC([1]StagingTable!T170:T801,0.67),"MEDIUM","HIGH"))</f>
        <v>MEDIUM</v>
      </c>
    </row>
    <row r="171" spans="1:4" x14ac:dyDescent="0.25">
      <c r="A171" t="str">
        <f>TEXT([1]StagingTable!B171,"MMM-YYY")</f>
        <v>Oct-2024</v>
      </c>
      <c r="B171" t="str">
        <f>"Q"&amp;ROUNDUP(MONTH([1]StagingTable!B171)/3,0)&amp;"-"&amp;YEAR([1]StagingTable!D170)</f>
        <v>Q4-2023</v>
      </c>
      <c r="C171" t="str">
        <f>[1]StagingTable!F171&amp;"-"&amp;[1]StagingTable!G171&amp;"-"&amp;[1]StagingTable!H171</f>
        <v>Europe-United Kingdom-Manchester</v>
      </c>
      <c r="D171" t="str">
        <f>IF([1]StagingTable!T171&lt;=_xlfn.PERCENTILE.INC([1]StagingTable!T171:T802,0.33),"LOW",IF([1]StagingTable!T171&lt;=_xlfn.PERCENTILE.INC([1]StagingTable!T171:T802,0.67),"MEDIUM","HIGH"))</f>
        <v>LOW</v>
      </c>
    </row>
    <row r="172" spans="1:4" x14ac:dyDescent="0.25">
      <c r="A172" t="str">
        <f>TEXT([1]StagingTable!B172,"MMM-YYY")</f>
        <v>Jul-2024</v>
      </c>
      <c r="B172" t="str">
        <f>"Q"&amp;ROUNDUP(MONTH([1]StagingTable!B172)/3,0)&amp;"-"&amp;YEAR([1]StagingTable!D171)</f>
        <v>Q3-2024</v>
      </c>
      <c r="C172" t="str">
        <f>[1]StagingTable!F172&amp;"-"&amp;[1]StagingTable!G172&amp;"-"&amp;[1]StagingTable!H172</f>
        <v>Asia-Japan-Tokyo</v>
      </c>
      <c r="D172" t="str">
        <f>IF([1]StagingTable!T172&lt;=_xlfn.PERCENTILE.INC([1]StagingTable!T172:T803,0.33),"LOW",IF([1]StagingTable!T172&lt;=_xlfn.PERCENTILE.INC([1]StagingTable!T172:T803,0.67),"MEDIUM","HIGH"))</f>
        <v>MEDIUM</v>
      </c>
    </row>
    <row r="173" spans="1:4" x14ac:dyDescent="0.25">
      <c r="A173" t="str">
        <f>TEXT([1]StagingTable!B173,"MMM-YYY")</f>
        <v>Sep-2023</v>
      </c>
      <c r="B173" t="str">
        <f>"Q"&amp;ROUNDUP(MONTH([1]StagingTable!B173)/3,0)&amp;"-"&amp;YEAR([1]StagingTable!D172)</f>
        <v>Q3-2024</v>
      </c>
      <c r="C173" t="str">
        <f>[1]StagingTable!F173&amp;"-"&amp;[1]StagingTable!G173&amp;"-"&amp;[1]StagingTable!H173</f>
        <v>Asia-Japan-Tokyo</v>
      </c>
      <c r="D173" t="str">
        <f>IF([1]StagingTable!T173&lt;=_xlfn.PERCENTILE.INC([1]StagingTable!T173:T804,0.33),"LOW",IF([1]StagingTable!T173&lt;=_xlfn.PERCENTILE.INC([1]StagingTable!T173:T804,0.67),"MEDIUM","HIGH"))</f>
        <v>HIGH</v>
      </c>
    </row>
    <row r="174" spans="1:4" x14ac:dyDescent="0.25">
      <c r="A174" t="str">
        <f>TEXT([1]StagingTable!B174,"MMM-YYY")</f>
        <v>Feb-2023</v>
      </c>
      <c r="B174" t="str">
        <f>"Q"&amp;ROUNDUP(MONTH([1]StagingTable!B174)/3,0)&amp;"-"&amp;YEAR([1]StagingTable!D173)</f>
        <v>Q1-2023</v>
      </c>
      <c r="C174" t="str">
        <f>[1]StagingTable!F174&amp;"-"&amp;[1]StagingTable!G174&amp;"-"&amp;[1]StagingTable!H174</f>
        <v>Americas-USA-New York</v>
      </c>
      <c r="D174" t="str">
        <f>IF([1]StagingTable!T174&lt;=_xlfn.PERCENTILE.INC([1]StagingTable!T174:T805,0.33),"LOW",IF([1]StagingTable!T174&lt;=_xlfn.PERCENTILE.INC([1]StagingTable!T174:T805,0.67),"MEDIUM","HIGH"))</f>
        <v>LOW</v>
      </c>
    </row>
    <row r="175" spans="1:4" x14ac:dyDescent="0.25">
      <c r="A175" t="str">
        <f>TEXT([1]StagingTable!B175,"MMM-YYY")</f>
        <v>May-2025</v>
      </c>
      <c r="B175" t="str">
        <f>"Q"&amp;ROUNDUP(MONTH([1]StagingTable!B175)/3,0)&amp;"-"&amp;YEAR([1]StagingTable!D174)</f>
        <v>Q2-2023</v>
      </c>
      <c r="C175" t="str">
        <f>[1]StagingTable!F175&amp;"-"&amp;[1]StagingTable!G175&amp;"-"&amp;[1]StagingTable!H175</f>
        <v>Africa-South Africa-Johannesburg</v>
      </c>
      <c r="D175" t="str">
        <f>IF([1]StagingTable!T175&lt;=_xlfn.PERCENTILE.INC([1]StagingTable!T175:T806,0.33),"LOW",IF([1]StagingTable!T175&lt;=_xlfn.PERCENTILE.INC([1]StagingTable!T175:T806,0.67),"MEDIUM","HIGH"))</f>
        <v>HIGH</v>
      </c>
    </row>
    <row r="176" spans="1:4" x14ac:dyDescent="0.25">
      <c r="A176" t="str">
        <f>TEXT([1]StagingTable!B176,"MMM-YYY")</f>
        <v>May-2024</v>
      </c>
      <c r="B176" t="str">
        <f>"Q"&amp;ROUNDUP(MONTH([1]StagingTable!B176)/3,0)&amp;"-"&amp;YEAR([1]StagingTable!D175)</f>
        <v>Q2-2025</v>
      </c>
      <c r="C176" t="str">
        <f>[1]StagingTable!F176&amp;"-"&amp;[1]StagingTable!G176&amp;"-"&amp;[1]StagingTable!H176</f>
        <v>Africa-South Africa-Johannesburg</v>
      </c>
      <c r="D176" t="str">
        <f>IF([1]StagingTable!T176&lt;=_xlfn.PERCENTILE.INC([1]StagingTable!T176:T807,0.33),"LOW",IF([1]StagingTable!T176&lt;=_xlfn.PERCENTILE.INC([1]StagingTable!T176:T807,0.67),"MEDIUM","HIGH"))</f>
        <v>LOW</v>
      </c>
    </row>
    <row r="177" spans="1:4" x14ac:dyDescent="0.25">
      <c r="A177" t="str">
        <f>TEXT([1]StagingTable!B177,"MMM-YYY")</f>
        <v>Apr-2025</v>
      </c>
      <c r="B177" t="str">
        <f>"Q"&amp;ROUNDUP(MONTH([1]StagingTable!B177)/3,0)&amp;"-"&amp;YEAR([1]StagingTable!D176)</f>
        <v>Q2-2024</v>
      </c>
      <c r="C177" t="str">
        <f>[1]StagingTable!F177&amp;"-"&amp;[1]StagingTable!G177&amp;"-"&amp;[1]StagingTable!H177</f>
        <v>Europe-United Kingdom-Birmingham</v>
      </c>
      <c r="D177" t="str">
        <f>IF([1]StagingTable!T177&lt;=_xlfn.PERCENTILE.INC([1]StagingTable!T177:T808,0.33),"LOW",IF([1]StagingTable!T177&lt;=_xlfn.PERCENTILE.INC([1]StagingTable!T177:T808,0.67),"MEDIUM","HIGH"))</f>
        <v>HIGH</v>
      </c>
    </row>
    <row r="178" spans="1:4" x14ac:dyDescent="0.25">
      <c r="A178" t="str">
        <f>TEXT([1]StagingTable!B178,"MMM-YYY")</f>
        <v>Aug-2023</v>
      </c>
      <c r="B178" t="str">
        <f>"Q"&amp;ROUNDUP(MONTH([1]StagingTable!B178)/3,0)&amp;"-"&amp;YEAR([1]StagingTable!D177)</f>
        <v>Q3-2025</v>
      </c>
      <c r="C178" t="str">
        <f>[1]StagingTable!F178&amp;"-"&amp;[1]StagingTable!G178&amp;"-"&amp;[1]StagingTable!H178</f>
        <v>Europe-United Kingdom-London</v>
      </c>
      <c r="D178" t="str">
        <f>IF([1]StagingTable!T178&lt;=_xlfn.PERCENTILE.INC([1]StagingTable!T178:T809,0.33),"LOW",IF([1]StagingTable!T178&lt;=_xlfn.PERCENTILE.INC([1]StagingTable!T178:T809,0.67),"MEDIUM","HIGH"))</f>
        <v>HIGH</v>
      </c>
    </row>
    <row r="179" spans="1:4" x14ac:dyDescent="0.25">
      <c r="A179" t="str">
        <f>TEXT([1]StagingTable!B179,"MMM-YYY")</f>
        <v>Feb-2024</v>
      </c>
      <c r="B179" t="str">
        <f>"Q"&amp;ROUNDUP(MONTH([1]StagingTable!B179)/3,0)&amp;"-"&amp;YEAR([1]StagingTable!D178)</f>
        <v>Q1-2023</v>
      </c>
      <c r="C179" t="str">
        <f>[1]StagingTable!F179&amp;"-"&amp;[1]StagingTable!G179&amp;"-"&amp;[1]StagingTable!H179</f>
        <v>Europe-Germany-Frankfurt</v>
      </c>
      <c r="D179" t="str">
        <f>IF([1]StagingTable!T179&lt;=_xlfn.PERCENTILE.INC([1]StagingTable!T179:T810,0.33),"LOW",IF([1]StagingTable!T179&lt;=_xlfn.PERCENTILE.INC([1]StagingTable!T179:T810,0.67),"MEDIUM","HIGH"))</f>
        <v>LOW</v>
      </c>
    </row>
    <row r="180" spans="1:4" x14ac:dyDescent="0.25">
      <c r="A180" t="str">
        <f>TEXT([1]StagingTable!B180,"MMM-YYY")</f>
        <v>Apr-2023</v>
      </c>
      <c r="B180" t="str">
        <f>"Q"&amp;ROUNDUP(MONTH([1]StagingTable!B180)/3,0)&amp;"-"&amp;YEAR([1]StagingTable!D179)</f>
        <v>Q2-2024</v>
      </c>
      <c r="C180" t="str">
        <f>[1]StagingTable!F180&amp;"-"&amp;[1]StagingTable!G180&amp;"-"&amp;[1]StagingTable!H180</f>
        <v>Americas-Canada-Vancouver</v>
      </c>
      <c r="D180" t="str">
        <f>IF([1]StagingTable!T180&lt;=_xlfn.PERCENTILE.INC([1]StagingTable!T180:T811,0.33),"LOW",IF([1]StagingTable!T180&lt;=_xlfn.PERCENTILE.INC([1]StagingTable!T180:T811,0.67),"MEDIUM","HIGH"))</f>
        <v>LOW</v>
      </c>
    </row>
    <row r="181" spans="1:4" x14ac:dyDescent="0.25">
      <c r="A181" t="str">
        <f>TEXT([1]StagingTable!B181,"MMM-YYY")</f>
        <v>Aug-2025</v>
      </c>
      <c r="B181" t="str">
        <f>"Q"&amp;ROUNDUP(MONTH([1]StagingTable!B181)/3,0)&amp;"-"&amp;YEAR([1]StagingTable!D180)</f>
        <v>Q3-2023</v>
      </c>
      <c r="C181" t="str">
        <f>[1]StagingTable!F181&amp;"-"&amp;[1]StagingTable!G181&amp;"-"&amp;[1]StagingTable!H181</f>
        <v>Asia-China-Shenzhen</v>
      </c>
      <c r="D181" t="str">
        <f>IF([1]StagingTable!T181&lt;=_xlfn.PERCENTILE.INC([1]StagingTable!T181:T812,0.33),"LOW",IF([1]StagingTable!T181&lt;=_xlfn.PERCENTILE.INC([1]StagingTable!T181:T812,0.67),"MEDIUM","HIGH"))</f>
        <v>LOW</v>
      </c>
    </row>
    <row r="182" spans="1:4" x14ac:dyDescent="0.25">
      <c r="A182" t="str">
        <f>TEXT([1]StagingTable!B182,"MMM-YYY")</f>
        <v>Sep-2025</v>
      </c>
      <c r="B182" t="str">
        <f>"Q"&amp;ROUNDUP(MONTH([1]StagingTable!B182)/3,0)&amp;"-"&amp;YEAR([1]StagingTable!D181)</f>
        <v>Q3-2025</v>
      </c>
      <c r="C182" t="str">
        <f>[1]StagingTable!F182&amp;"-"&amp;[1]StagingTable!G182&amp;"-"&amp;[1]StagingTable!H182</f>
        <v>Americas-Brazil-Rio de Janeiro</v>
      </c>
      <c r="D182" t="str">
        <f>IF([1]StagingTable!T182&lt;=_xlfn.PERCENTILE.INC([1]StagingTable!T182:T813,0.33),"LOW",IF([1]StagingTable!T182&lt;=_xlfn.PERCENTILE.INC([1]StagingTable!T182:T813,0.67),"MEDIUM","HIGH"))</f>
        <v>LOW</v>
      </c>
    </row>
    <row r="183" spans="1:4" x14ac:dyDescent="0.25">
      <c r="A183" t="str">
        <f>TEXT([1]StagingTable!B183,"MMM-YYY")</f>
        <v>Oct-2024</v>
      </c>
      <c r="B183" t="str">
        <f>"Q"&amp;ROUNDUP(MONTH([1]StagingTable!B183)/3,0)&amp;"-"&amp;YEAR([1]StagingTable!D182)</f>
        <v>Q4-2025</v>
      </c>
      <c r="C183" t="str">
        <f>[1]StagingTable!F183&amp;"-"&amp;[1]StagingTable!G183&amp;"-"&amp;[1]StagingTable!H183</f>
        <v>Asia-China-Beijing</v>
      </c>
      <c r="D183" t="str">
        <f>IF([1]StagingTable!T183&lt;=_xlfn.PERCENTILE.INC([1]StagingTable!T183:T814,0.33),"LOW",IF([1]StagingTable!T183&lt;=_xlfn.PERCENTILE.INC([1]StagingTable!T183:T814,0.67),"MEDIUM","HIGH"))</f>
        <v>HIGH</v>
      </c>
    </row>
    <row r="184" spans="1:4" x14ac:dyDescent="0.25">
      <c r="A184" t="str">
        <f>TEXT([1]StagingTable!B184,"MMM-YYY")</f>
        <v>Feb-2025</v>
      </c>
      <c r="B184" t="str">
        <f>"Q"&amp;ROUNDUP(MONTH([1]StagingTable!B184)/3,0)&amp;"-"&amp;YEAR([1]StagingTable!D183)</f>
        <v>Q1-2024</v>
      </c>
      <c r="C184" t="str">
        <f>[1]StagingTable!F184&amp;"-"&amp;[1]StagingTable!G184&amp;"-"&amp;[1]StagingTable!H184</f>
        <v>Asia-Japan-Osaka</v>
      </c>
      <c r="D184" t="str">
        <f>IF([1]StagingTable!T184&lt;=_xlfn.PERCENTILE.INC([1]StagingTable!T184:T815,0.33),"LOW",IF([1]StagingTable!T184&lt;=_xlfn.PERCENTILE.INC([1]StagingTable!T184:T815,0.67),"MEDIUM","HIGH"))</f>
        <v>HIGH</v>
      </c>
    </row>
    <row r="185" spans="1:4" x14ac:dyDescent="0.25">
      <c r="A185" t="str">
        <f>TEXT([1]StagingTable!B185,"MMM-YYY")</f>
        <v>Aug-2023</v>
      </c>
      <c r="B185" t="str">
        <f>"Q"&amp;ROUNDUP(MONTH([1]StagingTable!B185)/3,0)&amp;"-"&amp;YEAR([1]StagingTable!D184)</f>
        <v>Q3-2025</v>
      </c>
      <c r="C185" t="str">
        <f>[1]StagingTable!F185&amp;"-"&amp;[1]StagingTable!G185&amp;"-"&amp;[1]StagingTable!H185</f>
        <v>Africa-Nigeria-Abuja</v>
      </c>
      <c r="D185" t="str">
        <f>IF([1]StagingTable!T185&lt;=_xlfn.PERCENTILE.INC([1]StagingTable!T185:T816,0.33),"LOW",IF([1]StagingTable!T185&lt;=_xlfn.PERCENTILE.INC([1]StagingTable!T185:T816,0.67),"MEDIUM","HIGH"))</f>
        <v>MEDIUM</v>
      </c>
    </row>
    <row r="186" spans="1:4" x14ac:dyDescent="0.25">
      <c r="A186" t="str">
        <f>TEXT([1]StagingTable!B186,"MMM-YYY")</f>
        <v>Oct-2024</v>
      </c>
      <c r="B186" t="str">
        <f>"Q"&amp;ROUNDUP(MONTH([1]StagingTable!B186)/3,0)&amp;"-"&amp;YEAR([1]StagingTable!D185)</f>
        <v>Q4-2023</v>
      </c>
      <c r="C186" t="str">
        <f>[1]StagingTable!F186&amp;"-"&amp;[1]StagingTable!G186&amp;"-"&amp;[1]StagingTable!H186</f>
        <v>Africa-Nigeria-Port Harcourt</v>
      </c>
      <c r="D186" t="str">
        <f>IF([1]StagingTable!T186&lt;=_xlfn.PERCENTILE.INC([1]StagingTable!T186:T817,0.33),"LOW",IF([1]StagingTable!T186&lt;=_xlfn.PERCENTILE.INC([1]StagingTable!T186:T817,0.67),"MEDIUM","HIGH"))</f>
        <v>MEDIUM</v>
      </c>
    </row>
    <row r="187" spans="1:4" x14ac:dyDescent="0.25">
      <c r="A187" t="str">
        <f>TEXT([1]StagingTable!B187,"MMM-YYY")</f>
        <v>Jun-2023</v>
      </c>
      <c r="B187" t="str">
        <f>"Q"&amp;ROUNDUP(MONTH([1]StagingTable!B187)/3,0)&amp;"-"&amp;YEAR([1]StagingTable!D186)</f>
        <v>Q2-2024</v>
      </c>
      <c r="C187" t="str">
        <f>[1]StagingTable!F187&amp;"-"&amp;[1]StagingTable!G187&amp;"-"&amp;[1]StagingTable!H187</f>
        <v>Europe-France-Lyon</v>
      </c>
      <c r="D187" t="str">
        <f>IF([1]StagingTable!T187&lt;=_xlfn.PERCENTILE.INC([1]StagingTable!T187:T818,0.33),"LOW",IF([1]StagingTable!T187&lt;=_xlfn.PERCENTILE.INC([1]StagingTable!T187:T818,0.67),"MEDIUM","HIGH"))</f>
        <v>MEDIUM</v>
      </c>
    </row>
    <row r="188" spans="1:4" x14ac:dyDescent="0.25">
      <c r="A188" t="str">
        <f>TEXT([1]StagingTable!B188,"MMM-YYY")</f>
        <v>Jan-2025</v>
      </c>
      <c r="B188" t="str">
        <f>"Q"&amp;ROUNDUP(MONTH([1]StagingTable!B188)/3,0)&amp;"-"&amp;YEAR([1]StagingTable!D187)</f>
        <v>Q1-2023</v>
      </c>
      <c r="C188" t="str">
        <f>[1]StagingTable!F188&amp;"-"&amp;[1]StagingTable!G188&amp;"-"&amp;[1]StagingTable!H188</f>
        <v>Europe-France-Paris</v>
      </c>
      <c r="D188" t="str">
        <f>IF([1]StagingTable!T188&lt;=_xlfn.PERCENTILE.INC([1]StagingTable!T188:T819,0.33),"LOW",IF([1]StagingTable!T188&lt;=_xlfn.PERCENTILE.INC([1]StagingTable!T188:T819,0.67),"MEDIUM","HIGH"))</f>
        <v>MEDIUM</v>
      </c>
    </row>
    <row r="189" spans="1:4" x14ac:dyDescent="0.25">
      <c r="A189" t="str">
        <f>TEXT([1]StagingTable!B189,"MMM-YYY")</f>
        <v>Jan-2023</v>
      </c>
      <c r="B189" t="str">
        <f>"Q"&amp;ROUNDUP(MONTH([1]StagingTable!B189)/3,0)&amp;"-"&amp;YEAR([1]StagingTable!D188)</f>
        <v>Q1-2025</v>
      </c>
      <c r="C189" t="str">
        <f>[1]StagingTable!F189&amp;"-"&amp;[1]StagingTable!G189&amp;"-"&amp;[1]StagingTable!H189</f>
        <v>Asia-India-Bengaluru</v>
      </c>
      <c r="D189" t="str">
        <f>IF([1]StagingTable!T189&lt;=_xlfn.PERCENTILE.INC([1]StagingTable!T189:T820,0.33),"LOW",IF([1]StagingTable!T189&lt;=_xlfn.PERCENTILE.INC([1]StagingTable!T189:T820,0.67),"MEDIUM","HIGH"))</f>
        <v>MEDIUM</v>
      </c>
    </row>
    <row r="190" spans="1:4" x14ac:dyDescent="0.25">
      <c r="A190" t="str">
        <f>TEXT([1]StagingTable!B190,"MMM-YYY")</f>
        <v>Jul-2023</v>
      </c>
      <c r="B190" t="str">
        <f>"Q"&amp;ROUNDUP(MONTH([1]StagingTable!B190)/3,0)&amp;"-"&amp;YEAR([1]StagingTable!D189)</f>
        <v>Q3-2023</v>
      </c>
      <c r="C190" t="str">
        <f>[1]StagingTable!F190&amp;"-"&amp;[1]StagingTable!G190&amp;"-"&amp;[1]StagingTable!H190</f>
        <v>Americas-Brazil-Rio de Janeiro</v>
      </c>
      <c r="D190" t="str">
        <f>IF([1]StagingTable!T190&lt;=_xlfn.PERCENTILE.INC([1]StagingTable!T190:T821,0.33),"LOW",IF([1]StagingTable!T190&lt;=_xlfn.PERCENTILE.INC([1]StagingTable!T190:T821,0.67),"MEDIUM","HIGH"))</f>
        <v>HIGH</v>
      </c>
    </row>
    <row r="191" spans="1:4" x14ac:dyDescent="0.25">
      <c r="A191" t="str">
        <f>TEXT([1]StagingTable!B191,"MMM-YYY")</f>
        <v>May-2024</v>
      </c>
      <c r="B191" t="str">
        <f>"Q"&amp;ROUNDUP(MONTH([1]StagingTable!B191)/3,0)&amp;"-"&amp;YEAR([1]StagingTable!D190)</f>
        <v>Q2-2023</v>
      </c>
      <c r="C191" t="str">
        <f>[1]StagingTable!F191&amp;"-"&amp;[1]StagingTable!G191&amp;"-"&amp;[1]StagingTable!H191</f>
        <v>Americas-Brazil-Brasília</v>
      </c>
      <c r="D191" t="str">
        <f>IF([1]StagingTable!T191&lt;=_xlfn.PERCENTILE.INC([1]StagingTable!T191:T822,0.33),"LOW",IF([1]StagingTable!T191&lt;=_xlfn.PERCENTILE.INC([1]StagingTable!T191:T822,0.67),"MEDIUM","HIGH"))</f>
        <v>MEDIUM</v>
      </c>
    </row>
    <row r="192" spans="1:4" x14ac:dyDescent="0.25">
      <c r="A192" t="str">
        <f>TEXT([1]StagingTable!B192,"MMM-YYY")</f>
        <v>Feb-2024</v>
      </c>
      <c r="B192" t="str">
        <f>"Q"&amp;ROUNDUP(MONTH([1]StagingTable!B192)/3,0)&amp;"-"&amp;YEAR([1]StagingTable!D191)</f>
        <v>Q1-2024</v>
      </c>
      <c r="C192" t="str">
        <f>[1]StagingTable!F192&amp;"-"&amp;[1]StagingTable!G192&amp;"-"&amp;[1]StagingTable!H192</f>
        <v>Asia-China-Shenzhen</v>
      </c>
      <c r="D192" t="str">
        <f>IF([1]StagingTable!T192&lt;=_xlfn.PERCENTILE.INC([1]StagingTable!T192:T823,0.33),"LOW",IF([1]StagingTable!T192&lt;=_xlfn.PERCENTILE.INC([1]StagingTable!T192:T823,0.67),"MEDIUM","HIGH"))</f>
        <v>MEDIUM</v>
      </c>
    </row>
    <row r="193" spans="1:4" x14ac:dyDescent="0.25">
      <c r="A193" t="str">
        <f>TEXT([1]StagingTable!B193,"MMM-YYY")</f>
        <v>Aug-2023</v>
      </c>
      <c r="B193" t="str">
        <f>"Q"&amp;ROUNDUP(MONTH([1]StagingTable!B193)/3,0)&amp;"-"&amp;YEAR([1]StagingTable!D192)</f>
        <v>Q3-2024</v>
      </c>
      <c r="C193" t="str">
        <f>[1]StagingTable!F193&amp;"-"&amp;[1]StagingTable!G193&amp;"-"&amp;[1]StagingTable!H193</f>
        <v>Europe-United Kingdom-Birmingham</v>
      </c>
      <c r="D193" t="str">
        <f>IF([1]StagingTable!T193&lt;=_xlfn.PERCENTILE.INC([1]StagingTable!T193:T824,0.33),"LOW",IF([1]StagingTable!T193&lt;=_xlfn.PERCENTILE.INC([1]StagingTable!T193:T824,0.67),"MEDIUM","HIGH"))</f>
        <v>MEDIUM</v>
      </c>
    </row>
    <row r="194" spans="1:4" x14ac:dyDescent="0.25">
      <c r="A194" t="str">
        <f>TEXT([1]StagingTable!B194,"MMM-YYY")</f>
        <v>Aug-2024</v>
      </c>
      <c r="B194" t="str">
        <f>"Q"&amp;ROUNDUP(MONTH([1]StagingTable!B194)/3,0)&amp;"-"&amp;YEAR([1]StagingTable!D193)</f>
        <v>Q3-2023</v>
      </c>
      <c r="C194" t="str">
        <f>[1]StagingTable!F194&amp;"-"&amp;[1]StagingTable!G194&amp;"-"&amp;[1]StagingTable!H194</f>
        <v>Americas-USA-Austin</v>
      </c>
      <c r="D194" t="str">
        <f>IF([1]StagingTable!T194&lt;=_xlfn.PERCENTILE.INC([1]StagingTable!T194:T825,0.33),"LOW",IF([1]StagingTable!T194&lt;=_xlfn.PERCENTILE.INC([1]StagingTable!T194:T825,0.67),"MEDIUM","HIGH"))</f>
        <v>MEDIUM</v>
      </c>
    </row>
    <row r="195" spans="1:4" x14ac:dyDescent="0.25">
      <c r="A195" t="str">
        <f>TEXT([1]StagingTable!B195,"MMM-YYY")</f>
        <v>Oct-2023</v>
      </c>
      <c r="B195" t="str">
        <f>"Q"&amp;ROUNDUP(MONTH([1]StagingTable!B195)/3,0)&amp;"-"&amp;YEAR([1]StagingTable!D194)</f>
        <v>Q4-2024</v>
      </c>
      <c r="C195" t="str">
        <f>[1]StagingTable!F195&amp;"-"&amp;[1]StagingTable!G195&amp;"-"&amp;[1]StagingTable!H195</f>
        <v>Asia-China-Shenzhen</v>
      </c>
      <c r="D195" t="str">
        <f>IF([1]StagingTable!T195&lt;=_xlfn.PERCENTILE.INC([1]StagingTable!T195:T826,0.33),"LOW",IF([1]StagingTable!T195&lt;=_xlfn.PERCENTILE.INC([1]StagingTable!T195:T826,0.67),"MEDIUM","HIGH"))</f>
        <v>LOW</v>
      </c>
    </row>
    <row r="196" spans="1:4" x14ac:dyDescent="0.25">
      <c r="A196" t="str">
        <f>TEXT([1]StagingTable!B196,"MMM-YYY")</f>
        <v>May-2023</v>
      </c>
      <c r="B196" t="str">
        <f>"Q"&amp;ROUNDUP(MONTH([1]StagingTable!B196)/3,0)&amp;"-"&amp;YEAR([1]StagingTable!D195)</f>
        <v>Q2-2023</v>
      </c>
      <c r="C196" t="str">
        <f>[1]StagingTable!F196&amp;"-"&amp;[1]StagingTable!G196&amp;"-"&amp;[1]StagingTable!H196</f>
        <v>Americas-USA-San Francisco</v>
      </c>
      <c r="D196" t="str">
        <f>IF([1]StagingTable!T196&lt;=_xlfn.PERCENTILE.INC([1]StagingTable!T196:T827,0.33),"LOW",IF([1]StagingTable!T196&lt;=_xlfn.PERCENTILE.INC([1]StagingTable!T196:T827,0.67),"MEDIUM","HIGH"))</f>
        <v>LOW</v>
      </c>
    </row>
    <row r="197" spans="1:4" x14ac:dyDescent="0.25">
      <c r="A197" t="str">
        <f>TEXT([1]StagingTable!B197,"MMM-YYY")</f>
        <v>Sep-2024</v>
      </c>
      <c r="B197" t="str">
        <f>"Q"&amp;ROUNDUP(MONTH([1]StagingTable!B197)/3,0)&amp;"-"&amp;YEAR([1]StagingTable!D196)</f>
        <v>Q3-2023</v>
      </c>
      <c r="C197" t="str">
        <f>[1]StagingTable!F197&amp;"-"&amp;[1]StagingTable!G197&amp;"-"&amp;[1]StagingTable!H197</f>
        <v>Americas-Brazil-São Paulo</v>
      </c>
      <c r="D197" t="str">
        <f>IF([1]StagingTable!T197&lt;=_xlfn.PERCENTILE.INC([1]StagingTable!T197:T828,0.33),"LOW",IF([1]StagingTable!T197&lt;=_xlfn.PERCENTILE.INC([1]StagingTable!T197:T828,0.67),"MEDIUM","HIGH"))</f>
        <v>HIGH</v>
      </c>
    </row>
    <row r="198" spans="1:4" x14ac:dyDescent="0.25">
      <c r="A198" t="str">
        <f>TEXT([1]StagingTable!B198,"MMM-YYY")</f>
        <v>Oct-2024</v>
      </c>
      <c r="B198" t="str">
        <f>"Q"&amp;ROUNDUP(MONTH([1]StagingTable!B198)/3,0)&amp;"-"&amp;YEAR([1]StagingTable!D197)</f>
        <v>Q4-2024</v>
      </c>
      <c r="C198" t="str">
        <f>[1]StagingTable!F198&amp;"-"&amp;[1]StagingTable!G198&amp;"-"&amp;[1]StagingTable!H198</f>
        <v>Asia-Japan-Osaka</v>
      </c>
      <c r="D198" t="str">
        <f>IF([1]StagingTable!T198&lt;=_xlfn.PERCENTILE.INC([1]StagingTable!T198:T829,0.33),"LOW",IF([1]StagingTable!T198&lt;=_xlfn.PERCENTILE.INC([1]StagingTable!T198:T829,0.67),"MEDIUM","HIGH"))</f>
        <v>MEDIUM</v>
      </c>
    </row>
    <row r="199" spans="1:4" x14ac:dyDescent="0.25">
      <c r="A199" t="str">
        <f>TEXT([1]StagingTable!B199,"MMM-YYY")</f>
        <v>Feb-2024</v>
      </c>
      <c r="B199" t="str">
        <f>"Q"&amp;ROUNDUP(MONTH([1]StagingTable!B199)/3,0)&amp;"-"&amp;YEAR([1]StagingTable!D198)</f>
        <v>Q1-2024</v>
      </c>
      <c r="C199" t="str">
        <f>[1]StagingTable!F199&amp;"-"&amp;[1]StagingTable!G199&amp;"-"&amp;[1]StagingTable!H199</f>
        <v>Africa-Kenya-Kisumu</v>
      </c>
      <c r="D199" t="str">
        <f>IF([1]StagingTable!T199&lt;=_xlfn.PERCENTILE.INC([1]StagingTable!T199:T830,0.33),"LOW",IF([1]StagingTable!T199&lt;=_xlfn.PERCENTILE.INC([1]StagingTable!T199:T830,0.67),"MEDIUM","HIGH"))</f>
        <v>LOW</v>
      </c>
    </row>
    <row r="200" spans="1:4" x14ac:dyDescent="0.25">
      <c r="A200" t="str">
        <f>TEXT([1]StagingTable!B200,"MMM-YYY")</f>
        <v>Jan-2023</v>
      </c>
      <c r="B200" t="str">
        <f>"Q"&amp;ROUNDUP(MONTH([1]StagingTable!B200)/3,0)&amp;"-"&amp;YEAR([1]StagingTable!D199)</f>
        <v>Q1-2024</v>
      </c>
      <c r="C200" t="str">
        <f>[1]StagingTable!F200&amp;"-"&amp;[1]StagingTable!G200&amp;"-"&amp;[1]StagingTable!H200</f>
        <v>Europe-Germany-Munich</v>
      </c>
      <c r="D200" t="str">
        <f>IF([1]StagingTable!T200&lt;=_xlfn.PERCENTILE.INC([1]StagingTable!T200:T831,0.33),"LOW",IF([1]StagingTable!T200&lt;=_xlfn.PERCENTILE.INC([1]StagingTable!T200:T831,0.67),"MEDIUM","HIGH"))</f>
        <v>MEDIUM</v>
      </c>
    </row>
    <row r="201" spans="1:4" x14ac:dyDescent="0.25">
      <c r="A201" t="str">
        <f>TEXT([1]StagingTable!B201,"MMM-YYY")</f>
        <v>Apr-2023</v>
      </c>
      <c r="B201" t="str">
        <f>"Q"&amp;ROUNDUP(MONTH([1]StagingTable!B201)/3,0)&amp;"-"&amp;YEAR([1]StagingTable!D200)</f>
        <v>Q2-2023</v>
      </c>
      <c r="C201" t="str">
        <f>[1]StagingTable!F201&amp;"-"&amp;[1]StagingTable!G201&amp;"-"&amp;[1]StagingTable!H201</f>
        <v>Europe-Germany-Frankfurt</v>
      </c>
      <c r="D201" t="str">
        <f>IF([1]StagingTable!T201&lt;=_xlfn.PERCENTILE.INC([1]StagingTable!T201:T832,0.33),"LOW",IF([1]StagingTable!T201&lt;=_xlfn.PERCENTILE.INC([1]StagingTable!T201:T832,0.67),"MEDIUM","HIGH"))</f>
        <v>HIGH</v>
      </c>
    </row>
    <row r="202" spans="1:4" x14ac:dyDescent="0.25">
      <c r="A202" t="str">
        <f>TEXT([1]StagingTable!B202,"MMM-YYY")</f>
        <v>Jan-2023</v>
      </c>
      <c r="B202" t="str">
        <f>"Q"&amp;ROUNDUP(MONTH([1]StagingTable!B202)/3,0)&amp;"-"&amp;YEAR([1]StagingTable!D201)</f>
        <v>Q1-2023</v>
      </c>
      <c r="C202" t="str">
        <f>[1]StagingTable!F202&amp;"-"&amp;[1]StagingTable!G202&amp;"-"&amp;[1]StagingTable!H202</f>
        <v>Americas-USA-Chicago</v>
      </c>
      <c r="D202" t="str">
        <f>IF([1]StagingTable!T202&lt;=_xlfn.PERCENTILE.INC([1]StagingTable!T202:T833,0.33),"LOW",IF([1]StagingTable!T202&lt;=_xlfn.PERCENTILE.INC([1]StagingTable!T202:T833,0.67),"MEDIUM","HIGH"))</f>
        <v>MEDIUM</v>
      </c>
    </row>
    <row r="203" spans="1:4" x14ac:dyDescent="0.25">
      <c r="A203" t="str">
        <f>TEXT([1]StagingTable!B203,"MMM-YYY")</f>
        <v>Jan-2024</v>
      </c>
      <c r="B203" t="str">
        <f>"Q"&amp;ROUNDUP(MONTH([1]StagingTable!B203)/3,0)&amp;"-"&amp;YEAR([1]StagingTable!D202)</f>
        <v>Q1-2023</v>
      </c>
      <c r="C203" t="str">
        <f>[1]StagingTable!F203&amp;"-"&amp;[1]StagingTable!G203&amp;"-"&amp;[1]StagingTable!H203</f>
        <v>Americas-USA-Chicago</v>
      </c>
      <c r="D203" t="str">
        <f>IF([1]StagingTable!T203&lt;=_xlfn.PERCENTILE.INC([1]StagingTable!T203:T834,0.33),"LOW",IF([1]StagingTable!T203&lt;=_xlfn.PERCENTILE.INC([1]StagingTable!T203:T834,0.67),"MEDIUM","HIGH"))</f>
        <v>LOW</v>
      </c>
    </row>
    <row r="204" spans="1:4" x14ac:dyDescent="0.25">
      <c r="A204" t="str">
        <f>TEXT([1]StagingTable!B204,"MMM-YYY")</f>
        <v>Aug-2023</v>
      </c>
      <c r="B204" t="str">
        <f>"Q"&amp;ROUNDUP(MONTH([1]StagingTable!B204)/3,0)&amp;"-"&amp;YEAR([1]StagingTable!D203)</f>
        <v>Q3-2024</v>
      </c>
      <c r="C204" t="str">
        <f>[1]StagingTable!F204&amp;"-"&amp;[1]StagingTable!G204&amp;"-"&amp;[1]StagingTable!H204</f>
        <v>Americas-USA-New York</v>
      </c>
      <c r="D204" t="str">
        <f>IF([1]StagingTable!T204&lt;=_xlfn.PERCENTILE.INC([1]StagingTable!T204:T835,0.33),"LOW",IF([1]StagingTable!T204&lt;=_xlfn.PERCENTILE.INC([1]StagingTable!T204:T835,0.67),"MEDIUM","HIGH"))</f>
        <v>MEDIUM</v>
      </c>
    </row>
    <row r="205" spans="1:4" x14ac:dyDescent="0.25">
      <c r="A205" t="str">
        <f>TEXT([1]StagingTable!B205,"MMM-YYY")</f>
        <v>Jan-2023</v>
      </c>
      <c r="B205" t="str">
        <f>"Q"&amp;ROUNDUP(MONTH([1]StagingTable!B205)/3,0)&amp;"-"&amp;YEAR([1]StagingTable!D204)</f>
        <v>Q1-2023</v>
      </c>
      <c r="C205" t="str">
        <f>[1]StagingTable!F205&amp;"-"&amp;[1]StagingTable!G205&amp;"-"&amp;[1]StagingTable!H205</f>
        <v>Africa-Kenya-Kisumu</v>
      </c>
      <c r="D205" t="str">
        <f>IF([1]StagingTable!T205&lt;=_xlfn.PERCENTILE.INC([1]StagingTable!T205:T836,0.33),"LOW",IF([1]StagingTable!T205&lt;=_xlfn.PERCENTILE.INC([1]StagingTable!T205:T836,0.67),"MEDIUM","HIGH"))</f>
        <v>MEDIUM</v>
      </c>
    </row>
    <row r="206" spans="1:4" x14ac:dyDescent="0.25">
      <c r="A206" t="str">
        <f>TEXT([1]StagingTable!B206,"MMM-YYY")</f>
        <v>Feb-2025</v>
      </c>
      <c r="B206" t="str">
        <f>"Q"&amp;ROUNDUP(MONTH([1]StagingTable!B206)/3,0)&amp;"-"&amp;YEAR([1]StagingTable!D205)</f>
        <v>Q1-2023</v>
      </c>
      <c r="C206" t="str">
        <f>[1]StagingTable!F206&amp;"-"&amp;[1]StagingTable!G206&amp;"-"&amp;[1]StagingTable!H206</f>
        <v>Europe-United Kingdom-Birmingham</v>
      </c>
      <c r="D206" t="str">
        <f>IF([1]StagingTable!T206&lt;=_xlfn.PERCENTILE.INC([1]StagingTable!T206:T837,0.33),"LOW",IF([1]StagingTable!T206&lt;=_xlfn.PERCENTILE.INC([1]StagingTable!T206:T837,0.67),"MEDIUM","HIGH"))</f>
        <v>HIGH</v>
      </c>
    </row>
    <row r="207" spans="1:4" x14ac:dyDescent="0.25">
      <c r="A207" t="str">
        <f>TEXT([1]StagingTable!B207,"MMM-YYY")</f>
        <v>Apr-2023</v>
      </c>
      <c r="B207" t="str">
        <f>"Q"&amp;ROUNDUP(MONTH([1]StagingTable!B207)/3,0)&amp;"-"&amp;YEAR([1]StagingTable!D206)</f>
        <v>Q2-2025</v>
      </c>
      <c r="C207" t="str">
        <f>[1]StagingTable!F207&amp;"-"&amp;[1]StagingTable!G207&amp;"-"&amp;[1]StagingTable!H207</f>
        <v>Europe-Germany-Berlin</v>
      </c>
      <c r="D207" t="str">
        <f>IF([1]StagingTable!T207&lt;=_xlfn.PERCENTILE.INC([1]StagingTable!T207:T838,0.33),"LOW",IF([1]StagingTable!T207&lt;=_xlfn.PERCENTILE.INC([1]StagingTable!T207:T838,0.67),"MEDIUM","HIGH"))</f>
        <v>HIGH</v>
      </c>
    </row>
    <row r="208" spans="1:4" x14ac:dyDescent="0.25">
      <c r="A208" t="str">
        <f>TEXT([1]StagingTable!B208,"MMM-YYY")</f>
        <v>Jul-2023</v>
      </c>
      <c r="B208" t="str">
        <f>"Q"&amp;ROUNDUP(MONTH([1]StagingTable!B208)/3,0)&amp;"-"&amp;YEAR([1]StagingTable!D207)</f>
        <v>Q3-2023</v>
      </c>
      <c r="C208" t="str">
        <f>[1]StagingTable!F208&amp;"-"&amp;[1]StagingTable!G208&amp;"-"&amp;[1]StagingTable!H208</f>
        <v>Europe-United Kingdom-Birmingham</v>
      </c>
      <c r="D208" t="str">
        <f>IF([1]StagingTable!T208&lt;=_xlfn.PERCENTILE.INC([1]StagingTable!T208:T839,0.33),"LOW",IF([1]StagingTable!T208&lt;=_xlfn.PERCENTILE.INC([1]StagingTable!T208:T839,0.67),"MEDIUM","HIGH"))</f>
        <v>LOW</v>
      </c>
    </row>
    <row r="209" spans="1:4" x14ac:dyDescent="0.25">
      <c r="A209" t="str">
        <f>TEXT([1]StagingTable!B209,"MMM-YYY")</f>
        <v>Jan-2025</v>
      </c>
      <c r="B209" t="str">
        <f>"Q"&amp;ROUNDUP(MONTH([1]StagingTable!B209)/3,0)&amp;"-"&amp;YEAR([1]StagingTable!D208)</f>
        <v>Q1-2023</v>
      </c>
      <c r="C209" t="str">
        <f>[1]StagingTable!F209&amp;"-"&amp;[1]StagingTable!G209&amp;"-"&amp;[1]StagingTable!H209</f>
        <v>Africa-Kenya-Nairobi</v>
      </c>
      <c r="D209" t="str">
        <f>IF([1]StagingTable!T209&lt;=_xlfn.PERCENTILE.INC([1]StagingTable!T209:T840,0.33),"LOW",IF([1]StagingTable!T209&lt;=_xlfn.PERCENTILE.INC([1]StagingTable!T209:T840,0.67),"MEDIUM","HIGH"))</f>
        <v>HIGH</v>
      </c>
    </row>
    <row r="210" spans="1:4" x14ac:dyDescent="0.25">
      <c r="A210" t="str">
        <f>TEXT([1]StagingTable!B210,"MMM-YYY")</f>
        <v>Sep-2024</v>
      </c>
      <c r="B210" t="str">
        <f>"Q"&amp;ROUNDUP(MONTH([1]StagingTable!B210)/3,0)&amp;"-"&amp;YEAR([1]StagingTable!D209)</f>
        <v>Q3-2025</v>
      </c>
      <c r="C210" t="str">
        <f>[1]StagingTable!F210&amp;"-"&amp;[1]StagingTable!G210&amp;"-"&amp;[1]StagingTable!H210</f>
        <v>Africa-Kenya-Kisumu</v>
      </c>
      <c r="D210" t="str">
        <f>IF([1]StagingTable!T210&lt;=_xlfn.PERCENTILE.INC([1]StagingTable!T210:T841,0.33),"LOW",IF([1]StagingTable!T210&lt;=_xlfn.PERCENTILE.INC([1]StagingTable!T210:T841,0.67),"MEDIUM","HIGH"))</f>
        <v>HIGH</v>
      </c>
    </row>
    <row r="211" spans="1:4" x14ac:dyDescent="0.25">
      <c r="A211" t="str">
        <f>TEXT([1]StagingTable!B211,"MMM-YYY")</f>
        <v>Jul-2025</v>
      </c>
      <c r="B211" t="str">
        <f>"Q"&amp;ROUNDUP(MONTH([1]StagingTable!B211)/3,0)&amp;"-"&amp;YEAR([1]StagingTable!D210)</f>
        <v>Q3-2024</v>
      </c>
      <c r="C211" t="str">
        <f>[1]StagingTable!F211&amp;"-"&amp;[1]StagingTable!G211&amp;"-"&amp;[1]StagingTable!H211</f>
        <v>Africa-Nigeria-Lagos</v>
      </c>
      <c r="D211" t="str">
        <f>IF([1]StagingTable!T211&lt;=_xlfn.PERCENTILE.INC([1]StagingTable!T211:T842,0.33),"LOW",IF([1]StagingTable!T211&lt;=_xlfn.PERCENTILE.INC([1]StagingTable!T211:T842,0.67),"MEDIUM","HIGH"))</f>
        <v>HIGH</v>
      </c>
    </row>
    <row r="212" spans="1:4" x14ac:dyDescent="0.25">
      <c r="A212" t="str">
        <f>TEXT([1]StagingTable!B212,"MMM-YYY")</f>
        <v>Oct-2024</v>
      </c>
      <c r="B212" t="str">
        <f>"Q"&amp;ROUNDUP(MONTH([1]StagingTable!B212)/3,0)&amp;"-"&amp;YEAR([1]StagingTable!D211)</f>
        <v>Q4-2025</v>
      </c>
      <c r="C212" t="str">
        <f>[1]StagingTable!F212&amp;"-"&amp;[1]StagingTable!G212&amp;"-"&amp;[1]StagingTable!H212</f>
        <v>Africa-South Africa-Durban</v>
      </c>
      <c r="D212" t="str">
        <f>IF([1]StagingTable!T212&lt;=_xlfn.PERCENTILE.INC([1]StagingTable!T212:T843,0.33),"LOW",IF([1]StagingTable!T212&lt;=_xlfn.PERCENTILE.INC([1]StagingTable!T212:T843,0.67),"MEDIUM","HIGH"))</f>
        <v>HIGH</v>
      </c>
    </row>
    <row r="213" spans="1:4" x14ac:dyDescent="0.25">
      <c r="A213" t="str">
        <f>TEXT([1]StagingTable!B213,"MMM-YYY")</f>
        <v>Jul-2025</v>
      </c>
      <c r="B213" t="str">
        <f>"Q"&amp;ROUNDUP(MONTH([1]StagingTable!B213)/3,0)&amp;"-"&amp;YEAR([1]StagingTable!D212)</f>
        <v>Q3-2024</v>
      </c>
      <c r="C213" t="str">
        <f>[1]StagingTable!F213&amp;"-"&amp;[1]StagingTable!G213&amp;"-"&amp;[1]StagingTable!H213</f>
        <v>Americas-Canada-Montreal</v>
      </c>
      <c r="D213" t="str">
        <f>IF([1]StagingTable!T213&lt;=_xlfn.PERCENTILE.INC([1]StagingTable!T213:T844,0.33),"LOW",IF([1]StagingTable!T213&lt;=_xlfn.PERCENTILE.INC([1]StagingTable!T213:T844,0.67),"MEDIUM","HIGH"))</f>
        <v>LOW</v>
      </c>
    </row>
    <row r="214" spans="1:4" x14ac:dyDescent="0.25">
      <c r="A214" t="str">
        <f>TEXT([1]StagingTable!B214,"MMM-YYY")</f>
        <v>Sep-2024</v>
      </c>
      <c r="B214" t="str">
        <f>"Q"&amp;ROUNDUP(MONTH([1]StagingTable!B214)/3,0)&amp;"-"&amp;YEAR([1]StagingTable!D213)</f>
        <v>Q3-2025</v>
      </c>
      <c r="C214" t="str">
        <f>[1]StagingTable!F214&amp;"-"&amp;[1]StagingTable!G214&amp;"-"&amp;[1]StagingTable!H214</f>
        <v>Asia-China-Shenzhen</v>
      </c>
      <c r="D214" t="str">
        <f>IF([1]StagingTable!T214&lt;=_xlfn.PERCENTILE.INC([1]StagingTable!T214:T845,0.33),"LOW",IF([1]StagingTable!T214&lt;=_xlfn.PERCENTILE.INC([1]StagingTable!T214:T845,0.67),"MEDIUM","HIGH"))</f>
        <v>MEDIUM</v>
      </c>
    </row>
    <row r="215" spans="1:4" x14ac:dyDescent="0.25">
      <c r="A215" t="str">
        <f>TEXT([1]StagingTable!B215,"MMM-YYY")</f>
        <v>Jan-2025</v>
      </c>
      <c r="B215" t="str">
        <f>"Q"&amp;ROUNDUP(MONTH([1]StagingTable!B215)/3,0)&amp;"-"&amp;YEAR([1]StagingTable!D214)</f>
        <v>Q1-2024</v>
      </c>
      <c r="C215" t="str">
        <f>[1]StagingTable!F215&amp;"-"&amp;[1]StagingTable!G215&amp;"-"&amp;[1]StagingTable!H215</f>
        <v>Africa-Kenya-Kisumu</v>
      </c>
      <c r="D215" t="str">
        <f>IF([1]StagingTable!T215&lt;=_xlfn.PERCENTILE.INC([1]StagingTable!T215:T846,0.33),"LOW",IF([1]StagingTable!T215&lt;=_xlfn.PERCENTILE.INC([1]StagingTable!T215:T846,0.67),"MEDIUM","HIGH"))</f>
        <v>HIGH</v>
      </c>
    </row>
    <row r="216" spans="1:4" x14ac:dyDescent="0.25">
      <c r="A216" t="str">
        <f>TEXT([1]StagingTable!B216,"MMM-YYY")</f>
        <v>Nov-2023</v>
      </c>
      <c r="B216" t="str">
        <f>"Q"&amp;ROUNDUP(MONTH([1]StagingTable!B216)/3,0)&amp;"-"&amp;YEAR([1]StagingTable!D215)</f>
        <v>Q4-2025</v>
      </c>
      <c r="C216" t="str">
        <f>[1]StagingTable!F216&amp;"-"&amp;[1]StagingTable!G216&amp;"-"&amp;[1]StagingTable!H216</f>
        <v>Americas-Brazil-Brasília</v>
      </c>
      <c r="D216" t="str">
        <f>IF([1]StagingTable!T216&lt;=_xlfn.PERCENTILE.INC([1]StagingTable!T216:T847,0.33),"LOW",IF([1]StagingTable!T216&lt;=_xlfn.PERCENTILE.INC([1]StagingTable!T216:T847,0.67),"MEDIUM","HIGH"))</f>
        <v>LOW</v>
      </c>
    </row>
    <row r="217" spans="1:4" x14ac:dyDescent="0.25">
      <c r="A217" t="str">
        <f>TEXT([1]StagingTable!B217,"MMM-YYY")</f>
        <v>Feb-2024</v>
      </c>
      <c r="B217" t="str">
        <f>"Q"&amp;ROUNDUP(MONTH([1]StagingTable!B217)/3,0)&amp;"-"&amp;YEAR([1]StagingTable!D216)</f>
        <v>Q1-2023</v>
      </c>
      <c r="C217" t="str">
        <f>[1]StagingTable!F217&amp;"-"&amp;[1]StagingTable!G217&amp;"-"&amp;[1]StagingTable!H217</f>
        <v>Asia-Japan-Nagoya</v>
      </c>
      <c r="D217" t="str">
        <f>IF([1]StagingTable!T217&lt;=_xlfn.PERCENTILE.INC([1]StagingTable!T217:T848,0.33),"LOW",IF([1]StagingTable!T217&lt;=_xlfn.PERCENTILE.INC([1]StagingTable!T217:T848,0.67),"MEDIUM","HIGH"))</f>
        <v>LOW</v>
      </c>
    </row>
    <row r="218" spans="1:4" x14ac:dyDescent="0.25">
      <c r="A218" t="str">
        <f>TEXT([1]StagingTable!B218,"MMM-YYY")</f>
        <v>Dec-2023</v>
      </c>
      <c r="B218" t="str">
        <f>"Q"&amp;ROUNDUP(MONTH([1]StagingTable!B218)/3,0)&amp;"-"&amp;YEAR([1]StagingTable!D217)</f>
        <v>Q4-2024</v>
      </c>
      <c r="C218" t="str">
        <f>[1]StagingTable!F218&amp;"-"&amp;[1]StagingTable!G218&amp;"-"&amp;[1]StagingTable!H218</f>
        <v>Asia-India-Mumbai</v>
      </c>
      <c r="D218" t="str">
        <f>IF([1]StagingTable!T218&lt;=_xlfn.PERCENTILE.INC([1]StagingTable!T218:T849,0.33),"LOW",IF([1]StagingTable!T218&lt;=_xlfn.PERCENTILE.INC([1]StagingTable!T218:T849,0.67),"MEDIUM","HIGH"))</f>
        <v>MEDIUM</v>
      </c>
    </row>
    <row r="219" spans="1:4" x14ac:dyDescent="0.25">
      <c r="A219" t="str">
        <f>TEXT([1]StagingTable!B219,"MMM-YYY")</f>
        <v>Jan-2023</v>
      </c>
      <c r="B219" t="str">
        <f>"Q"&amp;ROUNDUP(MONTH([1]StagingTable!B219)/3,0)&amp;"-"&amp;YEAR([1]StagingTable!D218)</f>
        <v>Q1-2024</v>
      </c>
      <c r="C219" t="str">
        <f>[1]StagingTable!F219&amp;"-"&amp;[1]StagingTable!G219&amp;"-"&amp;[1]StagingTable!H219</f>
        <v>Europe-Germany-Munich</v>
      </c>
      <c r="D219" t="str">
        <f>IF([1]StagingTable!T219&lt;=_xlfn.PERCENTILE.INC([1]StagingTable!T219:T850,0.33),"LOW",IF([1]StagingTable!T219&lt;=_xlfn.PERCENTILE.INC([1]StagingTable!T219:T850,0.67),"MEDIUM","HIGH"))</f>
        <v>LOW</v>
      </c>
    </row>
    <row r="220" spans="1:4" x14ac:dyDescent="0.25">
      <c r="A220" t="str">
        <f>TEXT([1]StagingTable!B220,"MMM-YYY")</f>
        <v>Oct-2024</v>
      </c>
      <c r="B220" t="str">
        <f>"Q"&amp;ROUNDUP(MONTH([1]StagingTable!B220)/3,0)&amp;"-"&amp;YEAR([1]StagingTable!D219)</f>
        <v>Q4-2023</v>
      </c>
      <c r="C220" t="str">
        <f>[1]StagingTable!F220&amp;"-"&amp;[1]StagingTable!G220&amp;"-"&amp;[1]StagingTable!H220</f>
        <v>Asia-China-Shanghai</v>
      </c>
      <c r="D220" t="str">
        <f>IF([1]StagingTable!T220&lt;=_xlfn.PERCENTILE.INC([1]StagingTable!T220:T851,0.33),"LOW",IF([1]StagingTable!T220&lt;=_xlfn.PERCENTILE.INC([1]StagingTable!T220:T851,0.67),"MEDIUM","HIGH"))</f>
        <v>LOW</v>
      </c>
    </row>
    <row r="221" spans="1:4" x14ac:dyDescent="0.25">
      <c r="A221" t="str">
        <f>TEXT([1]StagingTable!B221,"MMM-YYY")</f>
        <v>Sep-2024</v>
      </c>
      <c r="B221" t="str">
        <f>"Q"&amp;ROUNDUP(MONTH([1]StagingTable!B221)/3,0)&amp;"-"&amp;YEAR([1]StagingTable!D220)</f>
        <v>Q3-2024</v>
      </c>
      <c r="C221" t="str">
        <f>[1]StagingTable!F221&amp;"-"&amp;[1]StagingTable!G221&amp;"-"&amp;[1]StagingTable!H221</f>
        <v>Americas-Brazil-Rio de Janeiro</v>
      </c>
      <c r="D221" t="str">
        <f>IF([1]StagingTable!T221&lt;=_xlfn.PERCENTILE.INC([1]StagingTable!T221:T852,0.33),"LOW",IF([1]StagingTable!T221&lt;=_xlfn.PERCENTILE.INC([1]StagingTable!T221:T852,0.67),"MEDIUM","HIGH"))</f>
        <v>MEDIUM</v>
      </c>
    </row>
    <row r="222" spans="1:4" x14ac:dyDescent="0.25">
      <c r="A222" t="str">
        <f>TEXT([1]StagingTable!B222,"MMM-YYY")</f>
        <v>Aug-2025</v>
      </c>
      <c r="B222" t="str">
        <f>"Q"&amp;ROUNDUP(MONTH([1]StagingTable!B222)/3,0)&amp;"-"&amp;YEAR([1]StagingTable!D221)</f>
        <v>Q3-2024</v>
      </c>
      <c r="C222" t="str">
        <f>[1]StagingTable!F222&amp;"-"&amp;[1]StagingTable!G222&amp;"-"&amp;[1]StagingTable!H222</f>
        <v>Africa-Kenya-Nairobi</v>
      </c>
      <c r="D222" t="str">
        <f>IF([1]StagingTable!T222&lt;=_xlfn.PERCENTILE.INC([1]StagingTable!T222:T853,0.33),"LOW",IF([1]StagingTable!T222&lt;=_xlfn.PERCENTILE.INC([1]StagingTable!T222:T853,0.67),"MEDIUM","HIGH"))</f>
        <v>MEDIUM</v>
      </c>
    </row>
    <row r="223" spans="1:4" x14ac:dyDescent="0.25">
      <c r="A223" t="str">
        <f>TEXT([1]StagingTable!B223,"MMM-YYY")</f>
        <v>Sep-2023</v>
      </c>
      <c r="B223" t="str">
        <f>"Q"&amp;ROUNDUP(MONTH([1]StagingTable!B223)/3,0)&amp;"-"&amp;YEAR([1]StagingTable!D222)</f>
        <v>Q3-2025</v>
      </c>
      <c r="C223" t="str">
        <f>[1]StagingTable!F223&amp;"-"&amp;[1]StagingTable!G223&amp;"-"&amp;[1]StagingTable!H223</f>
        <v>Americas-USA-New York</v>
      </c>
      <c r="D223" t="str">
        <f>IF([1]StagingTable!T223&lt;=_xlfn.PERCENTILE.INC([1]StagingTable!T223:T854,0.33),"LOW",IF([1]StagingTable!T223&lt;=_xlfn.PERCENTILE.INC([1]StagingTable!T223:T854,0.67),"MEDIUM","HIGH"))</f>
        <v>LOW</v>
      </c>
    </row>
    <row r="224" spans="1:4" x14ac:dyDescent="0.25">
      <c r="A224" t="str">
        <f>TEXT([1]StagingTable!B224,"MMM-YYY")</f>
        <v>Aug-2023</v>
      </c>
      <c r="B224" t="str">
        <f>"Q"&amp;ROUNDUP(MONTH([1]StagingTable!B224)/3,0)&amp;"-"&amp;YEAR([1]StagingTable!D223)</f>
        <v>Q3-2023</v>
      </c>
      <c r="C224" t="str">
        <f>[1]StagingTable!F224&amp;"-"&amp;[1]StagingTable!G224&amp;"-"&amp;[1]StagingTable!H224</f>
        <v>Africa-South Africa-Cape Town</v>
      </c>
      <c r="D224" t="str">
        <f>IF([1]StagingTable!T224&lt;=_xlfn.PERCENTILE.INC([1]StagingTable!T224:T855,0.33),"LOW",IF([1]StagingTable!T224&lt;=_xlfn.PERCENTILE.INC([1]StagingTable!T224:T855,0.67),"MEDIUM","HIGH"))</f>
        <v>LOW</v>
      </c>
    </row>
    <row r="225" spans="1:4" x14ac:dyDescent="0.25">
      <c r="A225" t="str">
        <f>TEXT([1]StagingTable!B225,"MMM-YYY")</f>
        <v>Jul-2025</v>
      </c>
      <c r="B225" t="str">
        <f>"Q"&amp;ROUNDUP(MONTH([1]StagingTable!B225)/3,0)&amp;"-"&amp;YEAR([1]StagingTable!D224)</f>
        <v>Q3-2023</v>
      </c>
      <c r="C225" t="str">
        <f>[1]StagingTable!F225&amp;"-"&amp;[1]StagingTable!G225&amp;"-"&amp;[1]StagingTable!H225</f>
        <v>Africa-South Africa-Durban</v>
      </c>
      <c r="D225" t="str">
        <f>IF([1]StagingTable!T225&lt;=_xlfn.PERCENTILE.INC([1]StagingTable!T225:T856,0.33),"LOW",IF([1]StagingTable!T225&lt;=_xlfn.PERCENTILE.INC([1]StagingTable!T225:T856,0.67),"MEDIUM","HIGH"))</f>
        <v>HIGH</v>
      </c>
    </row>
    <row r="226" spans="1:4" x14ac:dyDescent="0.25">
      <c r="A226" t="str">
        <f>TEXT([1]StagingTable!B226,"MMM-YYY")</f>
        <v>Apr-2023</v>
      </c>
      <c r="B226" t="str">
        <f>"Q"&amp;ROUNDUP(MONTH([1]StagingTable!B226)/3,0)&amp;"-"&amp;YEAR([1]StagingTable!D225)</f>
        <v>Q2-2025</v>
      </c>
      <c r="C226" t="str">
        <f>[1]StagingTable!F226&amp;"-"&amp;[1]StagingTable!G226&amp;"-"&amp;[1]StagingTable!H226</f>
        <v>Europe-United Kingdom-Birmingham</v>
      </c>
      <c r="D226" t="str">
        <f>IF([1]StagingTable!T226&lt;=_xlfn.PERCENTILE.INC([1]StagingTable!T226:T857,0.33),"LOW",IF([1]StagingTable!T226&lt;=_xlfn.PERCENTILE.INC([1]StagingTable!T226:T857,0.67),"MEDIUM","HIGH"))</f>
        <v>MEDIUM</v>
      </c>
    </row>
    <row r="227" spans="1:4" x14ac:dyDescent="0.25">
      <c r="A227" t="str">
        <f>TEXT([1]StagingTable!B227,"MMM-YYY")</f>
        <v>Dec-2023</v>
      </c>
      <c r="B227" t="str">
        <f>"Q"&amp;ROUNDUP(MONTH([1]StagingTable!B227)/3,0)&amp;"-"&amp;YEAR([1]StagingTable!D226)</f>
        <v>Q4-2023</v>
      </c>
      <c r="C227" t="str">
        <f>[1]StagingTable!F227&amp;"-"&amp;[1]StagingTable!G227&amp;"-"&amp;[1]StagingTable!H227</f>
        <v>Americas-Brazil-Rio de Janeiro</v>
      </c>
      <c r="D227" t="str">
        <f>IF([1]StagingTable!T227&lt;=_xlfn.PERCENTILE.INC([1]StagingTable!T227:T858,0.33),"LOW",IF([1]StagingTable!T227&lt;=_xlfn.PERCENTILE.INC([1]StagingTable!T227:T858,0.67),"MEDIUM","HIGH"))</f>
        <v>HIGH</v>
      </c>
    </row>
    <row r="228" spans="1:4" x14ac:dyDescent="0.25">
      <c r="A228" t="str">
        <f>TEXT([1]StagingTable!B228,"MMM-YYY")</f>
        <v>Jul-2023</v>
      </c>
      <c r="B228" t="str">
        <f>"Q"&amp;ROUNDUP(MONTH([1]StagingTable!B228)/3,0)&amp;"-"&amp;YEAR([1]StagingTable!D227)</f>
        <v>Q3-2023</v>
      </c>
      <c r="C228" t="str">
        <f>[1]StagingTable!F228&amp;"-"&amp;[1]StagingTable!G228&amp;"-"&amp;[1]StagingTable!H228</f>
        <v>Asia-Japan-Nagoya</v>
      </c>
      <c r="D228" t="str">
        <f>IF([1]StagingTable!T228&lt;=_xlfn.PERCENTILE.INC([1]StagingTable!T228:T859,0.33),"LOW",IF([1]StagingTable!T228&lt;=_xlfn.PERCENTILE.INC([1]StagingTable!T228:T859,0.67),"MEDIUM","HIGH"))</f>
        <v>HIGH</v>
      </c>
    </row>
    <row r="229" spans="1:4" x14ac:dyDescent="0.25">
      <c r="A229" t="str">
        <f>TEXT([1]StagingTable!B229,"MMM-YYY")</f>
        <v>Oct-2023</v>
      </c>
      <c r="B229" t="str">
        <f>"Q"&amp;ROUNDUP(MONTH([1]StagingTable!B229)/3,0)&amp;"-"&amp;YEAR([1]StagingTable!D228)</f>
        <v>Q4-2023</v>
      </c>
      <c r="C229" t="str">
        <f>[1]StagingTable!F229&amp;"-"&amp;[1]StagingTable!G229&amp;"-"&amp;[1]StagingTable!H229</f>
        <v>Americas-USA-San Francisco</v>
      </c>
      <c r="D229" t="str">
        <f>IF([1]StagingTable!T229&lt;=_xlfn.PERCENTILE.INC([1]StagingTable!T229:T860,0.33),"LOW",IF([1]StagingTable!T229&lt;=_xlfn.PERCENTILE.INC([1]StagingTable!T229:T860,0.67),"MEDIUM","HIGH"))</f>
        <v>MEDIUM</v>
      </c>
    </row>
    <row r="230" spans="1:4" x14ac:dyDescent="0.25">
      <c r="A230" t="str">
        <f>TEXT([1]StagingTable!B230,"MMM-YYY")</f>
        <v>Aug-2025</v>
      </c>
      <c r="B230" t="str">
        <f>"Q"&amp;ROUNDUP(MONTH([1]StagingTable!B230)/3,0)&amp;"-"&amp;YEAR([1]StagingTable!D229)</f>
        <v>Q3-2023</v>
      </c>
      <c r="C230" t="str">
        <f>[1]StagingTable!F230&amp;"-"&amp;[1]StagingTable!G230&amp;"-"&amp;[1]StagingTable!H230</f>
        <v>Americas-USA-San Francisco</v>
      </c>
      <c r="D230" t="str">
        <f>IF([1]StagingTable!T230&lt;=_xlfn.PERCENTILE.INC([1]StagingTable!T230:T861,0.33),"LOW",IF([1]StagingTable!T230&lt;=_xlfn.PERCENTILE.INC([1]StagingTable!T230:T861,0.67),"MEDIUM","HIGH"))</f>
        <v>MEDIUM</v>
      </c>
    </row>
    <row r="231" spans="1:4" x14ac:dyDescent="0.25">
      <c r="A231" t="str">
        <f>TEXT([1]StagingTable!B231,"MMM-YYY")</f>
        <v>Mar-2023</v>
      </c>
      <c r="B231" t="str">
        <f>"Q"&amp;ROUNDUP(MONTH([1]StagingTable!B231)/3,0)&amp;"-"&amp;YEAR([1]StagingTable!D230)</f>
        <v>Q1-2025</v>
      </c>
      <c r="C231" t="str">
        <f>[1]StagingTable!F231&amp;"-"&amp;[1]StagingTable!G231&amp;"-"&amp;[1]StagingTable!H231</f>
        <v>Africa-Kenya-Nairobi</v>
      </c>
      <c r="D231" t="str">
        <f>IF([1]StagingTable!T231&lt;=_xlfn.PERCENTILE.INC([1]StagingTable!T231:T862,0.33),"LOW",IF([1]StagingTable!T231&lt;=_xlfn.PERCENTILE.INC([1]StagingTable!T231:T862,0.67),"MEDIUM","HIGH"))</f>
        <v>MEDIUM</v>
      </c>
    </row>
    <row r="232" spans="1:4" x14ac:dyDescent="0.25">
      <c r="A232" t="str">
        <f>TEXT([1]StagingTable!B232,"MMM-YYY")</f>
        <v>May-2023</v>
      </c>
      <c r="B232" t="str">
        <f>"Q"&amp;ROUNDUP(MONTH([1]StagingTable!B232)/3,0)&amp;"-"&amp;YEAR([1]StagingTable!D231)</f>
        <v>Q2-2023</v>
      </c>
      <c r="C232" t="str">
        <f>[1]StagingTable!F232&amp;"-"&amp;[1]StagingTable!G232&amp;"-"&amp;[1]StagingTable!H232</f>
        <v>Asia-China-Shanghai</v>
      </c>
      <c r="D232" t="str">
        <f>IF([1]StagingTable!T232&lt;=_xlfn.PERCENTILE.INC([1]StagingTable!T232:T863,0.33),"LOW",IF([1]StagingTable!T232&lt;=_xlfn.PERCENTILE.INC([1]StagingTable!T232:T863,0.67),"MEDIUM","HIGH"))</f>
        <v>LOW</v>
      </c>
    </row>
    <row r="233" spans="1:4" x14ac:dyDescent="0.25">
      <c r="A233" t="str">
        <f>TEXT([1]StagingTable!B233,"MMM-YYY")</f>
        <v>Apr-2025</v>
      </c>
      <c r="B233" t="str">
        <f>"Q"&amp;ROUNDUP(MONTH([1]StagingTable!B233)/3,0)&amp;"-"&amp;YEAR([1]StagingTable!D232)</f>
        <v>Q2-2023</v>
      </c>
      <c r="C233" t="str">
        <f>[1]StagingTable!F233&amp;"-"&amp;[1]StagingTable!G233&amp;"-"&amp;[1]StagingTable!H233</f>
        <v>Americas-Brazil-Brasília</v>
      </c>
      <c r="D233" t="str">
        <f>IF([1]StagingTable!T233&lt;=_xlfn.PERCENTILE.INC([1]StagingTable!T233:T864,0.33),"LOW",IF([1]StagingTable!T233&lt;=_xlfn.PERCENTILE.INC([1]StagingTable!T233:T864,0.67),"MEDIUM","HIGH"))</f>
        <v>MEDIUM</v>
      </c>
    </row>
    <row r="234" spans="1:4" x14ac:dyDescent="0.25">
      <c r="A234" t="str">
        <f>TEXT([1]StagingTable!B234,"MMM-YYY")</f>
        <v>Sep-2024</v>
      </c>
      <c r="B234" t="str">
        <f>"Q"&amp;ROUNDUP(MONTH([1]StagingTable!B234)/3,0)&amp;"-"&amp;YEAR([1]StagingTable!D233)</f>
        <v>Q3-2025</v>
      </c>
      <c r="C234" t="str">
        <f>[1]StagingTable!F234&amp;"-"&amp;[1]StagingTable!G234&amp;"-"&amp;[1]StagingTable!H234</f>
        <v>Africa-Nigeria-Lagos</v>
      </c>
      <c r="D234" t="str">
        <f>IF([1]StagingTable!T234&lt;=_xlfn.PERCENTILE.INC([1]StagingTable!T234:T865,0.33),"LOW",IF([1]StagingTable!T234&lt;=_xlfn.PERCENTILE.INC([1]StagingTable!T234:T865,0.67),"MEDIUM","HIGH"))</f>
        <v>LOW</v>
      </c>
    </row>
    <row r="235" spans="1:4" x14ac:dyDescent="0.25">
      <c r="A235" t="str">
        <f>TEXT([1]StagingTable!B235,"MMM-YYY")</f>
        <v>Sep-2024</v>
      </c>
      <c r="B235" t="str">
        <f>"Q"&amp;ROUNDUP(MONTH([1]StagingTable!B235)/3,0)&amp;"-"&amp;YEAR([1]StagingTable!D234)</f>
        <v>Q3-2024</v>
      </c>
      <c r="C235" t="str">
        <f>[1]StagingTable!F235&amp;"-"&amp;[1]StagingTable!G235&amp;"-"&amp;[1]StagingTable!H235</f>
        <v>Asia-Japan-Osaka</v>
      </c>
      <c r="D235" t="str">
        <f>IF([1]StagingTable!T235&lt;=_xlfn.PERCENTILE.INC([1]StagingTable!T235:T866,0.33),"LOW",IF([1]StagingTable!T235&lt;=_xlfn.PERCENTILE.INC([1]StagingTable!T235:T866,0.67),"MEDIUM","HIGH"))</f>
        <v>LOW</v>
      </c>
    </row>
    <row r="236" spans="1:4" x14ac:dyDescent="0.25">
      <c r="A236" t="str">
        <f>TEXT([1]StagingTable!B236,"MMM-YYY")</f>
        <v>Mar-2023</v>
      </c>
      <c r="B236" t="str">
        <f>"Q"&amp;ROUNDUP(MONTH([1]StagingTable!B236)/3,0)&amp;"-"&amp;YEAR([1]StagingTable!D235)</f>
        <v>Q1-2024</v>
      </c>
      <c r="C236" t="str">
        <f>[1]StagingTable!F236&amp;"-"&amp;[1]StagingTable!G236&amp;"-"&amp;[1]StagingTable!H236</f>
        <v>Africa-South Africa-Cape Town</v>
      </c>
      <c r="D236" t="str">
        <f>IF([1]StagingTable!T236&lt;=_xlfn.PERCENTILE.INC([1]StagingTable!T236:T867,0.33),"LOW",IF([1]StagingTable!T236&lt;=_xlfn.PERCENTILE.INC([1]StagingTable!T236:T867,0.67),"MEDIUM","HIGH"))</f>
        <v>MEDIUM</v>
      </c>
    </row>
    <row r="237" spans="1:4" x14ac:dyDescent="0.25">
      <c r="A237" t="str">
        <f>TEXT([1]StagingTable!B237,"MMM-YYY")</f>
        <v>Jan-2024</v>
      </c>
      <c r="B237" t="str">
        <f>"Q"&amp;ROUNDUP(MONTH([1]StagingTable!B237)/3,0)&amp;"-"&amp;YEAR([1]StagingTable!D236)</f>
        <v>Q1-2023</v>
      </c>
      <c r="C237" t="str">
        <f>[1]StagingTable!F237&amp;"-"&amp;[1]StagingTable!G237&amp;"-"&amp;[1]StagingTable!H237</f>
        <v>Asia-Japan-Nagoya</v>
      </c>
      <c r="D237" t="str">
        <f>IF([1]StagingTable!T237&lt;=_xlfn.PERCENTILE.INC([1]StagingTable!T237:T868,0.33),"LOW",IF([1]StagingTable!T237&lt;=_xlfn.PERCENTILE.INC([1]StagingTable!T237:T868,0.67),"MEDIUM","HIGH"))</f>
        <v>MEDIUM</v>
      </c>
    </row>
    <row r="238" spans="1:4" x14ac:dyDescent="0.25">
      <c r="A238" t="str">
        <f>TEXT([1]StagingTable!B238,"MMM-YYY")</f>
        <v>Sep-2024</v>
      </c>
      <c r="B238" t="str">
        <f>"Q"&amp;ROUNDUP(MONTH([1]StagingTable!B238)/3,0)&amp;"-"&amp;YEAR([1]StagingTable!D237)</f>
        <v>Q3-2024</v>
      </c>
      <c r="C238" t="str">
        <f>[1]StagingTable!F238&amp;"-"&amp;[1]StagingTable!G238&amp;"-"&amp;[1]StagingTable!H238</f>
        <v>Africa-Kenya-Mombasa</v>
      </c>
      <c r="D238" t="str">
        <f>IF([1]StagingTable!T238&lt;=_xlfn.PERCENTILE.INC([1]StagingTable!T238:T869,0.33),"LOW",IF([1]StagingTable!T238&lt;=_xlfn.PERCENTILE.INC([1]StagingTable!T238:T869,0.67),"MEDIUM","HIGH"))</f>
        <v>HIGH</v>
      </c>
    </row>
    <row r="239" spans="1:4" x14ac:dyDescent="0.25">
      <c r="A239" t="str">
        <f>TEXT([1]StagingTable!B239,"MMM-YYY")</f>
        <v>Jul-2025</v>
      </c>
      <c r="B239" t="str">
        <f>"Q"&amp;ROUNDUP(MONTH([1]StagingTable!B239)/3,0)&amp;"-"&amp;YEAR([1]StagingTable!D238)</f>
        <v>Q3-2024</v>
      </c>
      <c r="C239" t="str">
        <f>[1]StagingTable!F239&amp;"-"&amp;[1]StagingTable!G239&amp;"-"&amp;[1]StagingTable!H239</f>
        <v>Americas-Canada-Vancouver</v>
      </c>
      <c r="D239" t="str">
        <f>IF([1]StagingTable!T239&lt;=_xlfn.PERCENTILE.INC([1]StagingTable!T239:T870,0.33),"LOW",IF([1]StagingTable!T239&lt;=_xlfn.PERCENTILE.INC([1]StagingTable!T239:T870,0.67),"MEDIUM","HIGH"))</f>
        <v>HIGH</v>
      </c>
    </row>
    <row r="240" spans="1:4" x14ac:dyDescent="0.25">
      <c r="A240" t="str">
        <f>TEXT([1]StagingTable!B240,"MMM-YYY")</f>
        <v>Nov-2023</v>
      </c>
      <c r="B240" t="str">
        <f>"Q"&amp;ROUNDUP(MONTH([1]StagingTable!B240)/3,0)&amp;"-"&amp;YEAR([1]StagingTable!D239)</f>
        <v>Q4-2025</v>
      </c>
      <c r="C240" t="str">
        <f>[1]StagingTable!F240&amp;"-"&amp;[1]StagingTable!G240&amp;"-"&amp;[1]StagingTable!H240</f>
        <v>Asia-India-Delhi</v>
      </c>
      <c r="D240" t="str">
        <f>IF([1]StagingTable!T240&lt;=_xlfn.PERCENTILE.INC([1]StagingTable!T240:T871,0.33),"LOW",IF([1]StagingTable!T240&lt;=_xlfn.PERCENTILE.INC([1]StagingTable!T240:T871,0.67),"MEDIUM","HIGH"))</f>
        <v>MEDIUM</v>
      </c>
    </row>
    <row r="241" spans="1:4" x14ac:dyDescent="0.25">
      <c r="A241" t="str">
        <f>TEXT([1]StagingTable!B241,"MMM-YYY")</f>
        <v>Mar-2024</v>
      </c>
      <c r="B241" t="str">
        <f>"Q"&amp;ROUNDUP(MONTH([1]StagingTable!B241)/3,0)&amp;"-"&amp;YEAR([1]StagingTable!D240)</f>
        <v>Q1-2023</v>
      </c>
      <c r="C241" t="str">
        <f>[1]StagingTable!F241&amp;"-"&amp;[1]StagingTable!G241&amp;"-"&amp;[1]StagingTable!H241</f>
        <v>Americas-USA-Austin</v>
      </c>
      <c r="D241" t="str">
        <f>IF([1]StagingTable!T241&lt;=_xlfn.PERCENTILE.INC([1]StagingTable!T241:T872,0.33),"LOW",IF([1]StagingTable!T241&lt;=_xlfn.PERCENTILE.INC([1]StagingTable!T241:T872,0.67),"MEDIUM","HIGH"))</f>
        <v>LOW</v>
      </c>
    </row>
    <row r="242" spans="1:4" x14ac:dyDescent="0.25">
      <c r="A242" t="str">
        <f>TEXT([1]StagingTable!B242,"MMM-YYY")</f>
        <v>Sep-2023</v>
      </c>
      <c r="B242" t="str">
        <f>"Q"&amp;ROUNDUP(MONTH([1]StagingTable!B242)/3,0)&amp;"-"&amp;YEAR([1]StagingTable!D241)</f>
        <v>Q3-2024</v>
      </c>
      <c r="C242" t="str">
        <f>[1]StagingTable!F242&amp;"-"&amp;[1]StagingTable!G242&amp;"-"&amp;[1]StagingTable!H242</f>
        <v>Asia-India-Bengaluru</v>
      </c>
      <c r="D242" t="str">
        <f>IF([1]StagingTable!T242&lt;=_xlfn.PERCENTILE.INC([1]StagingTable!T242:T873,0.33),"LOW",IF([1]StagingTable!T242&lt;=_xlfn.PERCENTILE.INC([1]StagingTable!T242:T873,0.67),"MEDIUM","HIGH"))</f>
        <v>LOW</v>
      </c>
    </row>
    <row r="243" spans="1:4" x14ac:dyDescent="0.25">
      <c r="A243" t="str">
        <f>TEXT([1]StagingTable!B243,"MMM-YYY")</f>
        <v>May-2025</v>
      </c>
      <c r="B243" t="str">
        <f>"Q"&amp;ROUNDUP(MONTH([1]StagingTable!B243)/3,0)&amp;"-"&amp;YEAR([1]StagingTable!D242)</f>
        <v>Q2-2023</v>
      </c>
      <c r="C243" t="str">
        <f>[1]StagingTable!F243&amp;"-"&amp;[1]StagingTable!G243&amp;"-"&amp;[1]StagingTable!H243</f>
        <v>Asia-China-Beijing</v>
      </c>
      <c r="D243" t="str">
        <f>IF([1]StagingTable!T243&lt;=_xlfn.PERCENTILE.INC([1]StagingTable!T243:T874,0.33),"LOW",IF([1]StagingTable!T243&lt;=_xlfn.PERCENTILE.INC([1]StagingTable!T243:T874,0.67),"MEDIUM","HIGH"))</f>
        <v>MEDIUM</v>
      </c>
    </row>
    <row r="244" spans="1:4" x14ac:dyDescent="0.25">
      <c r="A244" t="str">
        <f>TEXT([1]StagingTable!B244,"MMM-YYY")</f>
        <v>Aug-2025</v>
      </c>
      <c r="B244" t="str">
        <f>"Q"&amp;ROUNDUP(MONTH([1]StagingTable!B244)/3,0)&amp;"-"&amp;YEAR([1]StagingTable!D243)</f>
        <v>Q3-2025</v>
      </c>
      <c r="C244" t="str">
        <f>[1]StagingTable!F244&amp;"-"&amp;[1]StagingTable!G244&amp;"-"&amp;[1]StagingTable!H244</f>
        <v>Asia-Japan-Osaka</v>
      </c>
      <c r="D244" t="str">
        <f>IF([1]StagingTable!T244&lt;=_xlfn.PERCENTILE.INC([1]StagingTable!T244:T875,0.33),"LOW",IF([1]StagingTable!T244&lt;=_xlfn.PERCENTILE.INC([1]StagingTable!T244:T875,0.67),"MEDIUM","HIGH"))</f>
        <v>HIGH</v>
      </c>
    </row>
    <row r="245" spans="1:4" x14ac:dyDescent="0.25">
      <c r="A245" t="str">
        <f>TEXT([1]StagingTable!B245,"MMM-YYY")</f>
        <v>Dec-2024</v>
      </c>
      <c r="B245" t="str">
        <f>"Q"&amp;ROUNDUP(MONTH([1]StagingTable!B245)/3,0)&amp;"-"&amp;YEAR([1]StagingTable!D244)</f>
        <v>Q4-2025</v>
      </c>
      <c r="C245" t="str">
        <f>[1]StagingTable!F245&amp;"-"&amp;[1]StagingTable!G245&amp;"-"&amp;[1]StagingTable!H245</f>
        <v>Europe-Germany-Frankfurt</v>
      </c>
      <c r="D245" t="str">
        <f>IF([1]StagingTable!T245&lt;=_xlfn.PERCENTILE.INC([1]StagingTable!T245:T876,0.33),"LOW",IF([1]StagingTable!T245&lt;=_xlfn.PERCENTILE.INC([1]StagingTable!T245:T876,0.67),"MEDIUM","HIGH"))</f>
        <v>LOW</v>
      </c>
    </row>
    <row r="246" spans="1:4" x14ac:dyDescent="0.25">
      <c r="A246" t="str">
        <f>TEXT([1]StagingTable!B246,"MMM-YYY")</f>
        <v>Apr-2023</v>
      </c>
      <c r="B246" t="str">
        <f>"Q"&amp;ROUNDUP(MONTH([1]StagingTable!B246)/3,0)&amp;"-"&amp;YEAR([1]StagingTable!D245)</f>
        <v>Q2-2024</v>
      </c>
      <c r="C246" t="str">
        <f>[1]StagingTable!F246&amp;"-"&amp;[1]StagingTable!G246&amp;"-"&amp;[1]StagingTable!H246</f>
        <v>Americas-Brazil-Rio de Janeiro</v>
      </c>
      <c r="D246" t="str">
        <f>IF([1]StagingTable!T246&lt;=_xlfn.PERCENTILE.INC([1]StagingTable!T246:T877,0.33),"LOW",IF([1]StagingTable!T246&lt;=_xlfn.PERCENTILE.INC([1]StagingTable!T246:T877,0.67),"MEDIUM","HIGH"))</f>
        <v>MEDIUM</v>
      </c>
    </row>
    <row r="247" spans="1:4" x14ac:dyDescent="0.25">
      <c r="A247" t="str">
        <f>TEXT([1]StagingTable!B247,"MMM-YYY")</f>
        <v>Mar-2024</v>
      </c>
      <c r="B247" t="str">
        <f>"Q"&amp;ROUNDUP(MONTH([1]StagingTable!B247)/3,0)&amp;"-"&amp;YEAR([1]StagingTable!D246)</f>
        <v>Q1-2023</v>
      </c>
      <c r="C247" t="str">
        <f>[1]StagingTable!F247&amp;"-"&amp;[1]StagingTable!G247&amp;"-"&amp;[1]StagingTable!H247</f>
        <v>Africa-Nigeria-Port Harcourt</v>
      </c>
      <c r="D247" t="str">
        <f>IF([1]StagingTable!T247&lt;=_xlfn.PERCENTILE.INC([1]StagingTable!T247:T878,0.33),"LOW",IF([1]StagingTable!T247&lt;=_xlfn.PERCENTILE.INC([1]StagingTable!T247:T878,0.67),"MEDIUM","HIGH"))</f>
        <v>LOW</v>
      </c>
    </row>
    <row r="248" spans="1:4" x14ac:dyDescent="0.25">
      <c r="A248" t="str">
        <f>TEXT([1]StagingTable!B248,"MMM-YYY")</f>
        <v>Feb-2024</v>
      </c>
      <c r="B248" t="str">
        <f>"Q"&amp;ROUNDUP(MONTH([1]StagingTable!B248)/3,0)&amp;"-"&amp;YEAR([1]StagingTable!D247)</f>
        <v>Q1-2024</v>
      </c>
      <c r="C248" t="str">
        <f>[1]StagingTable!F248&amp;"-"&amp;[1]StagingTable!G248&amp;"-"&amp;[1]StagingTable!H248</f>
        <v>Americas-Canada-Montreal</v>
      </c>
      <c r="D248" t="str">
        <f>IF([1]StagingTable!T248&lt;=_xlfn.PERCENTILE.INC([1]StagingTable!T248:T879,0.33),"LOW",IF([1]StagingTable!T248&lt;=_xlfn.PERCENTILE.INC([1]StagingTable!T248:T879,0.67),"MEDIUM","HIGH"))</f>
        <v>HIGH</v>
      </c>
    </row>
    <row r="249" spans="1:4" x14ac:dyDescent="0.25">
      <c r="A249" t="str">
        <f>TEXT([1]StagingTable!B249,"MMM-YYY")</f>
        <v>Apr-2025</v>
      </c>
      <c r="B249" t="str">
        <f>"Q"&amp;ROUNDUP(MONTH([1]StagingTable!B249)/3,0)&amp;"-"&amp;YEAR([1]StagingTable!D248)</f>
        <v>Q2-2024</v>
      </c>
      <c r="C249" t="str">
        <f>[1]StagingTable!F249&amp;"-"&amp;[1]StagingTable!G249&amp;"-"&amp;[1]StagingTable!H249</f>
        <v>Europe-Germany-Berlin</v>
      </c>
      <c r="D249" t="str">
        <f>IF([1]StagingTable!T249&lt;=_xlfn.PERCENTILE.INC([1]StagingTable!T249:T880,0.33),"LOW",IF([1]StagingTable!T249&lt;=_xlfn.PERCENTILE.INC([1]StagingTable!T249:T880,0.67),"MEDIUM","HIGH"))</f>
        <v>LOW</v>
      </c>
    </row>
    <row r="250" spans="1:4" x14ac:dyDescent="0.25">
      <c r="A250" t="str">
        <f>TEXT([1]StagingTable!B250,"MMM-YYY")</f>
        <v>Nov-2024</v>
      </c>
      <c r="B250" t="str">
        <f>"Q"&amp;ROUNDUP(MONTH([1]StagingTable!B250)/3,0)&amp;"-"&amp;YEAR([1]StagingTable!D249)</f>
        <v>Q4-2025</v>
      </c>
      <c r="C250" t="str">
        <f>[1]StagingTable!F250&amp;"-"&amp;[1]StagingTable!G250&amp;"-"&amp;[1]StagingTable!H250</f>
        <v>Africa-Kenya-Nakuru</v>
      </c>
      <c r="D250" t="str">
        <f>IF([1]StagingTable!T250&lt;=_xlfn.PERCENTILE.INC([1]StagingTable!T250:T881,0.33),"LOW",IF([1]StagingTable!T250&lt;=_xlfn.PERCENTILE.INC([1]StagingTable!T250:T881,0.67),"MEDIUM","HIGH"))</f>
        <v>MEDIUM</v>
      </c>
    </row>
    <row r="251" spans="1:4" x14ac:dyDescent="0.25">
      <c r="A251" t="str">
        <f>TEXT([1]StagingTable!B251,"MMM-YYY")</f>
        <v>Sep-2025</v>
      </c>
      <c r="B251" t="str">
        <f>"Q"&amp;ROUNDUP(MONTH([1]StagingTable!B251)/3,0)&amp;"-"&amp;YEAR([1]StagingTable!D250)</f>
        <v>Q3-2024</v>
      </c>
      <c r="C251" t="str">
        <f>[1]StagingTable!F251&amp;"-"&amp;[1]StagingTable!G251&amp;"-"&amp;[1]StagingTable!H251</f>
        <v>Asia-Japan-Nagoya</v>
      </c>
      <c r="D251" t="str">
        <f>IF([1]StagingTable!T251&lt;=_xlfn.PERCENTILE.INC([1]StagingTable!T251:T882,0.33),"LOW",IF([1]StagingTable!T251&lt;=_xlfn.PERCENTILE.INC([1]StagingTable!T251:T882,0.67),"MEDIUM","HIGH"))</f>
        <v>HIGH</v>
      </c>
    </row>
    <row r="252" spans="1:4" x14ac:dyDescent="0.25">
      <c r="A252" t="str">
        <f>TEXT([1]StagingTable!B252,"MMM-YYY")</f>
        <v>Sep-2024</v>
      </c>
      <c r="B252" t="str">
        <f>"Q"&amp;ROUNDUP(MONTH([1]StagingTable!B252)/3,0)&amp;"-"&amp;YEAR([1]StagingTable!D251)</f>
        <v>Q3-2025</v>
      </c>
      <c r="C252" t="str">
        <f>[1]StagingTable!F252&amp;"-"&amp;[1]StagingTable!G252&amp;"-"&amp;[1]StagingTable!H252</f>
        <v>Americas-USA-Austin</v>
      </c>
      <c r="D252" t="str">
        <f>IF([1]StagingTable!T252&lt;=_xlfn.PERCENTILE.INC([1]StagingTable!T252:T883,0.33),"LOW",IF([1]StagingTable!T252&lt;=_xlfn.PERCENTILE.INC([1]StagingTable!T252:T883,0.67),"MEDIUM","HIGH"))</f>
        <v>MEDIUM</v>
      </c>
    </row>
    <row r="253" spans="1:4" x14ac:dyDescent="0.25">
      <c r="A253" t="str">
        <f>TEXT([1]StagingTable!B253,"MMM-YYY")</f>
        <v>Mar-2023</v>
      </c>
      <c r="B253" t="str">
        <f>"Q"&amp;ROUNDUP(MONTH([1]StagingTable!B253)/3,0)&amp;"-"&amp;YEAR([1]StagingTable!D252)</f>
        <v>Q1-2024</v>
      </c>
      <c r="C253" t="str">
        <f>[1]StagingTable!F253&amp;"-"&amp;[1]StagingTable!G253&amp;"-"&amp;[1]StagingTable!H253</f>
        <v>Americas-Canada-Montreal</v>
      </c>
      <c r="D253" t="str">
        <f>IF([1]StagingTable!T253&lt;=_xlfn.PERCENTILE.INC([1]StagingTable!T253:T884,0.33),"LOW",IF([1]StagingTable!T253&lt;=_xlfn.PERCENTILE.INC([1]StagingTable!T253:T884,0.67),"MEDIUM","HIGH"))</f>
        <v>MEDIUM</v>
      </c>
    </row>
    <row r="254" spans="1:4" x14ac:dyDescent="0.25">
      <c r="A254" t="str">
        <f>TEXT([1]StagingTable!B254,"MMM-YYY")</f>
        <v>Mar-2024</v>
      </c>
      <c r="B254" t="str">
        <f>"Q"&amp;ROUNDUP(MONTH([1]StagingTable!B254)/3,0)&amp;"-"&amp;YEAR([1]StagingTable!D253)</f>
        <v>Q1-2023</v>
      </c>
      <c r="C254" t="str">
        <f>[1]StagingTable!F254&amp;"-"&amp;[1]StagingTable!G254&amp;"-"&amp;[1]StagingTable!H254</f>
        <v>Americas-Canada-Vancouver</v>
      </c>
      <c r="D254" t="str">
        <f>IF([1]StagingTable!T254&lt;=_xlfn.PERCENTILE.INC([1]StagingTable!T254:T885,0.33),"LOW",IF([1]StagingTable!T254&lt;=_xlfn.PERCENTILE.INC([1]StagingTable!T254:T885,0.67),"MEDIUM","HIGH"))</f>
        <v>LOW</v>
      </c>
    </row>
    <row r="255" spans="1:4" x14ac:dyDescent="0.25">
      <c r="A255" t="str">
        <f>TEXT([1]StagingTable!B255,"MMM-YYY")</f>
        <v>Jul-2024</v>
      </c>
      <c r="B255" t="str">
        <f>"Q"&amp;ROUNDUP(MONTH([1]StagingTable!B255)/3,0)&amp;"-"&amp;YEAR([1]StagingTable!D254)</f>
        <v>Q3-2024</v>
      </c>
      <c r="C255" t="str">
        <f>[1]StagingTable!F255&amp;"-"&amp;[1]StagingTable!G255&amp;"-"&amp;[1]StagingTable!H255</f>
        <v>Americas-USA-New York</v>
      </c>
      <c r="D255" t="str">
        <f>IF([1]StagingTable!T255&lt;=_xlfn.PERCENTILE.INC([1]StagingTable!T255:T886,0.33),"LOW",IF([1]StagingTable!T255&lt;=_xlfn.PERCENTILE.INC([1]StagingTable!T255:T886,0.67),"MEDIUM","HIGH"))</f>
        <v>HIGH</v>
      </c>
    </row>
    <row r="256" spans="1:4" x14ac:dyDescent="0.25">
      <c r="A256" t="str">
        <f>TEXT([1]StagingTable!B256,"MMM-YYY")</f>
        <v>Oct-2024</v>
      </c>
      <c r="B256" t="str">
        <f>"Q"&amp;ROUNDUP(MONTH([1]StagingTable!B256)/3,0)&amp;"-"&amp;YEAR([1]StagingTable!D255)</f>
        <v>Q4-2024</v>
      </c>
      <c r="C256" t="str">
        <f>[1]StagingTable!F256&amp;"-"&amp;[1]StagingTable!G256&amp;"-"&amp;[1]StagingTable!H256</f>
        <v>Asia-Japan-Nagoya</v>
      </c>
      <c r="D256" t="str">
        <f>IF([1]StagingTable!T256&lt;=_xlfn.PERCENTILE.INC([1]StagingTable!T256:T887,0.33),"LOW",IF([1]StagingTable!T256&lt;=_xlfn.PERCENTILE.INC([1]StagingTable!T256:T887,0.67),"MEDIUM","HIGH"))</f>
        <v>LOW</v>
      </c>
    </row>
    <row r="257" spans="1:4" x14ac:dyDescent="0.25">
      <c r="A257" t="str">
        <f>TEXT([1]StagingTable!B257,"MMM-YYY")</f>
        <v>Apr-2024</v>
      </c>
      <c r="B257" t="str">
        <f>"Q"&amp;ROUNDUP(MONTH([1]StagingTable!B257)/3,0)&amp;"-"&amp;YEAR([1]StagingTable!D256)</f>
        <v>Q2-2024</v>
      </c>
      <c r="C257" t="str">
        <f>[1]StagingTable!F257&amp;"-"&amp;[1]StagingTable!G257&amp;"-"&amp;[1]StagingTable!H257</f>
        <v>Europe-Germany-Frankfurt</v>
      </c>
      <c r="D257" t="str">
        <f>IF([1]StagingTable!T257&lt;=_xlfn.PERCENTILE.INC([1]StagingTable!T257:T888,0.33),"LOW",IF([1]StagingTable!T257&lt;=_xlfn.PERCENTILE.INC([1]StagingTable!T257:T888,0.67),"MEDIUM","HIGH"))</f>
        <v>HIGH</v>
      </c>
    </row>
    <row r="258" spans="1:4" x14ac:dyDescent="0.25">
      <c r="A258" t="str">
        <f>TEXT([1]StagingTable!B258,"MMM-YYY")</f>
        <v>Oct-2023</v>
      </c>
      <c r="B258" t="str">
        <f>"Q"&amp;ROUNDUP(MONTH([1]StagingTable!B258)/3,0)&amp;"-"&amp;YEAR([1]StagingTable!D257)</f>
        <v>Q4-2024</v>
      </c>
      <c r="C258" t="str">
        <f>[1]StagingTable!F258&amp;"-"&amp;[1]StagingTable!G258&amp;"-"&amp;[1]StagingTable!H258</f>
        <v>Asia-India-Bengaluru</v>
      </c>
      <c r="D258" t="str">
        <f>IF([1]StagingTable!T258&lt;=_xlfn.PERCENTILE.INC([1]StagingTable!T258:T889,0.33),"LOW",IF([1]StagingTable!T258&lt;=_xlfn.PERCENTILE.INC([1]StagingTable!T258:T889,0.67),"MEDIUM","HIGH"))</f>
        <v>HIGH</v>
      </c>
    </row>
    <row r="259" spans="1:4" x14ac:dyDescent="0.25">
      <c r="A259" t="str">
        <f>TEXT([1]StagingTable!B259,"MMM-YYY")</f>
        <v>Apr-2023</v>
      </c>
      <c r="B259" t="str">
        <f>"Q"&amp;ROUNDUP(MONTH([1]StagingTable!B259)/3,0)&amp;"-"&amp;YEAR([1]StagingTable!D258)</f>
        <v>Q2-2023</v>
      </c>
      <c r="C259" t="str">
        <f>[1]StagingTable!F259&amp;"-"&amp;[1]StagingTable!G259&amp;"-"&amp;[1]StagingTable!H259</f>
        <v>Europe-United Kingdom-London</v>
      </c>
      <c r="D259" t="str">
        <f>IF([1]StagingTable!T259&lt;=_xlfn.PERCENTILE.INC([1]StagingTable!T259:T890,0.33),"LOW",IF([1]StagingTable!T259&lt;=_xlfn.PERCENTILE.INC([1]StagingTable!T259:T890,0.67),"MEDIUM","HIGH"))</f>
        <v>LOW</v>
      </c>
    </row>
    <row r="260" spans="1:4" x14ac:dyDescent="0.25">
      <c r="A260" t="str">
        <f>TEXT([1]StagingTable!B260,"MMM-YYY")</f>
        <v>Jun-2025</v>
      </c>
      <c r="B260" t="str">
        <f>"Q"&amp;ROUNDUP(MONTH([1]StagingTable!B260)/3,0)&amp;"-"&amp;YEAR([1]StagingTable!D259)</f>
        <v>Q2-2023</v>
      </c>
      <c r="C260" t="str">
        <f>[1]StagingTable!F260&amp;"-"&amp;[1]StagingTable!G260&amp;"-"&amp;[1]StagingTable!H260</f>
        <v>Europe-Germany-Munich</v>
      </c>
      <c r="D260" t="str">
        <f>IF([1]StagingTable!T260&lt;=_xlfn.PERCENTILE.INC([1]StagingTable!T260:T891,0.33),"LOW",IF([1]StagingTable!T260&lt;=_xlfn.PERCENTILE.INC([1]StagingTable!T260:T891,0.67),"MEDIUM","HIGH"))</f>
        <v>LOW</v>
      </c>
    </row>
    <row r="261" spans="1:4" x14ac:dyDescent="0.25">
      <c r="A261" t="str">
        <f>TEXT([1]StagingTable!B261,"MMM-YYY")</f>
        <v>Oct-2023</v>
      </c>
      <c r="B261" t="str">
        <f>"Q"&amp;ROUNDUP(MONTH([1]StagingTable!B261)/3,0)&amp;"-"&amp;YEAR([1]StagingTable!D260)</f>
        <v>Q4-2025</v>
      </c>
      <c r="C261" t="str">
        <f>[1]StagingTable!F261&amp;"-"&amp;[1]StagingTable!G261&amp;"-"&amp;[1]StagingTable!H261</f>
        <v>Americas-Brazil-Brasília</v>
      </c>
      <c r="D261" t="str">
        <f>IF([1]StagingTable!T261&lt;=_xlfn.PERCENTILE.INC([1]StagingTable!T261:T892,0.33),"LOW",IF([1]StagingTable!T261&lt;=_xlfn.PERCENTILE.INC([1]StagingTable!T261:T892,0.67),"MEDIUM","HIGH"))</f>
        <v>LOW</v>
      </c>
    </row>
    <row r="262" spans="1:4" x14ac:dyDescent="0.25">
      <c r="A262" t="str">
        <f>TEXT([1]StagingTable!B262,"MMM-YYY")</f>
        <v>May-2023</v>
      </c>
      <c r="B262" t="str">
        <f>"Q"&amp;ROUNDUP(MONTH([1]StagingTable!B262)/3,0)&amp;"-"&amp;YEAR([1]StagingTable!D261)</f>
        <v>Q2-2023</v>
      </c>
      <c r="C262" t="str">
        <f>[1]StagingTable!F262&amp;"-"&amp;[1]StagingTable!G262&amp;"-"&amp;[1]StagingTable!H262</f>
        <v>Africa-Nigeria-Port Harcourt</v>
      </c>
      <c r="D262" t="str">
        <f>IF([1]StagingTable!T262&lt;=_xlfn.PERCENTILE.INC([1]StagingTable!T262:T893,0.33),"LOW",IF([1]StagingTable!T262&lt;=_xlfn.PERCENTILE.INC([1]StagingTable!T262:T893,0.67),"MEDIUM","HIGH"))</f>
        <v>HIGH</v>
      </c>
    </row>
    <row r="263" spans="1:4" x14ac:dyDescent="0.25">
      <c r="A263" t="str">
        <f>TEXT([1]StagingTable!B263,"MMM-YYY")</f>
        <v>May-2023</v>
      </c>
      <c r="B263" t="str">
        <f>"Q"&amp;ROUNDUP(MONTH([1]StagingTable!B263)/3,0)&amp;"-"&amp;YEAR([1]StagingTable!D262)</f>
        <v>Q2-2023</v>
      </c>
      <c r="C263" t="str">
        <f>[1]StagingTable!F263&amp;"-"&amp;[1]StagingTable!G263&amp;"-"&amp;[1]StagingTable!H263</f>
        <v>Europe-Germany-Berlin</v>
      </c>
      <c r="D263" t="str">
        <f>IF([1]StagingTable!T263&lt;=_xlfn.PERCENTILE.INC([1]StagingTable!T263:T894,0.33),"LOW",IF([1]StagingTable!T263&lt;=_xlfn.PERCENTILE.INC([1]StagingTable!T263:T894,0.67),"MEDIUM","HIGH"))</f>
        <v>HIGH</v>
      </c>
    </row>
    <row r="264" spans="1:4" x14ac:dyDescent="0.25">
      <c r="A264" t="str">
        <f>TEXT([1]StagingTable!B264,"MMM-YYY")</f>
        <v>Aug-2023</v>
      </c>
      <c r="B264" t="str">
        <f>"Q"&amp;ROUNDUP(MONTH([1]StagingTable!B264)/3,0)&amp;"-"&amp;YEAR([1]StagingTable!D263)</f>
        <v>Q3-2023</v>
      </c>
      <c r="C264" t="str">
        <f>[1]StagingTable!F264&amp;"-"&amp;[1]StagingTable!G264&amp;"-"&amp;[1]StagingTable!H264</f>
        <v>Americas-Brazil-Brasília</v>
      </c>
      <c r="D264" t="str">
        <f>IF([1]StagingTable!T264&lt;=_xlfn.PERCENTILE.INC([1]StagingTable!T264:T895,0.33),"LOW",IF([1]StagingTable!T264&lt;=_xlfn.PERCENTILE.INC([1]StagingTable!T264:T895,0.67),"MEDIUM","HIGH"))</f>
        <v>MEDIUM</v>
      </c>
    </row>
    <row r="265" spans="1:4" x14ac:dyDescent="0.25">
      <c r="A265" t="str">
        <f>TEXT([1]StagingTable!B265,"MMM-YYY")</f>
        <v>Jun-2025</v>
      </c>
      <c r="B265" t="str">
        <f>"Q"&amp;ROUNDUP(MONTH([1]StagingTable!B265)/3,0)&amp;"-"&amp;YEAR([1]StagingTable!D264)</f>
        <v>Q2-2023</v>
      </c>
      <c r="C265" t="str">
        <f>[1]StagingTable!F265&amp;"-"&amp;[1]StagingTable!G265&amp;"-"&amp;[1]StagingTable!H265</f>
        <v>Africa-South Africa-Durban</v>
      </c>
      <c r="D265" t="str">
        <f>IF([1]StagingTable!T265&lt;=_xlfn.PERCENTILE.INC([1]StagingTable!T265:T896,0.33),"LOW",IF([1]StagingTable!T265&lt;=_xlfn.PERCENTILE.INC([1]StagingTable!T265:T896,0.67),"MEDIUM","HIGH"))</f>
        <v>LOW</v>
      </c>
    </row>
    <row r="266" spans="1:4" x14ac:dyDescent="0.25">
      <c r="A266" t="str">
        <f>TEXT([1]StagingTable!B266,"MMM-YYY")</f>
        <v>Apr-2025</v>
      </c>
      <c r="B266" t="str">
        <f>"Q"&amp;ROUNDUP(MONTH([1]StagingTable!B266)/3,0)&amp;"-"&amp;YEAR([1]StagingTable!D265)</f>
        <v>Q2-2025</v>
      </c>
      <c r="C266" t="str">
        <f>[1]StagingTable!F266&amp;"-"&amp;[1]StagingTable!G266&amp;"-"&amp;[1]StagingTable!H266</f>
        <v>Africa-Nigeria-Port Harcourt</v>
      </c>
      <c r="D266" t="str">
        <f>IF([1]StagingTable!T266&lt;=_xlfn.PERCENTILE.INC([1]StagingTable!T266:T897,0.33),"LOW",IF([1]StagingTable!T266&lt;=_xlfn.PERCENTILE.INC([1]StagingTable!T266:T897,0.67),"MEDIUM","HIGH"))</f>
        <v>HIGH</v>
      </c>
    </row>
    <row r="267" spans="1:4" x14ac:dyDescent="0.25">
      <c r="A267" t="str">
        <f>TEXT([1]StagingTable!B267,"MMM-YYY")</f>
        <v>Sep-2025</v>
      </c>
      <c r="B267" t="str">
        <f>"Q"&amp;ROUNDUP(MONTH([1]StagingTable!B267)/3,0)&amp;"-"&amp;YEAR([1]StagingTable!D266)</f>
        <v>Q3-2025</v>
      </c>
      <c r="C267" t="str">
        <f>[1]StagingTable!F267&amp;"-"&amp;[1]StagingTable!G267&amp;"-"&amp;[1]StagingTable!H267</f>
        <v>Americas-Canada-Toronto</v>
      </c>
      <c r="D267" t="str">
        <f>IF([1]StagingTable!T267&lt;=_xlfn.PERCENTILE.INC([1]StagingTable!T267:T898,0.33),"LOW",IF([1]StagingTable!T267&lt;=_xlfn.PERCENTILE.INC([1]StagingTable!T267:T898,0.67),"MEDIUM","HIGH"))</f>
        <v>MEDIUM</v>
      </c>
    </row>
    <row r="268" spans="1:4" x14ac:dyDescent="0.25">
      <c r="A268" t="str">
        <f>TEXT([1]StagingTable!B268,"MMM-YYY")</f>
        <v>Oct-2024</v>
      </c>
      <c r="B268" t="str">
        <f>"Q"&amp;ROUNDUP(MONTH([1]StagingTable!B268)/3,0)&amp;"-"&amp;YEAR([1]StagingTable!D267)</f>
        <v>Q4-2025</v>
      </c>
      <c r="C268" t="str">
        <f>[1]StagingTable!F268&amp;"-"&amp;[1]StagingTable!G268&amp;"-"&amp;[1]StagingTable!H268</f>
        <v>Europe-United Kingdom-London</v>
      </c>
      <c r="D268" t="str">
        <f>IF([1]StagingTable!T268&lt;=_xlfn.PERCENTILE.INC([1]StagingTable!T268:T899,0.33),"LOW",IF([1]StagingTable!T268&lt;=_xlfn.PERCENTILE.INC([1]StagingTable!T268:T899,0.67),"MEDIUM","HIGH"))</f>
        <v>HIGH</v>
      </c>
    </row>
    <row r="269" spans="1:4" x14ac:dyDescent="0.25">
      <c r="A269" t="str">
        <f>TEXT([1]StagingTable!B269,"MMM-YYY")</f>
        <v>May-2023</v>
      </c>
      <c r="B269" t="str">
        <f>"Q"&amp;ROUNDUP(MONTH([1]StagingTable!B269)/3,0)&amp;"-"&amp;YEAR([1]StagingTable!D268)</f>
        <v>Q2-2024</v>
      </c>
      <c r="C269" t="str">
        <f>[1]StagingTable!F269&amp;"-"&amp;[1]StagingTable!G269&amp;"-"&amp;[1]StagingTable!H269</f>
        <v>Africa-Nigeria-Port Harcourt</v>
      </c>
      <c r="D269" t="str">
        <f>IF([1]StagingTable!T269&lt;=_xlfn.PERCENTILE.INC([1]StagingTable!T269:T900,0.33),"LOW",IF([1]StagingTable!T269&lt;=_xlfn.PERCENTILE.INC([1]StagingTable!T269:T900,0.67),"MEDIUM","HIGH"))</f>
        <v>HIGH</v>
      </c>
    </row>
    <row r="270" spans="1:4" x14ac:dyDescent="0.25">
      <c r="A270" t="str">
        <f>TEXT([1]StagingTable!B270,"MMM-YYY")</f>
        <v>Dec-2023</v>
      </c>
      <c r="B270" t="str">
        <f>"Q"&amp;ROUNDUP(MONTH([1]StagingTable!B270)/3,0)&amp;"-"&amp;YEAR([1]StagingTable!D269)</f>
        <v>Q4-2023</v>
      </c>
      <c r="C270" t="str">
        <f>[1]StagingTable!F270&amp;"-"&amp;[1]StagingTable!G270&amp;"-"&amp;[1]StagingTable!H270</f>
        <v>Americas-Brazil-São Paulo</v>
      </c>
      <c r="D270" t="str">
        <f>IF([1]StagingTable!T270&lt;=_xlfn.PERCENTILE.INC([1]StagingTable!T270:T901,0.33),"LOW",IF([1]StagingTable!T270&lt;=_xlfn.PERCENTILE.INC([1]StagingTable!T270:T901,0.67),"MEDIUM","HIGH"))</f>
        <v>LOW</v>
      </c>
    </row>
    <row r="271" spans="1:4" x14ac:dyDescent="0.25">
      <c r="A271" t="str">
        <f>TEXT([1]StagingTable!B271,"MMM-YYY")</f>
        <v>Jan-2024</v>
      </c>
      <c r="B271" t="str">
        <f>"Q"&amp;ROUNDUP(MONTH([1]StagingTable!B271)/3,0)&amp;"-"&amp;YEAR([1]StagingTable!D270)</f>
        <v>Q1-2024</v>
      </c>
      <c r="C271" t="str">
        <f>[1]StagingTable!F271&amp;"-"&amp;[1]StagingTable!G271&amp;"-"&amp;[1]StagingTable!H271</f>
        <v>Europe-France-Marseille</v>
      </c>
      <c r="D271" t="str">
        <f>IF([1]StagingTable!T271&lt;=_xlfn.PERCENTILE.INC([1]StagingTable!T271:T902,0.33),"LOW",IF([1]StagingTable!T271&lt;=_xlfn.PERCENTILE.INC([1]StagingTable!T271:T902,0.67),"MEDIUM","HIGH"))</f>
        <v>MEDIUM</v>
      </c>
    </row>
    <row r="272" spans="1:4" x14ac:dyDescent="0.25">
      <c r="A272" t="str">
        <f>TEXT([1]StagingTable!B272,"MMM-YYY")</f>
        <v>Aug-2023</v>
      </c>
      <c r="B272" t="str">
        <f>"Q"&amp;ROUNDUP(MONTH([1]StagingTable!B272)/3,0)&amp;"-"&amp;YEAR([1]StagingTable!D271)</f>
        <v>Q3-2024</v>
      </c>
      <c r="C272" t="str">
        <f>[1]StagingTable!F272&amp;"-"&amp;[1]StagingTable!G272&amp;"-"&amp;[1]StagingTable!H272</f>
        <v>Americas-Brazil-Brasília</v>
      </c>
      <c r="D272" t="str">
        <f>IF([1]StagingTable!T272&lt;=_xlfn.PERCENTILE.INC([1]StagingTable!T272:T903,0.33),"LOW",IF([1]StagingTable!T272&lt;=_xlfn.PERCENTILE.INC([1]StagingTable!T272:T903,0.67),"MEDIUM","HIGH"))</f>
        <v>LOW</v>
      </c>
    </row>
    <row r="273" spans="1:4" x14ac:dyDescent="0.25">
      <c r="A273" t="str">
        <f>TEXT([1]StagingTable!B273,"MMM-YYY")</f>
        <v>Feb-2025</v>
      </c>
      <c r="B273" t="str">
        <f>"Q"&amp;ROUNDUP(MONTH([1]StagingTable!B273)/3,0)&amp;"-"&amp;YEAR([1]StagingTable!D272)</f>
        <v>Q1-2023</v>
      </c>
      <c r="C273" t="str">
        <f>[1]StagingTable!F273&amp;"-"&amp;[1]StagingTable!G273&amp;"-"&amp;[1]StagingTable!H273</f>
        <v>Asia-India-Delhi</v>
      </c>
      <c r="D273" t="str">
        <f>IF([1]StagingTable!T273&lt;=_xlfn.PERCENTILE.INC([1]StagingTable!T273:T904,0.33),"LOW",IF([1]StagingTable!T273&lt;=_xlfn.PERCENTILE.INC([1]StagingTable!T273:T904,0.67),"MEDIUM","HIGH"))</f>
        <v>LOW</v>
      </c>
    </row>
    <row r="274" spans="1:4" x14ac:dyDescent="0.25">
      <c r="A274" t="str">
        <f>TEXT([1]StagingTable!B274,"MMM-YYY")</f>
        <v>Mar-2024</v>
      </c>
      <c r="B274" t="str">
        <f>"Q"&amp;ROUNDUP(MONTH([1]StagingTable!B274)/3,0)&amp;"-"&amp;YEAR([1]StagingTable!D273)</f>
        <v>Q1-2025</v>
      </c>
      <c r="C274" t="str">
        <f>[1]StagingTable!F274&amp;"-"&amp;[1]StagingTable!G274&amp;"-"&amp;[1]StagingTable!H274</f>
        <v>Europe-Germany-Frankfurt</v>
      </c>
      <c r="D274" t="str">
        <f>IF([1]StagingTable!T274&lt;=_xlfn.PERCENTILE.INC([1]StagingTable!T274:T905,0.33),"LOW",IF([1]StagingTable!T274&lt;=_xlfn.PERCENTILE.INC([1]StagingTable!T274:T905,0.67),"MEDIUM","HIGH"))</f>
        <v>MEDIUM</v>
      </c>
    </row>
    <row r="275" spans="1:4" x14ac:dyDescent="0.25">
      <c r="A275" t="str">
        <f>TEXT([1]StagingTable!B275,"MMM-YYY")</f>
        <v>Jul-2023</v>
      </c>
      <c r="B275" t="str">
        <f>"Q"&amp;ROUNDUP(MONTH([1]StagingTable!B275)/3,0)&amp;"-"&amp;YEAR([1]StagingTable!D274)</f>
        <v>Q3-2024</v>
      </c>
      <c r="C275" t="str">
        <f>[1]StagingTable!F275&amp;"-"&amp;[1]StagingTable!G275&amp;"-"&amp;[1]StagingTable!H275</f>
        <v>Americas-Canada-Montreal</v>
      </c>
      <c r="D275" t="str">
        <f>IF([1]StagingTable!T275&lt;=_xlfn.PERCENTILE.INC([1]StagingTable!T275:T906,0.33),"LOW",IF([1]StagingTable!T275&lt;=_xlfn.PERCENTILE.INC([1]StagingTable!T275:T906,0.67),"MEDIUM","HIGH"))</f>
        <v>HIGH</v>
      </c>
    </row>
    <row r="276" spans="1:4" x14ac:dyDescent="0.25">
      <c r="A276" t="str">
        <f>TEXT([1]StagingTable!B276,"MMM-YYY")</f>
        <v>Mar-2024</v>
      </c>
      <c r="B276" t="str">
        <f>"Q"&amp;ROUNDUP(MONTH([1]StagingTable!B276)/3,0)&amp;"-"&amp;YEAR([1]StagingTable!D275)</f>
        <v>Q1-2023</v>
      </c>
      <c r="C276" t="str">
        <f>[1]StagingTable!F276&amp;"-"&amp;[1]StagingTable!G276&amp;"-"&amp;[1]StagingTable!H276</f>
        <v>Europe-France-Paris</v>
      </c>
      <c r="D276" t="str">
        <f>IF([1]StagingTable!T276&lt;=_xlfn.PERCENTILE.INC([1]StagingTable!T276:T907,0.33),"LOW",IF([1]StagingTable!T276&lt;=_xlfn.PERCENTILE.INC([1]StagingTable!T276:T907,0.67),"MEDIUM","HIGH"))</f>
        <v>LOW</v>
      </c>
    </row>
    <row r="277" spans="1:4" x14ac:dyDescent="0.25">
      <c r="A277" t="str">
        <f>TEXT([1]StagingTable!B277,"MMM-YYY")</f>
        <v>Jan-2024</v>
      </c>
      <c r="B277" t="str">
        <f>"Q"&amp;ROUNDUP(MONTH([1]StagingTable!B277)/3,0)&amp;"-"&amp;YEAR([1]StagingTable!D276)</f>
        <v>Q1-2024</v>
      </c>
      <c r="C277" t="str">
        <f>[1]StagingTable!F277&amp;"-"&amp;[1]StagingTable!G277&amp;"-"&amp;[1]StagingTable!H277</f>
        <v>Americas-Brazil-São Paulo</v>
      </c>
      <c r="D277" t="str">
        <f>IF([1]StagingTable!T277&lt;=_xlfn.PERCENTILE.INC([1]StagingTable!T277:T908,0.33),"LOW",IF([1]StagingTable!T277&lt;=_xlfn.PERCENTILE.INC([1]StagingTable!T277:T908,0.67),"MEDIUM","HIGH"))</f>
        <v>HIGH</v>
      </c>
    </row>
    <row r="278" spans="1:4" x14ac:dyDescent="0.25">
      <c r="A278" t="str">
        <f>TEXT([1]StagingTable!B278,"MMM-YYY")</f>
        <v>Mar-2024</v>
      </c>
      <c r="B278" t="str">
        <f>"Q"&amp;ROUNDUP(MONTH([1]StagingTable!B278)/3,0)&amp;"-"&amp;YEAR([1]StagingTable!D277)</f>
        <v>Q1-2024</v>
      </c>
      <c r="C278" t="str">
        <f>[1]StagingTable!F278&amp;"-"&amp;[1]StagingTable!G278&amp;"-"&amp;[1]StagingTable!H278</f>
        <v>Americas-USA-San Francisco</v>
      </c>
      <c r="D278" t="str">
        <f>IF([1]StagingTable!T278&lt;=_xlfn.PERCENTILE.INC([1]StagingTable!T278:T909,0.33),"LOW",IF([1]StagingTable!T278&lt;=_xlfn.PERCENTILE.INC([1]StagingTable!T278:T909,0.67),"MEDIUM","HIGH"))</f>
        <v>HIGH</v>
      </c>
    </row>
    <row r="279" spans="1:4" x14ac:dyDescent="0.25">
      <c r="A279" t="str">
        <f>TEXT([1]StagingTable!B279,"MMM-YYY")</f>
        <v>Jun-2025</v>
      </c>
      <c r="B279" t="str">
        <f>"Q"&amp;ROUNDUP(MONTH([1]StagingTable!B279)/3,0)&amp;"-"&amp;YEAR([1]StagingTable!D278)</f>
        <v>Q2-2024</v>
      </c>
      <c r="C279" t="str">
        <f>[1]StagingTable!F279&amp;"-"&amp;[1]StagingTable!G279&amp;"-"&amp;[1]StagingTable!H279</f>
        <v>Europe-Germany-Berlin</v>
      </c>
      <c r="D279" t="str">
        <f>IF([1]StagingTable!T279&lt;=_xlfn.PERCENTILE.INC([1]StagingTable!T279:T910,0.33),"LOW",IF([1]StagingTable!T279&lt;=_xlfn.PERCENTILE.INC([1]StagingTable!T279:T910,0.67),"MEDIUM","HIGH"))</f>
        <v>MEDIUM</v>
      </c>
    </row>
    <row r="280" spans="1:4" x14ac:dyDescent="0.25">
      <c r="A280" t="str">
        <f>TEXT([1]StagingTable!B280,"MMM-YYY")</f>
        <v>Jun-2024</v>
      </c>
      <c r="B280" t="str">
        <f>"Q"&amp;ROUNDUP(MONTH([1]StagingTable!B280)/3,0)&amp;"-"&amp;YEAR([1]StagingTable!D279)</f>
        <v>Q2-2025</v>
      </c>
      <c r="C280" t="str">
        <f>[1]StagingTable!F280&amp;"-"&amp;[1]StagingTable!G280&amp;"-"&amp;[1]StagingTable!H280</f>
        <v>Africa-South Africa-Johannesburg</v>
      </c>
      <c r="D280" t="str">
        <f>IF([1]StagingTable!T280&lt;=_xlfn.PERCENTILE.INC([1]StagingTable!T280:T911,0.33),"LOW",IF([1]StagingTable!T280&lt;=_xlfn.PERCENTILE.INC([1]StagingTable!T280:T911,0.67),"MEDIUM","HIGH"))</f>
        <v>HIGH</v>
      </c>
    </row>
    <row r="281" spans="1:4" x14ac:dyDescent="0.25">
      <c r="A281" t="str">
        <f>TEXT([1]StagingTable!B281,"MMM-YYY")</f>
        <v>Oct-2023</v>
      </c>
      <c r="B281" t="str">
        <f>"Q"&amp;ROUNDUP(MONTH([1]StagingTable!B281)/3,0)&amp;"-"&amp;YEAR([1]StagingTable!D280)</f>
        <v>Q4-2024</v>
      </c>
      <c r="C281" t="str">
        <f>[1]StagingTable!F281&amp;"-"&amp;[1]StagingTable!G281&amp;"-"&amp;[1]StagingTable!H281</f>
        <v>Asia-India-Bengaluru</v>
      </c>
      <c r="D281" t="str">
        <f>IF([1]StagingTable!T281&lt;=_xlfn.PERCENTILE.INC([1]StagingTable!T281:T912,0.33),"LOW",IF([1]StagingTable!T281&lt;=_xlfn.PERCENTILE.INC([1]StagingTable!T281:T912,0.67),"MEDIUM","HIGH"))</f>
        <v>HIGH</v>
      </c>
    </row>
    <row r="282" spans="1:4" x14ac:dyDescent="0.25">
      <c r="A282" t="str">
        <f>TEXT([1]StagingTable!B282,"MMM-YYY")</f>
        <v>Jun-2023</v>
      </c>
      <c r="B282" t="str">
        <f>"Q"&amp;ROUNDUP(MONTH([1]StagingTable!B282)/3,0)&amp;"-"&amp;YEAR([1]StagingTable!D281)</f>
        <v>Q2-2023</v>
      </c>
      <c r="C282" t="str">
        <f>[1]StagingTable!F282&amp;"-"&amp;[1]StagingTable!G282&amp;"-"&amp;[1]StagingTable!H282</f>
        <v>Americas-USA-San Francisco</v>
      </c>
      <c r="D282" t="str">
        <f>IF([1]StagingTable!T282&lt;=_xlfn.PERCENTILE.INC([1]StagingTable!T282:T913,0.33),"LOW",IF([1]StagingTable!T282&lt;=_xlfn.PERCENTILE.INC([1]StagingTable!T282:T913,0.67),"MEDIUM","HIGH"))</f>
        <v>HIGH</v>
      </c>
    </row>
    <row r="283" spans="1:4" x14ac:dyDescent="0.25">
      <c r="A283" t="str">
        <f>TEXT([1]StagingTable!B283,"MMM-YYY")</f>
        <v>Mar-2025</v>
      </c>
      <c r="B283" t="str">
        <f>"Q"&amp;ROUNDUP(MONTH([1]StagingTable!B283)/3,0)&amp;"-"&amp;YEAR([1]StagingTable!D282)</f>
        <v>Q1-2023</v>
      </c>
      <c r="C283" t="str">
        <f>[1]StagingTable!F283&amp;"-"&amp;[1]StagingTable!G283&amp;"-"&amp;[1]StagingTable!H283</f>
        <v>Asia-Japan-Tokyo</v>
      </c>
      <c r="D283" t="str">
        <f>IF([1]StagingTable!T283&lt;=_xlfn.PERCENTILE.INC([1]StagingTable!T283:T914,0.33),"LOW",IF([1]StagingTable!T283&lt;=_xlfn.PERCENTILE.INC([1]StagingTable!T283:T914,0.67),"MEDIUM","HIGH"))</f>
        <v>HIGH</v>
      </c>
    </row>
    <row r="284" spans="1:4" x14ac:dyDescent="0.25">
      <c r="A284" t="str">
        <f>TEXT([1]StagingTable!B284,"MMM-YYY")</f>
        <v>Aug-2023</v>
      </c>
      <c r="B284" t="str">
        <f>"Q"&amp;ROUNDUP(MONTH([1]StagingTable!B284)/3,0)&amp;"-"&amp;YEAR([1]StagingTable!D283)</f>
        <v>Q3-2025</v>
      </c>
      <c r="C284" t="str">
        <f>[1]StagingTable!F284&amp;"-"&amp;[1]StagingTable!G284&amp;"-"&amp;[1]StagingTable!H284</f>
        <v>Africa-Kenya-Nairobi</v>
      </c>
      <c r="D284" t="str">
        <f>IF([1]StagingTable!T284&lt;=_xlfn.PERCENTILE.INC([1]StagingTable!T284:T915,0.33),"LOW",IF([1]StagingTable!T284&lt;=_xlfn.PERCENTILE.INC([1]StagingTable!T284:T915,0.67),"MEDIUM","HIGH"))</f>
        <v>LOW</v>
      </c>
    </row>
    <row r="285" spans="1:4" x14ac:dyDescent="0.25">
      <c r="A285" t="str">
        <f>TEXT([1]StagingTable!B285,"MMM-YYY")</f>
        <v>May-2025</v>
      </c>
      <c r="B285" t="str">
        <f>"Q"&amp;ROUNDUP(MONTH([1]StagingTable!B285)/3,0)&amp;"-"&amp;YEAR([1]StagingTable!D284)</f>
        <v>Q2-2023</v>
      </c>
      <c r="C285" t="str">
        <f>[1]StagingTable!F285&amp;"-"&amp;[1]StagingTable!G285&amp;"-"&amp;[1]StagingTable!H285</f>
        <v>Asia-India-Bengaluru</v>
      </c>
      <c r="D285" t="str">
        <f>IF([1]StagingTable!T285&lt;=_xlfn.PERCENTILE.INC([1]StagingTable!T285:T916,0.33),"LOW",IF([1]StagingTable!T285&lt;=_xlfn.PERCENTILE.INC([1]StagingTable!T285:T916,0.67),"MEDIUM","HIGH"))</f>
        <v>MEDIUM</v>
      </c>
    </row>
    <row r="286" spans="1:4" x14ac:dyDescent="0.25">
      <c r="A286" t="str">
        <f>TEXT([1]StagingTable!B286,"MMM-YYY")</f>
        <v>Jan-2024</v>
      </c>
      <c r="B286" t="str">
        <f>"Q"&amp;ROUNDUP(MONTH([1]StagingTable!B286)/3,0)&amp;"-"&amp;YEAR([1]StagingTable!D285)</f>
        <v>Q1-2025</v>
      </c>
      <c r="C286" t="str">
        <f>[1]StagingTable!F286&amp;"-"&amp;[1]StagingTable!G286&amp;"-"&amp;[1]StagingTable!H286</f>
        <v>Europe-Germany-Frankfurt</v>
      </c>
      <c r="D286" t="str">
        <f>IF([1]StagingTable!T286&lt;=_xlfn.PERCENTILE.INC([1]StagingTable!T286:T917,0.33),"LOW",IF([1]StagingTable!T286&lt;=_xlfn.PERCENTILE.INC([1]StagingTable!T286:T917,0.67),"MEDIUM","HIGH"))</f>
        <v>MEDIUM</v>
      </c>
    </row>
    <row r="287" spans="1:4" x14ac:dyDescent="0.25">
      <c r="A287" t="str">
        <f>TEXT([1]StagingTable!B287,"MMM-YYY")</f>
        <v>Jun-2023</v>
      </c>
      <c r="B287" t="str">
        <f>"Q"&amp;ROUNDUP(MONTH([1]StagingTable!B287)/3,0)&amp;"-"&amp;YEAR([1]StagingTable!D286)</f>
        <v>Q2-2024</v>
      </c>
      <c r="C287" t="str">
        <f>[1]StagingTable!F287&amp;"-"&amp;[1]StagingTable!G287&amp;"-"&amp;[1]StagingTable!H287</f>
        <v>Asia-Japan-Nagoya</v>
      </c>
      <c r="D287" t="str">
        <f>IF([1]StagingTable!T287&lt;=_xlfn.PERCENTILE.INC([1]StagingTable!T287:T918,0.33),"LOW",IF([1]StagingTable!T287&lt;=_xlfn.PERCENTILE.INC([1]StagingTable!T287:T918,0.67),"MEDIUM","HIGH"))</f>
        <v>LOW</v>
      </c>
    </row>
    <row r="288" spans="1:4" x14ac:dyDescent="0.25">
      <c r="A288" t="str">
        <f>TEXT([1]StagingTable!B288,"MMM-YYY")</f>
        <v>Apr-2025</v>
      </c>
      <c r="B288" t="str">
        <f>"Q"&amp;ROUNDUP(MONTH([1]StagingTable!B288)/3,0)&amp;"-"&amp;YEAR([1]StagingTable!D287)</f>
        <v>Q2-2023</v>
      </c>
      <c r="C288" t="str">
        <f>[1]StagingTable!F288&amp;"-"&amp;[1]StagingTable!G288&amp;"-"&amp;[1]StagingTable!H288</f>
        <v>Europe-Germany-Munich</v>
      </c>
      <c r="D288" t="str">
        <f>IF([1]StagingTable!T288&lt;=_xlfn.PERCENTILE.INC([1]StagingTable!T288:T919,0.33),"LOW",IF([1]StagingTable!T288&lt;=_xlfn.PERCENTILE.INC([1]StagingTable!T288:T919,0.67),"MEDIUM","HIGH"))</f>
        <v>LOW</v>
      </c>
    </row>
    <row r="289" spans="1:4" x14ac:dyDescent="0.25">
      <c r="A289" t="str">
        <f>TEXT([1]StagingTable!B289,"MMM-YYY")</f>
        <v>Sep-2024</v>
      </c>
      <c r="B289" t="str">
        <f>"Q"&amp;ROUNDUP(MONTH([1]StagingTable!B289)/3,0)&amp;"-"&amp;YEAR([1]StagingTable!D288)</f>
        <v>Q3-2025</v>
      </c>
      <c r="C289" t="str">
        <f>[1]StagingTable!F289&amp;"-"&amp;[1]StagingTable!G289&amp;"-"&amp;[1]StagingTable!H289</f>
        <v>Asia-India-Mumbai</v>
      </c>
      <c r="D289" t="str">
        <f>IF([1]StagingTable!T289&lt;=_xlfn.PERCENTILE.INC([1]StagingTable!T289:T920,0.33),"LOW",IF([1]StagingTable!T289&lt;=_xlfn.PERCENTILE.INC([1]StagingTable!T289:T920,0.67),"MEDIUM","HIGH"))</f>
        <v>HIGH</v>
      </c>
    </row>
    <row r="290" spans="1:4" x14ac:dyDescent="0.25">
      <c r="A290" t="str">
        <f>TEXT([1]StagingTable!B290,"MMM-YYY")</f>
        <v>Jan-2024</v>
      </c>
      <c r="B290" t="str">
        <f>"Q"&amp;ROUNDUP(MONTH([1]StagingTable!B290)/3,0)&amp;"-"&amp;YEAR([1]StagingTable!D289)</f>
        <v>Q1-2024</v>
      </c>
      <c r="C290" t="str">
        <f>[1]StagingTable!F290&amp;"-"&amp;[1]StagingTable!G290&amp;"-"&amp;[1]StagingTable!H290</f>
        <v>Africa-South Africa-Cape Town</v>
      </c>
      <c r="D290" t="str">
        <f>IF([1]StagingTable!T290&lt;=_xlfn.PERCENTILE.INC([1]StagingTable!T290:T921,0.33),"LOW",IF([1]StagingTable!T290&lt;=_xlfn.PERCENTILE.INC([1]StagingTable!T290:T921,0.67),"MEDIUM","HIGH"))</f>
        <v>MEDIUM</v>
      </c>
    </row>
    <row r="291" spans="1:4" x14ac:dyDescent="0.25">
      <c r="A291" t="str">
        <f>TEXT([1]StagingTable!B291,"MMM-YYY")</f>
        <v>Jul-2023</v>
      </c>
      <c r="B291" t="str">
        <f>"Q"&amp;ROUNDUP(MONTH([1]StagingTable!B291)/3,0)&amp;"-"&amp;YEAR([1]StagingTable!D290)</f>
        <v>Q3-2024</v>
      </c>
      <c r="C291" t="str">
        <f>[1]StagingTable!F291&amp;"-"&amp;[1]StagingTable!G291&amp;"-"&amp;[1]StagingTable!H291</f>
        <v>Africa-South Africa-Johannesburg</v>
      </c>
      <c r="D291" t="str">
        <f>IF([1]StagingTable!T291&lt;=_xlfn.PERCENTILE.INC([1]StagingTable!T291:T922,0.33),"LOW",IF([1]StagingTable!T291&lt;=_xlfn.PERCENTILE.INC([1]StagingTable!T291:T922,0.67),"MEDIUM","HIGH"))</f>
        <v>MEDIUM</v>
      </c>
    </row>
    <row r="292" spans="1:4" x14ac:dyDescent="0.25">
      <c r="A292" t="str">
        <f>TEXT([1]StagingTable!B292,"MMM-YYY")</f>
        <v>Aug-2025</v>
      </c>
      <c r="B292" t="str">
        <f>"Q"&amp;ROUNDUP(MONTH([1]StagingTable!B292)/3,0)&amp;"-"&amp;YEAR([1]StagingTable!D291)</f>
        <v>Q3-2023</v>
      </c>
      <c r="C292" t="str">
        <f>[1]StagingTable!F292&amp;"-"&amp;[1]StagingTable!G292&amp;"-"&amp;[1]StagingTable!H292</f>
        <v>Africa-Nigeria-Port Harcourt</v>
      </c>
      <c r="D292" t="str">
        <f>IF([1]StagingTable!T292&lt;=_xlfn.PERCENTILE.INC([1]StagingTable!T292:T923,0.33),"LOW",IF([1]StagingTable!T292&lt;=_xlfn.PERCENTILE.INC([1]StagingTable!T292:T923,0.67),"MEDIUM","HIGH"))</f>
        <v>MEDIUM</v>
      </c>
    </row>
    <row r="293" spans="1:4" x14ac:dyDescent="0.25">
      <c r="A293" t="str">
        <f>TEXT([1]StagingTable!B293,"MMM-YYY")</f>
        <v>Mar-2025</v>
      </c>
      <c r="B293" t="str">
        <f>"Q"&amp;ROUNDUP(MONTH([1]StagingTable!B293)/3,0)&amp;"-"&amp;YEAR([1]StagingTable!D292)</f>
        <v>Q1-2025</v>
      </c>
      <c r="C293" t="str">
        <f>[1]StagingTable!F293&amp;"-"&amp;[1]StagingTable!G293&amp;"-"&amp;[1]StagingTable!H293</f>
        <v>Americas-Brazil-São Paulo</v>
      </c>
      <c r="D293" t="str">
        <f>IF([1]StagingTable!T293&lt;=_xlfn.PERCENTILE.INC([1]StagingTable!T293:T924,0.33),"LOW",IF([1]StagingTable!T293&lt;=_xlfn.PERCENTILE.INC([1]StagingTable!T293:T924,0.67),"MEDIUM","HIGH"))</f>
        <v>LOW</v>
      </c>
    </row>
    <row r="294" spans="1:4" x14ac:dyDescent="0.25">
      <c r="A294" t="str">
        <f>TEXT([1]StagingTable!B294,"MMM-YYY")</f>
        <v>Oct-2023</v>
      </c>
      <c r="B294" t="str">
        <f>"Q"&amp;ROUNDUP(MONTH([1]StagingTable!B294)/3,0)&amp;"-"&amp;YEAR([1]StagingTable!D293)</f>
        <v>Q4-2025</v>
      </c>
      <c r="C294" t="str">
        <f>[1]StagingTable!F294&amp;"-"&amp;[1]StagingTable!G294&amp;"-"&amp;[1]StagingTable!H294</f>
        <v>Europe-United Kingdom-London</v>
      </c>
      <c r="D294" t="str">
        <f>IF([1]StagingTable!T294&lt;=_xlfn.PERCENTILE.INC([1]StagingTable!T294:T925,0.33),"LOW",IF([1]StagingTable!T294&lt;=_xlfn.PERCENTILE.INC([1]StagingTable!T294:T925,0.67),"MEDIUM","HIGH"))</f>
        <v>HIGH</v>
      </c>
    </row>
    <row r="295" spans="1:4" x14ac:dyDescent="0.25">
      <c r="A295" t="str">
        <f>TEXT([1]StagingTable!B295,"MMM-YYY")</f>
        <v>Aug-2023</v>
      </c>
      <c r="B295" t="str">
        <f>"Q"&amp;ROUNDUP(MONTH([1]StagingTable!B295)/3,0)&amp;"-"&amp;YEAR([1]StagingTable!D294)</f>
        <v>Q3-2023</v>
      </c>
      <c r="C295" t="str">
        <f>[1]StagingTable!F295&amp;"-"&amp;[1]StagingTable!G295&amp;"-"&amp;[1]StagingTable!H295</f>
        <v>Europe-United Kingdom-London</v>
      </c>
      <c r="D295" t="str">
        <f>IF([1]StagingTable!T295&lt;=_xlfn.PERCENTILE.INC([1]StagingTable!T295:T926,0.33),"LOW",IF([1]StagingTable!T295&lt;=_xlfn.PERCENTILE.INC([1]StagingTable!T295:T926,0.67),"MEDIUM","HIGH"))</f>
        <v>LOW</v>
      </c>
    </row>
    <row r="296" spans="1:4" x14ac:dyDescent="0.25">
      <c r="A296" t="str">
        <f>TEXT([1]StagingTable!B296,"MMM-YYY")</f>
        <v>Apr-2025</v>
      </c>
      <c r="B296" t="str">
        <f>"Q"&amp;ROUNDUP(MONTH([1]StagingTable!B296)/3,0)&amp;"-"&amp;YEAR([1]StagingTable!D295)</f>
        <v>Q2-2023</v>
      </c>
      <c r="C296" t="str">
        <f>[1]StagingTable!F296&amp;"-"&amp;[1]StagingTable!G296&amp;"-"&amp;[1]StagingTable!H296</f>
        <v>Asia-Japan-Osaka</v>
      </c>
      <c r="D296" t="str">
        <f>IF([1]StagingTable!T296&lt;=_xlfn.PERCENTILE.INC([1]StagingTable!T296:T927,0.33),"LOW",IF([1]StagingTable!T296&lt;=_xlfn.PERCENTILE.INC([1]StagingTable!T296:T927,0.67),"MEDIUM","HIGH"))</f>
        <v>MEDIUM</v>
      </c>
    </row>
    <row r="297" spans="1:4" x14ac:dyDescent="0.25">
      <c r="A297" t="str">
        <f>TEXT([1]StagingTable!B297,"MMM-YYY")</f>
        <v>Jun-2025</v>
      </c>
      <c r="B297" t="str">
        <f>"Q"&amp;ROUNDUP(MONTH([1]StagingTable!B297)/3,0)&amp;"-"&amp;YEAR([1]StagingTable!D296)</f>
        <v>Q2-2025</v>
      </c>
      <c r="C297" t="str">
        <f>[1]StagingTable!F297&amp;"-"&amp;[1]StagingTable!G297&amp;"-"&amp;[1]StagingTable!H297</f>
        <v>Europe-Germany-Munich</v>
      </c>
      <c r="D297" t="str">
        <f>IF([1]StagingTable!T297&lt;=_xlfn.PERCENTILE.INC([1]StagingTable!T297:T928,0.33),"LOW",IF([1]StagingTable!T297&lt;=_xlfn.PERCENTILE.INC([1]StagingTable!T297:T928,0.67),"MEDIUM","HIGH"))</f>
        <v>HIGH</v>
      </c>
    </row>
    <row r="298" spans="1:4" x14ac:dyDescent="0.25">
      <c r="A298" t="str">
        <f>TEXT([1]StagingTable!B298,"MMM-YYY")</f>
        <v>Mar-2024</v>
      </c>
      <c r="B298" t="str">
        <f>"Q"&amp;ROUNDUP(MONTH([1]StagingTable!B298)/3,0)&amp;"-"&amp;YEAR([1]StagingTable!D297)</f>
        <v>Q1-2025</v>
      </c>
      <c r="C298" t="str">
        <f>[1]StagingTable!F298&amp;"-"&amp;[1]StagingTable!G298&amp;"-"&amp;[1]StagingTable!H298</f>
        <v>Americas-Canada-Vancouver</v>
      </c>
      <c r="D298" t="str">
        <f>IF([1]StagingTable!T298&lt;=_xlfn.PERCENTILE.INC([1]StagingTable!T298:T929,0.33),"LOW",IF([1]StagingTable!T298&lt;=_xlfn.PERCENTILE.INC([1]StagingTable!T298:T929,0.67),"MEDIUM","HIGH"))</f>
        <v>LOW</v>
      </c>
    </row>
    <row r="299" spans="1:4" x14ac:dyDescent="0.25">
      <c r="A299" t="str">
        <f>TEXT([1]StagingTable!B299,"MMM-YYY")</f>
        <v>Jun-2023</v>
      </c>
      <c r="B299" t="str">
        <f>"Q"&amp;ROUNDUP(MONTH([1]StagingTable!B299)/3,0)&amp;"-"&amp;YEAR([1]StagingTable!D298)</f>
        <v>Q2-2024</v>
      </c>
      <c r="C299" t="str">
        <f>[1]StagingTable!F299&amp;"-"&amp;[1]StagingTable!G299&amp;"-"&amp;[1]StagingTable!H299</f>
        <v>Americas-USA-Austin</v>
      </c>
      <c r="D299" t="str">
        <f>IF([1]StagingTable!T299&lt;=_xlfn.PERCENTILE.INC([1]StagingTable!T299:T930,0.33),"LOW",IF([1]StagingTable!T299&lt;=_xlfn.PERCENTILE.INC([1]StagingTable!T299:T930,0.67),"MEDIUM","HIGH"))</f>
        <v>LOW</v>
      </c>
    </row>
    <row r="300" spans="1:4" x14ac:dyDescent="0.25">
      <c r="A300" t="str">
        <f>TEXT([1]StagingTable!B300,"MMM-YYY")</f>
        <v>Mar-2024</v>
      </c>
      <c r="B300" t="str">
        <f>"Q"&amp;ROUNDUP(MONTH([1]StagingTable!B300)/3,0)&amp;"-"&amp;YEAR([1]StagingTable!D299)</f>
        <v>Q1-2023</v>
      </c>
      <c r="C300" t="str">
        <f>[1]StagingTable!F300&amp;"-"&amp;[1]StagingTable!G300&amp;"-"&amp;[1]StagingTable!H300</f>
        <v>Americas-USA-Austin</v>
      </c>
      <c r="D300" t="str">
        <f>IF([1]StagingTable!T300&lt;=_xlfn.PERCENTILE.INC([1]StagingTable!T300:T931,0.33),"LOW",IF([1]StagingTable!T300&lt;=_xlfn.PERCENTILE.INC([1]StagingTable!T300:T931,0.67),"MEDIUM","HIGH"))</f>
        <v>LOW</v>
      </c>
    </row>
    <row r="301" spans="1:4" x14ac:dyDescent="0.25">
      <c r="A301" t="str">
        <f>TEXT([1]StagingTable!B301,"MMM-YYY")</f>
        <v>Jan-2025</v>
      </c>
      <c r="B301" t="str">
        <f>"Q"&amp;ROUNDUP(MONTH([1]StagingTable!B301)/3,0)&amp;"-"&amp;YEAR([1]StagingTable!D300)</f>
        <v>Q1-2024</v>
      </c>
      <c r="C301" t="str">
        <f>[1]StagingTable!F301&amp;"-"&amp;[1]StagingTable!G301&amp;"-"&amp;[1]StagingTable!H301</f>
        <v>Europe-France-Lyon</v>
      </c>
      <c r="D301" t="str">
        <f>IF([1]StagingTable!T301&lt;=_xlfn.PERCENTILE.INC([1]StagingTable!T301:T932,0.33),"LOW",IF([1]StagingTable!T301&lt;=_xlfn.PERCENTILE.INC([1]StagingTable!T301:T932,0.67),"MEDIUM","HIGH"))</f>
        <v>LOW</v>
      </c>
    </row>
    <row r="302" spans="1:4" x14ac:dyDescent="0.25">
      <c r="A302" t="str">
        <f>TEXT([1]StagingTable!B302,"MMM-YYY")</f>
        <v>May-2025</v>
      </c>
      <c r="B302" t="str">
        <f>"Q"&amp;ROUNDUP(MONTH([1]StagingTable!B302)/3,0)&amp;"-"&amp;YEAR([1]StagingTable!D301)</f>
        <v>Q2-2025</v>
      </c>
      <c r="C302" t="str">
        <f>[1]StagingTable!F302&amp;"-"&amp;[1]StagingTable!G302&amp;"-"&amp;[1]StagingTable!H302</f>
        <v>Americas-Canada-Vancouver</v>
      </c>
      <c r="D302" t="str">
        <f>IF([1]StagingTable!T302&lt;=_xlfn.PERCENTILE.INC([1]StagingTable!T302:T933,0.33),"LOW",IF([1]StagingTable!T302&lt;=_xlfn.PERCENTILE.INC([1]StagingTable!T302:T933,0.67),"MEDIUM","HIGH"))</f>
        <v>MEDIUM</v>
      </c>
    </row>
    <row r="303" spans="1:4" x14ac:dyDescent="0.25">
      <c r="A303" t="str">
        <f>TEXT([1]StagingTable!B303,"MMM-YYY")</f>
        <v>Oct-2023</v>
      </c>
      <c r="B303" t="str">
        <f>"Q"&amp;ROUNDUP(MONTH([1]StagingTable!B303)/3,0)&amp;"-"&amp;YEAR([1]StagingTable!D302)</f>
        <v>Q4-2025</v>
      </c>
      <c r="C303" t="str">
        <f>[1]StagingTable!F303&amp;"-"&amp;[1]StagingTable!G303&amp;"-"&amp;[1]StagingTable!H303</f>
        <v>Asia-China-Shanghai</v>
      </c>
      <c r="D303" t="str">
        <f>IF([1]StagingTable!T303&lt;=_xlfn.PERCENTILE.INC([1]StagingTable!T303:T934,0.33),"LOW",IF([1]StagingTable!T303&lt;=_xlfn.PERCENTILE.INC([1]StagingTable!T303:T934,0.67),"MEDIUM","HIGH"))</f>
        <v>MEDIUM</v>
      </c>
    </row>
    <row r="304" spans="1:4" x14ac:dyDescent="0.25">
      <c r="A304" t="str">
        <f>TEXT([1]StagingTable!B304,"MMM-YYY")</f>
        <v>Jul-2023</v>
      </c>
      <c r="B304" t="str">
        <f>"Q"&amp;ROUNDUP(MONTH([1]StagingTable!B304)/3,0)&amp;"-"&amp;YEAR([1]StagingTable!D303)</f>
        <v>Q3-2023</v>
      </c>
      <c r="C304" t="str">
        <f>[1]StagingTable!F304&amp;"-"&amp;[1]StagingTable!G304&amp;"-"&amp;[1]StagingTable!H304</f>
        <v>Americas-Brazil-São Paulo</v>
      </c>
      <c r="D304" t="str">
        <f>IF([1]StagingTable!T304&lt;=_xlfn.PERCENTILE.INC([1]StagingTable!T304:T935,0.33),"LOW",IF([1]StagingTable!T304&lt;=_xlfn.PERCENTILE.INC([1]StagingTable!T304:T935,0.67),"MEDIUM","HIGH"))</f>
        <v>HIGH</v>
      </c>
    </row>
    <row r="305" spans="1:4" x14ac:dyDescent="0.25">
      <c r="A305" t="str">
        <f>TEXT([1]StagingTable!B305,"MMM-YYY")</f>
        <v>Jun-2025</v>
      </c>
      <c r="B305" t="str">
        <f>"Q"&amp;ROUNDUP(MONTH([1]StagingTable!B305)/3,0)&amp;"-"&amp;YEAR([1]StagingTable!D304)</f>
        <v>Q2-2023</v>
      </c>
      <c r="C305" t="str">
        <f>[1]StagingTable!F305&amp;"-"&amp;[1]StagingTable!G305&amp;"-"&amp;[1]StagingTable!H305</f>
        <v>Europe-United Kingdom-London</v>
      </c>
      <c r="D305" t="str">
        <f>IF([1]StagingTable!T305&lt;=_xlfn.PERCENTILE.INC([1]StagingTable!T305:T936,0.33),"LOW",IF([1]StagingTable!T305&lt;=_xlfn.PERCENTILE.INC([1]StagingTable!T305:T936,0.67),"MEDIUM","HIGH"))</f>
        <v>MEDIUM</v>
      </c>
    </row>
    <row r="306" spans="1:4" x14ac:dyDescent="0.25">
      <c r="A306" t="str">
        <f>TEXT([1]StagingTable!B306,"MMM-YYY")</f>
        <v>Jun-2024</v>
      </c>
      <c r="B306" t="str">
        <f>"Q"&amp;ROUNDUP(MONTH([1]StagingTable!B306)/3,0)&amp;"-"&amp;YEAR([1]StagingTable!D305)</f>
        <v>Q2-2025</v>
      </c>
      <c r="C306" t="str">
        <f>[1]StagingTable!F306&amp;"-"&amp;[1]StagingTable!G306&amp;"-"&amp;[1]StagingTable!H306</f>
        <v>Africa-Kenya-Kisumu</v>
      </c>
      <c r="D306" t="str">
        <f>IF([1]StagingTable!T306&lt;=_xlfn.PERCENTILE.INC([1]StagingTable!T306:T937,0.33),"LOW",IF([1]StagingTable!T306&lt;=_xlfn.PERCENTILE.INC([1]StagingTable!T306:T937,0.67),"MEDIUM","HIGH"))</f>
        <v>LOW</v>
      </c>
    </row>
    <row r="307" spans="1:4" x14ac:dyDescent="0.25">
      <c r="A307" t="str">
        <f>TEXT([1]StagingTable!B307,"MMM-YYY")</f>
        <v>Apr-2025</v>
      </c>
      <c r="B307" t="str">
        <f>"Q"&amp;ROUNDUP(MONTH([1]StagingTable!B307)/3,0)&amp;"-"&amp;YEAR([1]StagingTable!D306)</f>
        <v>Q2-2024</v>
      </c>
      <c r="C307" t="str">
        <f>[1]StagingTable!F307&amp;"-"&amp;[1]StagingTable!G307&amp;"-"&amp;[1]StagingTable!H307</f>
        <v>Europe-France-Lyon</v>
      </c>
      <c r="D307" t="str">
        <f>IF([1]StagingTable!T307&lt;=_xlfn.PERCENTILE.INC([1]StagingTable!T307:T938,0.33),"LOW",IF([1]StagingTable!T307&lt;=_xlfn.PERCENTILE.INC([1]StagingTable!T307:T938,0.67),"MEDIUM","HIGH"))</f>
        <v>LOW</v>
      </c>
    </row>
    <row r="308" spans="1:4" x14ac:dyDescent="0.25">
      <c r="A308" t="str">
        <f>TEXT([1]StagingTable!B308,"MMM-YYY")</f>
        <v>Mar-2025</v>
      </c>
      <c r="B308" t="str">
        <f>"Q"&amp;ROUNDUP(MONTH([1]StagingTable!B308)/3,0)&amp;"-"&amp;YEAR([1]StagingTable!D307)</f>
        <v>Q1-2025</v>
      </c>
      <c r="C308" t="str">
        <f>[1]StagingTable!F308&amp;"-"&amp;[1]StagingTable!G308&amp;"-"&amp;[1]StagingTable!H308</f>
        <v>Africa-Nigeria-Lagos</v>
      </c>
      <c r="D308" t="str">
        <f>IF([1]StagingTable!T308&lt;=_xlfn.PERCENTILE.INC([1]StagingTable!T308:T939,0.33),"LOW",IF([1]StagingTable!T308&lt;=_xlfn.PERCENTILE.INC([1]StagingTable!T308:T939,0.67),"MEDIUM","HIGH"))</f>
        <v>HIGH</v>
      </c>
    </row>
    <row r="309" spans="1:4" x14ac:dyDescent="0.25">
      <c r="A309" t="str">
        <f>TEXT([1]StagingTable!B309,"MMM-YYY")</f>
        <v>May-2025</v>
      </c>
      <c r="B309" t="str">
        <f>"Q"&amp;ROUNDUP(MONTH([1]StagingTable!B309)/3,0)&amp;"-"&amp;YEAR([1]StagingTable!D308)</f>
        <v>Q2-2025</v>
      </c>
      <c r="C309" t="str">
        <f>[1]StagingTable!F309&amp;"-"&amp;[1]StagingTable!G309&amp;"-"&amp;[1]StagingTable!H309</f>
        <v>Americas-USA-New York</v>
      </c>
      <c r="D309" t="str">
        <f>IF([1]StagingTable!T309&lt;=_xlfn.PERCENTILE.INC([1]StagingTable!T309:T940,0.33),"LOW",IF([1]StagingTable!T309&lt;=_xlfn.PERCENTILE.INC([1]StagingTable!T309:T940,0.67),"MEDIUM","HIGH"))</f>
        <v>LOW</v>
      </c>
    </row>
    <row r="310" spans="1:4" x14ac:dyDescent="0.25">
      <c r="A310" t="str">
        <f>TEXT([1]StagingTable!B310,"MMM-YYY")</f>
        <v>Jan-2025</v>
      </c>
      <c r="B310" t="str">
        <f>"Q"&amp;ROUNDUP(MONTH([1]StagingTable!B310)/3,0)&amp;"-"&amp;YEAR([1]StagingTable!D309)</f>
        <v>Q1-2025</v>
      </c>
      <c r="C310" t="str">
        <f>[1]StagingTable!F310&amp;"-"&amp;[1]StagingTable!G310&amp;"-"&amp;[1]StagingTable!H310</f>
        <v>Asia-Japan-Tokyo</v>
      </c>
      <c r="D310" t="str">
        <f>IF([1]StagingTable!T310&lt;=_xlfn.PERCENTILE.INC([1]StagingTable!T310:T941,0.33),"LOW",IF([1]StagingTable!T310&lt;=_xlfn.PERCENTILE.INC([1]StagingTable!T310:T941,0.67),"MEDIUM","HIGH"))</f>
        <v>LOW</v>
      </c>
    </row>
    <row r="311" spans="1:4" x14ac:dyDescent="0.25">
      <c r="A311" t="str">
        <f>TEXT([1]StagingTable!B311,"MMM-YYY")</f>
        <v>Jan-2023</v>
      </c>
      <c r="B311" t="str">
        <f>"Q"&amp;ROUNDUP(MONTH([1]StagingTable!B311)/3,0)&amp;"-"&amp;YEAR([1]StagingTable!D310)</f>
        <v>Q1-2025</v>
      </c>
      <c r="C311" t="str">
        <f>[1]StagingTable!F311&amp;"-"&amp;[1]StagingTable!G311&amp;"-"&amp;[1]StagingTable!H311</f>
        <v>Europe-France-Lyon</v>
      </c>
      <c r="D311" t="str">
        <f>IF([1]StagingTable!T311&lt;=_xlfn.PERCENTILE.INC([1]StagingTable!T311:T942,0.33),"LOW",IF([1]StagingTable!T311&lt;=_xlfn.PERCENTILE.INC([1]StagingTable!T311:T942,0.67),"MEDIUM","HIGH"))</f>
        <v>LOW</v>
      </c>
    </row>
    <row r="312" spans="1:4" x14ac:dyDescent="0.25">
      <c r="A312" t="str">
        <f>TEXT([1]StagingTable!B312,"MMM-YYY")</f>
        <v>Dec-2024</v>
      </c>
      <c r="B312" t="str">
        <f>"Q"&amp;ROUNDUP(MONTH([1]StagingTable!B312)/3,0)&amp;"-"&amp;YEAR([1]StagingTable!D311)</f>
        <v>Q4-2023</v>
      </c>
      <c r="C312" t="str">
        <f>[1]StagingTable!F312&amp;"-"&amp;[1]StagingTable!G312&amp;"-"&amp;[1]StagingTable!H312</f>
        <v>Europe-United Kingdom-Manchester</v>
      </c>
      <c r="D312" t="str">
        <f>IF([1]StagingTable!T312&lt;=_xlfn.PERCENTILE.INC([1]StagingTable!T312:T943,0.33),"LOW",IF([1]StagingTable!T312&lt;=_xlfn.PERCENTILE.INC([1]StagingTable!T312:T943,0.67),"MEDIUM","HIGH"))</f>
        <v>HIGH</v>
      </c>
    </row>
    <row r="313" spans="1:4" x14ac:dyDescent="0.25">
      <c r="A313" t="str">
        <f>TEXT([1]StagingTable!B313,"MMM-YYY")</f>
        <v>May-2024</v>
      </c>
      <c r="B313" t="str">
        <f>"Q"&amp;ROUNDUP(MONTH([1]StagingTable!B313)/3,0)&amp;"-"&amp;YEAR([1]StagingTable!D312)</f>
        <v>Q2-2025</v>
      </c>
      <c r="C313" t="str">
        <f>[1]StagingTable!F313&amp;"-"&amp;[1]StagingTable!G313&amp;"-"&amp;[1]StagingTable!H313</f>
        <v>Americas-Brazil-Rio de Janeiro</v>
      </c>
      <c r="D313" t="str">
        <f>IF([1]StagingTable!T313&lt;=_xlfn.PERCENTILE.INC([1]StagingTable!T313:T944,0.33),"LOW",IF([1]StagingTable!T313&lt;=_xlfn.PERCENTILE.INC([1]StagingTable!T313:T944,0.67),"MEDIUM","HIGH"))</f>
        <v>LOW</v>
      </c>
    </row>
    <row r="314" spans="1:4" x14ac:dyDescent="0.25">
      <c r="A314" t="str">
        <f>TEXT([1]StagingTable!B314,"MMM-YYY")</f>
        <v>Jun-2023</v>
      </c>
      <c r="B314" t="str">
        <f>"Q"&amp;ROUNDUP(MONTH([1]StagingTable!B314)/3,0)&amp;"-"&amp;YEAR([1]StagingTable!D313)</f>
        <v>Q2-2024</v>
      </c>
      <c r="C314" t="str">
        <f>[1]StagingTable!F314&amp;"-"&amp;[1]StagingTable!G314&amp;"-"&amp;[1]StagingTable!H314</f>
        <v>Americas-Canada-Toronto</v>
      </c>
      <c r="D314" t="str">
        <f>IF([1]StagingTable!T314&lt;=_xlfn.PERCENTILE.INC([1]StagingTable!T314:T945,0.33),"LOW",IF([1]StagingTable!T314&lt;=_xlfn.PERCENTILE.INC([1]StagingTable!T314:T945,0.67),"MEDIUM","HIGH"))</f>
        <v>LOW</v>
      </c>
    </row>
    <row r="315" spans="1:4" x14ac:dyDescent="0.25">
      <c r="A315" t="str">
        <f>TEXT([1]StagingTable!B315,"MMM-YYY")</f>
        <v>Nov-2024</v>
      </c>
      <c r="B315" t="str">
        <f>"Q"&amp;ROUNDUP(MONTH([1]StagingTable!B315)/3,0)&amp;"-"&amp;YEAR([1]StagingTable!D314)</f>
        <v>Q4-2023</v>
      </c>
      <c r="C315" t="str">
        <f>[1]StagingTable!F315&amp;"-"&amp;[1]StagingTable!G315&amp;"-"&amp;[1]StagingTable!H315</f>
        <v>Europe-United Kingdom-London</v>
      </c>
      <c r="D315" t="str">
        <f>IF([1]StagingTable!T315&lt;=_xlfn.PERCENTILE.INC([1]StagingTable!T315:T946,0.33),"LOW",IF([1]StagingTable!T315&lt;=_xlfn.PERCENTILE.INC([1]StagingTable!T315:T946,0.67),"MEDIUM","HIGH"))</f>
        <v>MEDIUM</v>
      </c>
    </row>
    <row r="316" spans="1:4" x14ac:dyDescent="0.25">
      <c r="A316" t="str">
        <f>TEXT([1]StagingTable!B316,"MMM-YYY")</f>
        <v>Jun-2024</v>
      </c>
      <c r="B316" t="str">
        <f>"Q"&amp;ROUNDUP(MONTH([1]StagingTable!B316)/3,0)&amp;"-"&amp;YEAR([1]StagingTable!D315)</f>
        <v>Q2-2024</v>
      </c>
      <c r="C316" t="str">
        <f>[1]StagingTable!F316&amp;"-"&amp;[1]StagingTable!G316&amp;"-"&amp;[1]StagingTable!H316</f>
        <v>Africa-South Africa-Durban</v>
      </c>
      <c r="D316" t="str">
        <f>IF([1]StagingTable!T316&lt;=_xlfn.PERCENTILE.INC([1]StagingTable!T316:T947,0.33),"LOW",IF([1]StagingTable!T316&lt;=_xlfn.PERCENTILE.INC([1]StagingTable!T316:T947,0.67),"MEDIUM","HIGH"))</f>
        <v>LOW</v>
      </c>
    </row>
    <row r="317" spans="1:4" x14ac:dyDescent="0.25">
      <c r="A317" t="str">
        <f>TEXT([1]StagingTable!B317,"MMM-YYY")</f>
        <v>Jun-2025</v>
      </c>
      <c r="B317" t="str">
        <f>"Q"&amp;ROUNDUP(MONTH([1]StagingTable!B317)/3,0)&amp;"-"&amp;YEAR([1]StagingTable!D316)</f>
        <v>Q2-2024</v>
      </c>
      <c r="C317" t="str">
        <f>[1]StagingTable!F317&amp;"-"&amp;[1]StagingTable!G317&amp;"-"&amp;[1]StagingTable!H317</f>
        <v>Europe-France-Paris</v>
      </c>
      <c r="D317" t="str">
        <f>IF([1]StagingTable!T317&lt;=_xlfn.PERCENTILE.INC([1]StagingTable!T317:T948,0.33),"LOW",IF([1]StagingTable!T317&lt;=_xlfn.PERCENTILE.INC([1]StagingTable!T317:T948,0.67),"MEDIUM","HIGH"))</f>
        <v>LOW</v>
      </c>
    </row>
    <row r="318" spans="1:4" x14ac:dyDescent="0.25">
      <c r="A318" t="str">
        <f>TEXT([1]StagingTable!B318,"MMM-YYY")</f>
        <v>May-2023</v>
      </c>
      <c r="B318" t="str">
        <f>"Q"&amp;ROUNDUP(MONTH([1]StagingTable!B318)/3,0)&amp;"-"&amp;YEAR([1]StagingTable!D317)</f>
        <v>Q2-2025</v>
      </c>
      <c r="C318" t="str">
        <f>[1]StagingTable!F318&amp;"-"&amp;[1]StagingTable!G318&amp;"-"&amp;[1]StagingTable!H318</f>
        <v>Asia-Japan-Osaka</v>
      </c>
      <c r="D318" t="str">
        <f>IF([1]StagingTable!T318&lt;=_xlfn.PERCENTILE.INC([1]StagingTable!T318:T949,0.33),"LOW",IF([1]StagingTable!T318&lt;=_xlfn.PERCENTILE.INC([1]StagingTable!T318:T949,0.67),"MEDIUM","HIGH"))</f>
        <v>LOW</v>
      </c>
    </row>
    <row r="319" spans="1:4" x14ac:dyDescent="0.25">
      <c r="A319" t="str">
        <f>TEXT([1]StagingTable!B319,"MMM-YYY")</f>
        <v>Nov-2023</v>
      </c>
      <c r="B319" t="str">
        <f>"Q"&amp;ROUNDUP(MONTH([1]StagingTable!B319)/3,0)&amp;"-"&amp;YEAR([1]StagingTable!D318)</f>
        <v>Q4-2023</v>
      </c>
      <c r="C319" t="str">
        <f>[1]StagingTable!F319&amp;"-"&amp;[1]StagingTable!G319&amp;"-"&amp;[1]StagingTable!H319</f>
        <v>Americas-Brazil-São Paulo</v>
      </c>
      <c r="D319" t="str">
        <f>IF([1]StagingTable!T319&lt;=_xlfn.PERCENTILE.INC([1]StagingTable!T319:T950,0.33),"LOW",IF([1]StagingTable!T319&lt;=_xlfn.PERCENTILE.INC([1]StagingTable!T319:T950,0.67),"MEDIUM","HIGH"))</f>
        <v>MEDIUM</v>
      </c>
    </row>
    <row r="320" spans="1:4" x14ac:dyDescent="0.25">
      <c r="A320" t="str">
        <f>TEXT([1]StagingTable!B320,"MMM-YYY")</f>
        <v>Apr-2025</v>
      </c>
      <c r="B320" t="str">
        <f>"Q"&amp;ROUNDUP(MONTH([1]StagingTable!B320)/3,0)&amp;"-"&amp;YEAR([1]StagingTable!D319)</f>
        <v>Q2-2023</v>
      </c>
      <c r="C320" t="str">
        <f>[1]StagingTable!F320&amp;"-"&amp;[1]StagingTable!G320&amp;"-"&amp;[1]StagingTable!H320</f>
        <v>Americas-USA-San Francisco</v>
      </c>
      <c r="D320" t="str">
        <f>IF([1]StagingTable!T320&lt;=_xlfn.PERCENTILE.INC([1]StagingTable!T320:T951,0.33),"LOW",IF([1]StagingTable!T320&lt;=_xlfn.PERCENTILE.INC([1]StagingTable!T320:T951,0.67),"MEDIUM","HIGH"))</f>
        <v>LOW</v>
      </c>
    </row>
    <row r="321" spans="1:4" x14ac:dyDescent="0.25">
      <c r="A321" t="str">
        <f>TEXT([1]StagingTable!B321,"MMM-YYY")</f>
        <v>Mar-2023</v>
      </c>
      <c r="B321" t="str">
        <f>"Q"&amp;ROUNDUP(MONTH([1]StagingTable!B321)/3,0)&amp;"-"&amp;YEAR([1]StagingTable!D320)</f>
        <v>Q1-2025</v>
      </c>
      <c r="C321" t="str">
        <f>[1]StagingTable!F321&amp;"-"&amp;[1]StagingTable!G321&amp;"-"&amp;[1]StagingTable!H321</f>
        <v>Africa-Kenya-Mombasa</v>
      </c>
      <c r="D321" t="str">
        <f>IF([1]StagingTable!T321&lt;=_xlfn.PERCENTILE.INC([1]StagingTable!T321:T952,0.33),"LOW",IF([1]StagingTable!T321&lt;=_xlfn.PERCENTILE.INC([1]StagingTable!T321:T952,0.67),"MEDIUM","HIGH"))</f>
        <v>MEDIUM</v>
      </c>
    </row>
    <row r="322" spans="1:4" x14ac:dyDescent="0.25">
      <c r="A322" t="str">
        <f>TEXT([1]StagingTable!B322,"MMM-YYY")</f>
        <v>May-2024</v>
      </c>
      <c r="B322" t="str">
        <f>"Q"&amp;ROUNDUP(MONTH([1]StagingTable!B322)/3,0)&amp;"-"&amp;YEAR([1]StagingTable!D321)</f>
        <v>Q2-2023</v>
      </c>
      <c r="C322" t="str">
        <f>[1]StagingTable!F322&amp;"-"&amp;[1]StagingTable!G322&amp;"-"&amp;[1]StagingTable!H322</f>
        <v>Europe-Germany-Frankfurt</v>
      </c>
      <c r="D322" t="str">
        <f>IF([1]StagingTable!T322&lt;=_xlfn.PERCENTILE.INC([1]StagingTable!T322:T953,0.33),"LOW",IF([1]StagingTable!T322&lt;=_xlfn.PERCENTILE.INC([1]StagingTable!T322:T953,0.67),"MEDIUM","HIGH"))</f>
        <v>HIGH</v>
      </c>
    </row>
    <row r="323" spans="1:4" x14ac:dyDescent="0.25">
      <c r="A323" t="str">
        <f>TEXT([1]StagingTable!B323,"MMM-YYY")</f>
        <v>Jan-2024</v>
      </c>
      <c r="B323" t="str">
        <f>"Q"&amp;ROUNDUP(MONTH([1]StagingTable!B323)/3,0)&amp;"-"&amp;YEAR([1]StagingTable!D322)</f>
        <v>Q1-2024</v>
      </c>
      <c r="C323" t="str">
        <f>[1]StagingTable!F323&amp;"-"&amp;[1]StagingTable!G323&amp;"-"&amp;[1]StagingTable!H323</f>
        <v>Americas-USA-Chicago</v>
      </c>
      <c r="D323" t="str">
        <f>IF([1]StagingTable!T323&lt;=_xlfn.PERCENTILE.INC([1]StagingTable!T323:T954,0.33),"LOW",IF([1]StagingTable!T323&lt;=_xlfn.PERCENTILE.INC([1]StagingTable!T323:T954,0.67),"MEDIUM","HIGH"))</f>
        <v>LOW</v>
      </c>
    </row>
    <row r="324" spans="1:4" x14ac:dyDescent="0.25">
      <c r="A324" t="str">
        <f>TEXT([1]StagingTable!B324,"MMM-YYY")</f>
        <v>Feb-2023</v>
      </c>
      <c r="B324" t="str">
        <f>"Q"&amp;ROUNDUP(MONTH([1]StagingTable!B324)/3,0)&amp;"-"&amp;YEAR([1]StagingTable!D323)</f>
        <v>Q1-2024</v>
      </c>
      <c r="C324" t="str">
        <f>[1]StagingTable!F324&amp;"-"&amp;[1]StagingTable!G324&amp;"-"&amp;[1]StagingTable!H324</f>
        <v>Europe-France-Marseille</v>
      </c>
      <c r="D324" t="str">
        <f>IF([1]StagingTable!T324&lt;=_xlfn.PERCENTILE.INC([1]StagingTable!T324:T955,0.33),"LOW",IF([1]StagingTable!T324&lt;=_xlfn.PERCENTILE.INC([1]StagingTable!T324:T955,0.67),"MEDIUM","HIGH"))</f>
        <v>HIGH</v>
      </c>
    </row>
    <row r="325" spans="1:4" x14ac:dyDescent="0.25">
      <c r="A325" t="str">
        <f>TEXT([1]StagingTable!B325,"MMM-YYY")</f>
        <v>Feb-2024</v>
      </c>
      <c r="B325" t="str">
        <f>"Q"&amp;ROUNDUP(MONTH([1]StagingTable!B325)/3,0)&amp;"-"&amp;YEAR([1]StagingTable!D324)</f>
        <v>Q1-2023</v>
      </c>
      <c r="C325" t="str">
        <f>[1]StagingTable!F325&amp;"-"&amp;[1]StagingTable!G325&amp;"-"&amp;[1]StagingTable!H325</f>
        <v>Americas-Brazil-São Paulo</v>
      </c>
      <c r="D325" t="str">
        <f>IF([1]StagingTable!T325&lt;=_xlfn.PERCENTILE.INC([1]StagingTable!T325:T956,0.33),"LOW",IF([1]StagingTable!T325&lt;=_xlfn.PERCENTILE.INC([1]StagingTable!T325:T956,0.67),"MEDIUM","HIGH"))</f>
        <v>LOW</v>
      </c>
    </row>
    <row r="326" spans="1:4" x14ac:dyDescent="0.25">
      <c r="A326" t="str">
        <f>TEXT([1]StagingTable!B326,"MMM-YYY")</f>
        <v>Sep-2024</v>
      </c>
      <c r="B326" t="str">
        <f>"Q"&amp;ROUNDUP(MONTH([1]StagingTable!B326)/3,0)&amp;"-"&amp;YEAR([1]StagingTable!D325)</f>
        <v>Q3-2024</v>
      </c>
      <c r="C326" t="str">
        <f>[1]StagingTable!F326&amp;"-"&amp;[1]StagingTable!G326&amp;"-"&amp;[1]StagingTable!H326</f>
        <v>Americas-Brazil-São Paulo</v>
      </c>
      <c r="D326" t="str">
        <f>IF([1]StagingTable!T326&lt;=_xlfn.PERCENTILE.INC([1]StagingTable!T326:T957,0.33),"LOW",IF([1]StagingTable!T326&lt;=_xlfn.PERCENTILE.INC([1]StagingTable!T326:T957,0.67),"MEDIUM","HIGH"))</f>
        <v>HIGH</v>
      </c>
    </row>
    <row r="327" spans="1:4" x14ac:dyDescent="0.25">
      <c r="A327" t="str">
        <f>TEXT([1]StagingTable!B327,"MMM-YYY")</f>
        <v>May-2023</v>
      </c>
      <c r="B327" t="str">
        <f>"Q"&amp;ROUNDUP(MONTH([1]StagingTable!B327)/3,0)&amp;"-"&amp;YEAR([1]StagingTable!D326)</f>
        <v>Q2-2024</v>
      </c>
      <c r="C327" t="str">
        <f>[1]StagingTable!F327&amp;"-"&amp;[1]StagingTable!G327&amp;"-"&amp;[1]StagingTable!H327</f>
        <v>Africa-South Africa-Durban</v>
      </c>
      <c r="D327" t="str">
        <f>IF([1]StagingTable!T327&lt;=_xlfn.PERCENTILE.INC([1]StagingTable!T327:T958,0.33),"LOW",IF([1]StagingTable!T327&lt;=_xlfn.PERCENTILE.INC([1]StagingTable!T327:T958,0.67),"MEDIUM","HIGH"))</f>
        <v>MEDIUM</v>
      </c>
    </row>
    <row r="328" spans="1:4" x14ac:dyDescent="0.25">
      <c r="A328" t="str">
        <f>TEXT([1]StagingTable!B328,"MMM-YYY")</f>
        <v>Jan-2024</v>
      </c>
      <c r="B328" t="str">
        <f>"Q"&amp;ROUNDUP(MONTH([1]StagingTable!B328)/3,0)&amp;"-"&amp;YEAR([1]StagingTable!D327)</f>
        <v>Q1-2023</v>
      </c>
      <c r="C328" t="str">
        <f>[1]StagingTable!F328&amp;"-"&amp;[1]StagingTable!G328&amp;"-"&amp;[1]StagingTable!H328</f>
        <v>Asia-India-Hyderabad</v>
      </c>
      <c r="D328" t="str">
        <f>IF([1]StagingTable!T328&lt;=_xlfn.PERCENTILE.INC([1]StagingTable!T328:T959,0.33),"LOW",IF([1]StagingTable!T328&lt;=_xlfn.PERCENTILE.INC([1]StagingTable!T328:T959,0.67),"MEDIUM","HIGH"))</f>
        <v>LOW</v>
      </c>
    </row>
    <row r="329" spans="1:4" x14ac:dyDescent="0.25">
      <c r="A329" t="str">
        <f>TEXT([1]StagingTable!B329,"MMM-YYY")</f>
        <v>Jun-2023</v>
      </c>
      <c r="B329" t="str">
        <f>"Q"&amp;ROUNDUP(MONTH([1]StagingTable!B329)/3,0)&amp;"-"&amp;YEAR([1]StagingTable!D328)</f>
        <v>Q2-2024</v>
      </c>
      <c r="C329" t="str">
        <f>[1]StagingTable!F329&amp;"-"&amp;[1]StagingTable!G329&amp;"-"&amp;[1]StagingTable!H329</f>
        <v>Africa-Kenya-Nakuru</v>
      </c>
      <c r="D329" t="str">
        <f>IF([1]StagingTable!T329&lt;=_xlfn.PERCENTILE.INC([1]StagingTable!T329:T960,0.33),"LOW",IF([1]StagingTable!T329&lt;=_xlfn.PERCENTILE.INC([1]StagingTable!T329:T960,0.67),"MEDIUM","HIGH"))</f>
        <v>MEDIUM</v>
      </c>
    </row>
    <row r="330" spans="1:4" x14ac:dyDescent="0.25">
      <c r="A330" t="str">
        <f>TEXT([1]StagingTable!B330,"MMM-YYY")</f>
        <v>May-2025</v>
      </c>
      <c r="B330" t="str">
        <f>"Q"&amp;ROUNDUP(MONTH([1]StagingTable!B330)/3,0)&amp;"-"&amp;YEAR([1]StagingTable!D329)</f>
        <v>Q2-2023</v>
      </c>
      <c r="C330" t="str">
        <f>[1]StagingTable!F330&amp;"-"&amp;[1]StagingTable!G330&amp;"-"&amp;[1]StagingTable!H330</f>
        <v>Americas-Brazil-São Paulo</v>
      </c>
      <c r="D330" t="str">
        <f>IF([1]StagingTable!T330&lt;=_xlfn.PERCENTILE.INC([1]StagingTable!T330:T961,0.33),"LOW",IF([1]StagingTable!T330&lt;=_xlfn.PERCENTILE.INC([1]StagingTable!T330:T961,0.67),"MEDIUM","HIGH"))</f>
        <v>MEDIUM</v>
      </c>
    </row>
    <row r="331" spans="1:4" x14ac:dyDescent="0.25">
      <c r="A331" t="str">
        <f>TEXT([1]StagingTable!B331,"MMM-YYY")</f>
        <v>Oct-2023</v>
      </c>
      <c r="B331" t="str">
        <f>"Q"&amp;ROUNDUP(MONTH([1]StagingTable!B331)/3,0)&amp;"-"&amp;YEAR([1]StagingTable!D330)</f>
        <v>Q4-2025</v>
      </c>
      <c r="C331" t="str">
        <f>[1]StagingTable!F331&amp;"-"&amp;[1]StagingTable!G331&amp;"-"&amp;[1]StagingTable!H331</f>
        <v>Americas-Canada-Toronto</v>
      </c>
      <c r="D331" t="str">
        <f>IF([1]StagingTable!T331&lt;=_xlfn.PERCENTILE.INC([1]StagingTable!T331:T962,0.33),"LOW",IF([1]StagingTable!T331&lt;=_xlfn.PERCENTILE.INC([1]StagingTable!T331:T962,0.67),"MEDIUM","HIGH"))</f>
        <v>HIGH</v>
      </c>
    </row>
    <row r="332" spans="1:4" x14ac:dyDescent="0.25">
      <c r="A332" t="str">
        <f>TEXT([1]StagingTable!B332,"MMM-YYY")</f>
        <v>Jan-2025</v>
      </c>
      <c r="B332" t="str">
        <f>"Q"&amp;ROUNDUP(MONTH([1]StagingTable!B332)/3,0)&amp;"-"&amp;YEAR([1]StagingTable!D331)</f>
        <v>Q1-2023</v>
      </c>
      <c r="C332" t="str">
        <f>[1]StagingTable!F332&amp;"-"&amp;[1]StagingTable!G332&amp;"-"&amp;[1]StagingTable!H332</f>
        <v>Americas-USA-Austin</v>
      </c>
      <c r="D332" t="str">
        <f>IF([1]StagingTable!T332&lt;=_xlfn.PERCENTILE.INC([1]StagingTable!T332:T963,0.33),"LOW",IF([1]StagingTable!T332&lt;=_xlfn.PERCENTILE.INC([1]StagingTable!T332:T963,0.67),"MEDIUM","HIGH"))</f>
        <v>LOW</v>
      </c>
    </row>
    <row r="333" spans="1:4" x14ac:dyDescent="0.25">
      <c r="A333" t="str">
        <f>TEXT([1]StagingTable!B333,"MMM-YYY")</f>
        <v>Sep-2025</v>
      </c>
      <c r="B333" t="str">
        <f>"Q"&amp;ROUNDUP(MONTH([1]StagingTable!B333)/3,0)&amp;"-"&amp;YEAR([1]StagingTable!D332)</f>
        <v>Q3-2025</v>
      </c>
      <c r="C333" t="str">
        <f>[1]StagingTable!F333&amp;"-"&amp;[1]StagingTable!G333&amp;"-"&amp;[1]StagingTable!H333</f>
        <v>Europe-United Kingdom-London</v>
      </c>
      <c r="D333" t="str">
        <f>IF([1]StagingTable!T333&lt;=_xlfn.PERCENTILE.INC([1]StagingTable!T333:T964,0.33),"LOW",IF([1]StagingTable!T333&lt;=_xlfn.PERCENTILE.INC([1]StagingTable!T333:T964,0.67),"MEDIUM","HIGH"))</f>
        <v>LOW</v>
      </c>
    </row>
    <row r="334" spans="1:4" x14ac:dyDescent="0.25">
      <c r="A334" t="str">
        <f>TEXT([1]StagingTable!B334,"MMM-YYY")</f>
        <v>Aug-2023</v>
      </c>
      <c r="B334" t="str">
        <f>"Q"&amp;ROUNDUP(MONTH([1]StagingTable!B334)/3,0)&amp;"-"&amp;YEAR([1]StagingTable!D333)</f>
        <v>Q3-2025</v>
      </c>
      <c r="C334" t="str">
        <f>[1]StagingTable!F334&amp;"-"&amp;[1]StagingTable!G334&amp;"-"&amp;[1]StagingTable!H334</f>
        <v>Asia-India-Delhi</v>
      </c>
      <c r="D334" t="str">
        <f>IF([1]StagingTable!T334&lt;=_xlfn.PERCENTILE.INC([1]StagingTable!T334:T965,0.33),"LOW",IF([1]StagingTable!T334&lt;=_xlfn.PERCENTILE.INC([1]StagingTable!T334:T965,0.67),"MEDIUM","HIGH"))</f>
        <v>HIGH</v>
      </c>
    </row>
    <row r="335" spans="1:4" x14ac:dyDescent="0.25">
      <c r="A335" t="str">
        <f>TEXT([1]StagingTable!B335,"MMM-YYY")</f>
        <v>Nov-2023</v>
      </c>
      <c r="B335" t="str">
        <f>"Q"&amp;ROUNDUP(MONTH([1]StagingTable!B335)/3,0)&amp;"-"&amp;YEAR([1]StagingTable!D334)</f>
        <v>Q4-2023</v>
      </c>
      <c r="C335" t="str">
        <f>[1]StagingTable!F335&amp;"-"&amp;[1]StagingTable!G335&amp;"-"&amp;[1]StagingTable!H335</f>
        <v>Europe-United Kingdom-Manchester</v>
      </c>
      <c r="D335" t="str">
        <f>IF([1]StagingTable!T335&lt;=_xlfn.PERCENTILE.INC([1]StagingTable!T335:T966,0.33),"LOW",IF([1]StagingTable!T335&lt;=_xlfn.PERCENTILE.INC([1]StagingTable!T335:T966,0.67),"MEDIUM","HIGH"))</f>
        <v>MEDIUM</v>
      </c>
    </row>
    <row r="336" spans="1:4" x14ac:dyDescent="0.25">
      <c r="A336" t="str">
        <f>TEXT([1]StagingTable!B336,"MMM-YYY")</f>
        <v>Apr-2025</v>
      </c>
      <c r="B336" t="str">
        <f>"Q"&amp;ROUNDUP(MONTH([1]StagingTable!B336)/3,0)&amp;"-"&amp;YEAR([1]StagingTable!D335)</f>
        <v>Q2-2023</v>
      </c>
      <c r="C336" t="str">
        <f>[1]StagingTable!F336&amp;"-"&amp;[1]StagingTable!G336&amp;"-"&amp;[1]StagingTable!H336</f>
        <v>Asia-India-Unknown</v>
      </c>
      <c r="D336" t="str">
        <f>IF([1]StagingTable!T336&lt;=_xlfn.PERCENTILE.INC([1]StagingTable!T336:T967,0.33),"LOW",IF([1]StagingTable!T336&lt;=_xlfn.PERCENTILE.INC([1]StagingTable!T336:T967,0.67),"MEDIUM","HIGH"))</f>
        <v>MEDIUM</v>
      </c>
    </row>
    <row r="337" spans="1:4" x14ac:dyDescent="0.25">
      <c r="A337" t="str">
        <f>TEXT([1]StagingTable!B337,"MMM-YYY")</f>
        <v>Apr-2024</v>
      </c>
      <c r="B337" t="str">
        <f>"Q"&amp;ROUNDUP(MONTH([1]StagingTable!B337)/3,0)&amp;"-"&amp;YEAR([1]StagingTable!D336)</f>
        <v>Q2-2025</v>
      </c>
      <c r="C337" t="str">
        <f>[1]StagingTable!F337&amp;"-"&amp;[1]StagingTable!G337&amp;"-"&amp;[1]StagingTable!H337</f>
        <v>Europe-France-Lyon</v>
      </c>
      <c r="D337" t="str">
        <f>IF([1]StagingTable!T337&lt;=_xlfn.PERCENTILE.INC([1]StagingTable!T337:T968,0.33),"LOW",IF([1]StagingTable!T337&lt;=_xlfn.PERCENTILE.INC([1]StagingTable!T337:T968,0.67),"MEDIUM","HIGH"))</f>
        <v>HIGH</v>
      </c>
    </row>
    <row r="338" spans="1:4" x14ac:dyDescent="0.25">
      <c r="A338" t="str">
        <f>TEXT([1]StagingTable!B338,"MMM-YYY")</f>
        <v>Jul-2024</v>
      </c>
      <c r="B338" t="str">
        <f>"Q"&amp;ROUNDUP(MONTH([1]StagingTable!B338)/3,0)&amp;"-"&amp;YEAR([1]StagingTable!D337)</f>
        <v>Q3-2024</v>
      </c>
      <c r="C338" t="str">
        <f>[1]StagingTable!F338&amp;"-"&amp;[1]StagingTable!G338&amp;"-"&amp;[1]StagingTable!H338</f>
        <v>Asia-China-Shenzhen</v>
      </c>
      <c r="D338" t="str">
        <f>IF([1]StagingTable!T338&lt;=_xlfn.PERCENTILE.INC([1]StagingTable!T338:T969,0.33),"LOW",IF([1]StagingTable!T338&lt;=_xlfn.PERCENTILE.INC([1]StagingTable!T338:T969,0.67),"MEDIUM","HIGH"))</f>
        <v>MEDIUM</v>
      </c>
    </row>
    <row r="339" spans="1:4" x14ac:dyDescent="0.25">
      <c r="A339" t="str">
        <f>TEXT([1]StagingTable!B339,"MMM-YYY")</f>
        <v>Feb-2024</v>
      </c>
      <c r="B339" t="str">
        <f>"Q"&amp;ROUNDUP(MONTH([1]StagingTable!B339)/3,0)&amp;"-"&amp;YEAR([1]StagingTable!D338)</f>
        <v>Q1-2024</v>
      </c>
      <c r="C339" t="str">
        <f>[1]StagingTable!F339&amp;"-"&amp;[1]StagingTable!G339&amp;"-"&amp;[1]StagingTable!H339</f>
        <v>Americas-Brazil-Unknown</v>
      </c>
      <c r="D339" t="str">
        <f>IF([1]StagingTable!T339&lt;=_xlfn.PERCENTILE.INC([1]StagingTable!T339:T970,0.33),"LOW",IF([1]StagingTable!T339&lt;=_xlfn.PERCENTILE.INC([1]StagingTable!T339:T970,0.67),"MEDIUM","HIGH"))</f>
        <v>MEDIUM</v>
      </c>
    </row>
    <row r="340" spans="1:4" x14ac:dyDescent="0.25">
      <c r="A340" t="str">
        <f>TEXT([1]StagingTable!B340,"MMM-YYY")</f>
        <v>Jul-2023</v>
      </c>
      <c r="B340" t="str">
        <f>"Q"&amp;ROUNDUP(MONTH([1]StagingTable!B340)/3,0)&amp;"-"&amp;YEAR([1]StagingTable!D339)</f>
        <v>Q3-2024</v>
      </c>
      <c r="C340" t="str">
        <f>[1]StagingTable!F340&amp;"-"&amp;[1]StagingTable!G340&amp;"-"&amp;[1]StagingTable!H340</f>
        <v>Africa-Nigeria-Port Harcourt</v>
      </c>
      <c r="D340" t="str">
        <f>IF([1]StagingTable!T340&lt;=_xlfn.PERCENTILE.INC([1]StagingTable!T340:T971,0.33),"LOW",IF([1]StagingTable!T340&lt;=_xlfn.PERCENTILE.INC([1]StagingTable!T340:T971,0.67),"MEDIUM","HIGH"))</f>
        <v>LOW</v>
      </c>
    </row>
    <row r="341" spans="1:4" x14ac:dyDescent="0.25">
      <c r="A341" t="str">
        <f>TEXT([1]StagingTable!B341,"MMM-YYY")</f>
        <v>Jul-2023</v>
      </c>
      <c r="B341" t="str">
        <f>"Q"&amp;ROUNDUP(MONTH([1]StagingTable!B341)/3,0)&amp;"-"&amp;YEAR([1]StagingTable!D340)</f>
        <v>Q3-2023</v>
      </c>
      <c r="C341" t="str">
        <f>[1]StagingTable!F341&amp;"-"&amp;[1]StagingTable!G341&amp;"-"&amp;[1]StagingTable!H341</f>
        <v>Africa-South Africa-Durban</v>
      </c>
      <c r="D341" t="str">
        <f>IF([1]StagingTable!T341&lt;=_xlfn.PERCENTILE.INC([1]StagingTable!T341:T972,0.33),"LOW",IF([1]StagingTable!T341&lt;=_xlfn.PERCENTILE.INC([1]StagingTable!T341:T972,0.67),"MEDIUM","HIGH"))</f>
        <v>MEDIUM</v>
      </c>
    </row>
    <row r="342" spans="1:4" x14ac:dyDescent="0.25">
      <c r="A342" t="str">
        <f>TEXT([1]StagingTable!B342,"MMM-YYY")</f>
        <v>Jul-2023</v>
      </c>
      <c r="B342" t="str">
        <f>"Q"&amp;ROUNDUP(MONTH([1]StagingTable!B342)/3,0)&amp;"-"&amp;YEAR([1]StagingTable!D341)</f>
        <v>Q3-2023</v>
      </c>
      <c r="C342" t="str">
        <f>[1]StagingTable!F342&amp;"-"&amp;[1]StagingTable!G342&amp;"-"&amp;[1]StagingTable!H342</f>
        <v>Africa-Kenya-Nairobi</v>
      </c>
      <c r="D342" t="str">
        <f>IF([1]StagingTable!T342&lt;=_xlfn.PERCENTILE.INC([1]StagingTable!T342:T973,0.33),"LOW",IF([1]StagingTable!T342&lt;=_xlfn.PERCENTILE.INC([1]StagingTable!T342:T973,0.67),"MEDIUM","HIGH"))</f>
        <v>MEDIUM</v>
      </c>
    </row>
    <row r="343" spans="1:4" x14ac:dyDescent="0.25">
      <c r="A343" t="str">
        <f>TEXT([1]StagingTable!B343,"MMM-YYY")</f>
        <v>Apr-2023</v>
      </c>
      <c r="B343" t="str">
        <f>"Q"&amp;ROUNDUP(MONTH([1]StagingTable!B343)/3,0)&amp;"-"&amp;YEAR([1]StagingTable!D342)</f>
        <v>Q2-2023</v>
      </c>
      <c r="C343" t="str">
        <f>[1]StagingTable!F343&amp;"-"&amp;[1]StagingTable!G343&amp;"-"&amp;[1]StagingTable!H343</f>
        <v>Americas-USA-San Francisco</v>
      </c>
      <c r="D343" t="str">
        <f>IF([1]StagingTable!T343&lt;=_xlfn.PERCENTILE.INC([1]StagingTable!T343:T974,0.33),"LOW",IF([1]StagingTable!T343&lt;=_xlfn.PERCENTILE.INC([1]StagingTable!T343:T974,0.67),"MEDIUM","HIGH"))</f>
        <v>LOW</v>
      </c>
    </row>
    <row r="344" spans="1:4" x14ac:dyDescent="0.25">
      <c r="A344" t="str">
        <f>TEXT([1]StagingTable!B344,"MMM-YYY")</f>
        <v>Oct-2024</v>
      </c>
      <c r="B344" t="str">
        <f>"Q"&amp;ROUNDUP(MONTH([1]StagingTable!B344)/3,0)&amp;"-"&amp;YEAR([1]StagingTable!D343)</f>
        <v>Q4-2023</v>
      </c>
      <c r="C344" t="str">
        <f>[1]StagingTable!F344&amp;"-"&amp;[1]StagingTable!G344&amp;"-"&amp;[1]StagingTable!H344</f>
        <v>Africa-Kenya-Nairobi</v>
      </c>
      <c r="D344" t="str">
        <f>IF([1]StagingTable!T344&lt;=_xlfn.PERCENTILE.INC([1]StagingTable!T344:T975,0.33),"LOW",IF([1]StagingTable!T344&lt;=_xlfn.PERCENTILE.INC([1]StagingTable!T344:T975,0.67),"MEDIUM","HIGH"))</f>
        <v>HIGH</v>
      </c>
    </row>
    <row r="345" spans="1:4" x14ac:dyDescent="0.25">
      <c r="A345" t="str">
        <f>TEXT([1]StagingTable!B345,"MMM-YYY")</f>
        <v>Feb-2024</v>
      </c>
      <c r="B345" t="str">
        <f>"Q"&amp;ROUNDUP(MONTH([1]StagingTable!B345)/3,0)&amp;"-"&amp;YEAR([1]StagingTable!D344)</f>
        <v>Q1-2024</v>
      </c>
      <c r="C345" t="str">
        <f>[1]StagingTable!F345&amp;"-"&amp;[1]StagingTable!G345&amp;"-"&amp;[1]StagingTable!H345</f>
        <v>Asia-India-Delhi</v>
      </c>
      <c r="D345" t="str">
        <f>IF([1]StagingTable!T345&lt;=_xlfn.PERCENTILE.INC([1]StagingTable!T345:T976,0.33),"LOW",IF([1]StagingTable!T345&lt;=_xlfn.PERCENTILE.INC([1]StagingTable!T345:T976,0.67),"MEDIUM","HIGH"))</f>
        <v>HIGH</v>
      </c>
    </row>
    <row r="346" spans="1:4" x14ac:dyDescent="0.25">
      <c r="A346" t="str">
        <f>TEXT([1]StagingTable!B346,"MMM-YYY")</f>
        <v>Jul-2024</v>
      </c>
      <c r="B346" t="str">
        <f>"Q"&amp;ROUNDUP(MONTH([1]StagingTable!B346)/3,0)&amp;"-"&amp;YEAR([1]StagingTable!D345)</f>
        <v>Q3-2024</v>
      </c>
      <c r="C346" t="str">
        <f>[1]StagingTable!F346&amp;"-"&amp;[1]StagingTable!G346&amp;"-"&amp;[1]StagingTable!H346</f>
        <v>Asia-Japan-Nagoya</v>
      </c>
      <c r="D346" t="str">
        <f>IF([1]StagingTable!T346&lt;=_xlfn.PERCENTILE.INC([1]StagingTable!T346:T977,0.33),"LOW",IF([1]StagingTable!T346&lt;=_xlfn.PERCENTILE.INC([1]StagingTable!T346:T977,0.67),"MEDIUM","HIGH"))</f>
        <v>LOW</v>
      </c>
    </row>
    <row r="347" spans="1:4" x14ac:dyDescent="0.25">
      <c r="A347" t="str">
        <f>TEXT([1]StagingTable!B347,"MMM-YYY")</f>
        <v>Dec-2023</v>
      </c>
      <c r="B347" t="str">
        <f>"Q"&amp;ROUNDUP(MONTH([1]StagingTable!B347)/3,0)&amp;"-"&amp;YEAR([1]StagingTable!D346)</f>
        <v>Q4-2024</v>
      </c>
      <c r="C347" t="str">
        <f>[1]StagingTable!F347&amp;"-"&amp;[1]StagingTable!G347&amp;"-"&amp;[1]StagingTable!H347</f>
        <v>Asia-Japan-Nagoya</v>
      </c>
      <c r="D347" t="str">
        <f>IF([1]StagingTable!T347&lt;=_xlfn.PERCENTILE.INC([1]StagingTable!T347:T978,0.33),"LOW",IF([1]StagingTable!T347&lt;=_xlfn.PERCENTILE.INC([1]StagingTable!T347:T978,0.67),"MEDIUM","HIGH"))</f>
        <v>HIGH</v>
      </c>
    </row>
    <row r="348" spans="1:4" x14ac:dyDescent="0.25">
      <c r="A348" t="str">
        <f>TEXT([1]StagingTable!B348,"MMM-YYY")</f>
        <v>Jul-2024</v>
      </c>
      <c r="B348" t="str">
        <f>"Q"&amp;ROUNDUP(MONTH([1]StagingTable!B348)/3,0)&amp;"-"&amp;YEAR([1]StagingTable!D347)</f>
        <v>Q3-2023</v>
      </c>
      <c r="C348" t="str">
        <f>[1]StagingTable!F348&amp;"-"&amp;[1]StagingTable!G348&amp;"-"&amp;[1]StagingTable!H348</f>
        <v>Americas-Canada-Montreal</v>
      </c>
      <c r="D348" t="str">
        <f>IF([1]StagingTable!T348&lt;=_xlfn.PERCENTILE.INC([1]StagingTable!T348:T979,0.33),"LOW",IF([1]StagingTable!T348&lt;=_xlfn.PERCENTILE.INC([1]StagingTable!T348:T979,0.67),"MEDIUM","HIGH"))</f>
        <v>HIGH</v>
      </c>
    </row>
    <row r="349" spans="1:4" x14ac:dyDescent="0.25">
      <c r="A349" t="str">
        <f>TEXT([1]StagingTable!B349,"MMM-YYY")</f>
        <v>May-2023</v>
      </c>
      <c r="B349" t="str">
        <f>"Q"&amp;ROUNDUP(MONTH([1]StagingTable!B349)/3,0)&amp;"-"&amp;YEAR([1]StagingTable!D348)</f>
        <v>Q2-2024</v>
      </c>
      <c r="C349" t="str">
        <f>[1]StagingTable!F349&amp;"-"&amp;[1]StagingTable!G349&amp;"-"&amp;[1]StagingTable!H349</f>
        <v>Africa-Nigeria-Abuja</v>
      </c>
      <c r="D349" t="str">
        <f>IF([1]StagingTable!T349&lt;=_xlfn.PERCENTILE.INC([1]StagingTable!T349:T980,0.33),"LOW",IF([1]StagingTable!T349&lt;=_xlfn.PERCENTILE.INC([1]StagingTable!T349:T980,0.67),"MEDIUM","HIGH"))</f>
        <v>LOW</v>
      </c>
    </row>
    <row r="350" spans="1:4" x14ac:dyDescent="0.25">
      <c r="A350" t="str">
        <f>TEXT([1]StagingTable!B350,"MMM-YYY")</f>
        <v>Dec-2023</v>
      </c>
      <c r="B350" t="str">
        <f>"Q"&amp;ROUNDUP(MONTH([1]StagingTable!B350)/3,0)&amp;"-"&amp;YEAR([1]StagingTable!D349)</f>
        <v>Q4-2023</v>
      </c>
      <c r="C350" t="str">
        <f>[1]StagingTable!F350&amp;"-"&amp;[1]StagingTable!G350&amp;"-"&amp;[1]StagingTable!H350</f>
        <v>Africa-Nigeria-Unknown</v>
      </c>
      <c r="D350" t="str">
        <f>IF([1]StagingTable!T350&lt;=_xlfn.PERCENTILE.INC([1]StagingTable!T350:T981,0.33),"LOW",IF([1]StagingTable!T350&lt;=_xlfn.PERCENTILE.INC([1]StagingTable!T350:T981,0.67),"MEDIUM","HIGH"))</f>
        <v>HIGH</v>
      </c>
    </row>
    <row r="351" spans="1:4" x14ac:dyDescent="0.25">
      <c r="A351" t="str">
        <f>TEXT([1]StagingTable!B351,"MMM-YYY")</f>
        <v>Jun-2025</v>
      </c>
      <c r="B351" t="str">
        <f>"Q"&amp;ROUNDUP(MONTH([1]StagingTable!B351)/3,0)&amp;"-"&amp;YEAR([1]StagingTable!D350)</f>
        <v>Q2-2024</v>
      </c>
      <c r="C351" t="str">
        <f>[1]StagingTable!F351&amp;"-"&amp;[1]StagingTable!G351&amp;"-"&amp;[1]StagingTable!H351</f>
        <v>Asia-India-Delhi</v>
      </c>
      <c r="D351" t="str">
        <f>IF([1]StagingTable!T351&lt;=_xlfn.PERCENTILE.INC([1]StagingTable!T351:T982,0.33),"LOW",IF([1]StagingTable!T351&lt;=_xlfn.PERCENTILE.INC([1]StagingTable!T351:T982,0.67),"MEDIUM","HIGH"))</f>
        <v>HIGH</v>
      </c>
    </row>
    <row r="352" spans="1:4" x14ac:dyDescent="0.25">
      <c r="A352" t="str">
        <f>TEXT([1]StagingTable!B352,"MMM-YYY")</f>
        <v>Feb-2023</v>
      </c>
      <c r="B352" t="str">
        <f>"Q"&amp;ROUNDUP(MONTH([1]StagingTable!B352)/3,0)&amp;"-"&amp;YEAR([1]StagingTable!D351)</f>
        <v>Q1-2025</v>
      </c>
      <c r="C352" t="str">
        <f>[1]StagingTable!F352&amp;"-"&amp;[1]StagingTable!G352&amp;"-"&amp;[1]StagingTable!H352</f>
        <v>Europe-United Kingdom-Manchester</v>
      </c>
      <c r="D352" t="str">
        <f>IF([1]StagingTable!T352&lt;=_xlfn.PERCENTILE.INC([1]StagingTable!T352:T983,0.33),"LOW",IF([1]StagingTable!T352&lt;=_xlfn.PERCENTILE.INC([1]StagingTable!T352:T983,0.67),"MEDIUM","HIGH"))</f>
        <v>LOW</v>
      </c>
    </row>
    <row r="353" spans="1:4" x14ac:dyDescent="0.25">
      <c r="A353" t="str">
        <f>TEXT([1]StagingTable!B353,"MMM-YYY")</f>
        <v>Dec-2023</v>
      </c>
      <c r="B353" t="str">
        <f>"Q"&amp;ROUNDUP(MONTH([1]StagingTable!B353)/3,0)&amp;"-"&amp;YEAR([1]StagingTable!D352)</f>
        <v>Q4-2023</v>
      </c>
      <c r="C353" t="str">
        <f>[1]StagingTable!F353&amp;"-"&amp;[1]StagingTable!G353&amp;"-"&amp;[1]StagingTable!H353</f>
        <v>Europe-Germany-Frankfurt</v>
      </c>
      <c r="D353" t="str">
        <f>IF([1]StagingTable!T353&lt;=_xlfn.PERCENTILE.INC([1]StagingTable!T353:T984,0.33),"LOW",IF([1]StagingTable!T353&lt;=_xlfn.PERCENTILE.INC([1]StagingTable!T353:T984,0.67),"MEDIUM","HIGH"))</f>
        <v>MEDIUM</v>
      </c>
    </row>
    <row r="354" spans="1:4" x14ac:dyDescent="0.25">
      <c r="A354" t="str">
        <f>TEXT([1]StagingTable!B354,"MMM-YYY")</f>
        <v>Jul-2023</v>
      </c>
      <c r="B354" t="str">
        <f>"Q"&amp;ROUNDUP(MONTH([1]StagingTable!B354)/3,0)&amp;"-"&amp;YEAR([1]StagingTable!D353)</f>
        <v>Q3-2023</v>
      </c>
      <c r="C354" t="str">
        <f>[1]StagingTable!F354&amp;"-"&amp;[1]StagingTable!G354&amp;"-"&amp;[1]StagingTable!H354</f>
        <v>Africa-Nigeria-Lagos</v>
      </c>
      <c r="D354" t="str">
        <f>IF([1]StagingTable!T354&lt;=_xlfn.PERCENTILE.INC([1]StagingTable!T354:T985,0.33),"LOW",IF([1]StagingTable!T354&lt;=_xlfn.PERCENTILE.INC([1]StagingTable!T354:T985,0.67),"MEDIUM","HIGH"))</f>
        <v>MEDIUM</v>
      </c>
    </row>
    <row r="355" spans="1:4" x14ac:dyDescent="0.25">
      <c r="A355" t="str">
        <f>TEXT([1]StagingTable!B355,"MMM-YYY")</f>
        <v>Aug-2024</v>
      </c>
      <c r="B355" t="str">
        <f>"Q"&amp;ROUNDUP(MONTH([1]StagingTable!B355)/3,0)&amp;"-"&amp;YEAR([1]StagingTable!D354)</f>
        <v>Q3-2023</v>
      </c>
      <c r="C355" t="str">
        <f>[1]StagingTable!F355&amp;"-"&amp;[1]StagingTable!G355&amp;"-"&amp;[1]StagingTable!H355</f>
        <v>Asia-Japan-Osaka</v>
      </c>
      <c r="D355" t="str">
        <f>IF([1]StagingTable!T355&lt;=_xlfn.PERCENTILE.INC([1]StagingTable!T355:T986,0.33),"LOW",IF([1]StagingTable!T355&lt;=_xlfn.PERCENTILE.INC([1]StagingTable!T355:T986,0.67),"MEDIUM","HIGH"))</f>
        <v>HIGH</v>
      </c>
    </row>
    <row r="356" spans="1:4" x14ac:dyDescent="0.25">
      <c r="A356" t="str">
        <f>TEXT([1]StagingTable!B356,"MMM-YYY")</f>
        <v>Nov-2024</v>
      </c>
      <c r="B356" t="str">
        <f>"Q"&amp;ROUNDUP(MONTH([1]StagingTable!B356)/3,0)&amp;"-"&amp;YEAR([1]StagingTable!D355)</f>
        <v>Q4-2024</v>
      </c>
      <c r="C356" t="str">
        <f>[1]StagingTable!F356&amp;"-"&amp;[1]StagingTable!G356&amp;"-"&amp;[1]StagingTable!H356</f>
        <v>Americas-Brazil-Rio de Janeiro</v>
      </c>
      <c r="D356" t="str">
        <f>IF([1]StagingTable!T356&lt;=_xlfn.PERCENTILE.INC([1]StagingTable!T356:T987,0.33),"LOW",IF([1]StagingTable!T356&lt;=_xlfn.PERCENTILE.INC([1]StagingTable!T356:T987,0.67),"MEDIUM","HIGH"))</f>
        <v>LOW</v>
      </c>
    </row>
    <row r="357" spans="1:4" x14ac:dyDescent="0.25">
      <c r="A357" t="str">
        <f>TEXT([1]StagingTable!B357,"MMM-YYY")</f>
        <v>Jan-2024</v>
      </c>
      <c r="B357" t="str">
        <f>"Q"&amp;ROUNDUP(MONTH([1]StagingTable!B357)/3,0)&amp;"-"&amp;YEAR([1]StagingTable!D356)</f>
        <v>Q1-2024</v>
      </c>
      <c r="C357" t="str">
        <f>[1]StagingTable!F357&amp;"-"&amp;[1]StagingTable!G357&amp;"-"&amp;[1]StagingTable!H357</f>
        <v>Europe-United Kingdom-Manchester</v>
      </c>
      <c r="D357" t="str">
        <f>IF([1]StagingTable!T357&lt;=_xlfn.PERCENTILE.INC([1]StagingTable!T357:T988,0.33),"LOW",IF([1]StagingTable!T357&lt;=_xlfn.PERCENTILE.INC([1]StagingTable!T357:T988,0.67),"MEDIUM","HIGH"))</f>
        <v>MEDIUM</v>
      </c>
    </row>
    <row r="358" spans="1:4" x14ac:dyDescent="0.25">
      <c r="A358" t="str">
        <f>TEXT([1]StagingTable!B358,"MMM-YYY")</f>
        <v>Aug-2025</v>
      </c>
      <c r="B358" t="str">
        <f>"Q"&amp;ROUNDUP(MONTH([1]StagingTable!B358)/3,0)&amp;"-"&amp;YEAR([1]StagingTable!D357)</f>
        <v>Q3-2024</v>
      </c>
      <c r="C358" t="str">
        <f>[1]StagingTable!F358&amp;"-"&amp;[1]StagingTable!G358&amp;"-"&amp;[1]StagingTable!H358</f>
        <v>Americas-Brazil-São Paulo</v>
      </c>
      <c r="D358" t="str">
        <f>IF([1]StagingTable!T358&lt;=_xlfn.PERCENTILE.INC([1]StagingTable!T358:T989,0.33),"LOW",IF([1]StagingTable!T358&lt;=_xlfn.PERCENTILE.INC([1]StagingTable!T358:T989,0.67),"MEDIUM","HIGH"))</f>
        <v>HIGH</v>
      </c>
    </row>
    <row r="359" spans="1:4" x14ac:dyDescent="0.25">
      <c r="A359" t="str">
        <f>TEXT([1]StagingTable!B359,"MMM-YYY")</f>
        <v>Apr-2024</v>
      </c>
      <c r="B359" t="str">
        <f>"Q"&amp;ROUNDUP(MONTH([1]StagingTable!B359)/3,0)&amp;"-"&amp;YEAR([1]StagingTable!D358)</f>
        <v>Q2-2025</v>
      </c>
      <c r="C359" t="str">
        <f>[1]StagingTable!F359&amp;"-"&amp;[1]StagingTable!G359&amp;"-"&amp;[1]StagingTable!H359</f>
        <v>Americas-Brazil-Brasília</v>
      </c>
      <c r="D359" t="str">
        <f>IF([1]StagingTable!T359&lt;=_xlfn.PERCENTILE.INC([1]StagingTable!T359:T990,0.33),"LOW",IF([1]StagingTable!T359&lt;=_xlfn.PERCENTILE.INC([1]StagingTable!T359:T990,0.67),"MEDIUM","HIGH"))</f>
        <v>HIGH</v>
      </c>
    </row>
    <row r="360" spans="1:4" x14ac:dyDescent="0.25">
      <c r="A360" t="str">
        <f>TEXT([1]StagingTable!B360,"MMM-YYY")</f>
        <v>Nov-2024</v>
      </c>
      <c r="B360" t="str">
        <f>"Q"&amp;ROUNDUP(MONTH([1]StagingTable!B360)/3,0)&amp;"-"&amp;YEAR([1]StagingTable!D359)</f>
        <v>Q4-2024</v>
      </c>
      <c r="C360" t="str">
        <f>[1]StagingTable!F360&amp;"-"&amp;[1]StagingTable!G360&amp;"-"&amp;[1]StagingTable!H360</f>
        <v>Asia-China-Shanghai</v>
      </c>
      <c r="D360" t="str">
        <f>IF([1]StagingTable!T360&lt;=_xlfn.PERCENTILE.INC([1]StagingTable!T360:T991,0.33),"LOW",IF([1]StagingTable!T360&lt;=_xlfn.PERCENTILE.INC([1]StagingTable!T360:T991,0.67),"MEDIUM","HIGH"))</f>
        <v>LOW</v>
      </c>
    </row>
    <row r="361" spans="1:4" x14ac:dyDescent="0.25">
      <c r="A361" t="str">
        <f>TEXT([1]StagingTable!B361,"MMM-YYY")</f>
        <v>Jan-2024</v>
      </c>
      <c r="B361" t="str">
        <f>"Q"&amp;ROUNDUP(MONTH([1]StagingTable!B361)/3,0)&amp;"-"&amp;YEAR([1]StagingTable!D360)</f>
        <v>Q1-2024</v>
      </c>
      <c r="C361" t="str">
        <f>[1]StagingTable!F361&amp;"-"&amp;[1]StagingTable!G361&amp;"-"&amp;[1]StagingTable!H361</f>
        <v>Africa-South Africa-Cape Town</v>
      </c>
      <c r="D361" t="str">
        <f>IF([1]StagingTable!T361&lt;=_xlfn.PERCENTILE.INC([1]StagingTable!T361:T992,0.33),"LOW",IF([1]StagingTable!T361&lt;=_xlfn.PERCENTILE.INC([1]StagingTable!T361:T992,0.67),"MEDIUM","HIGH"))</f>
        <v>MEDIUM</v>
      </c>
    </row>
    <row r="362" spans="1:4" x14ac:dyDescent="0.25">
      <c r="A362" t="str">
        <f>TEXT([1]StagingTable!B362,"MMM-YYY")</f>
        <v>Jun-2024</v>
      </c>
      <c r="B362" t="str">
        <f>"Q"&amp;ROUNDUP(MONTH([1]StagingTable!B362)/3,0)&amp;"-"&amp;YEAR([1]StagingTable!D361)</f>
        <v>Q2-2024</v>
      </c>
      <c r="C362" t="str">
        <f>[1]StagingTable!F362&amp;"-"&amp;[1]StagingTable!G362&amp;"-"&amp;[1]StagingTable!H362</f>
        <v>Europe-United Kingdom-Birmingham</v>
      </c>
      <c r="D362" t="str">
        <f>IF([1]StagingTable!T362&lt;=_xlfn.PERCENTILE.INC([1]StagingTable!T362:T993,0.33),"LOW",IF([1]StagingTable!T362&lt;=_xlfn.PERCENTILE.INC([1]StagingTable!T362:T993,0.67),"MEDIUM","HIGH"))</f>
        <v>HIGH</v>
      </c>
    </row>
    <row r="363" spans="1:4" x14ac:dyDescent="0.25">
      <c r="A363" t="str">
        <f>TEXT([1]StagingTable!B363,"MMM-YYY")</f>
        <v>Jun-2025</v>
      </c>
      <c r="B363" t="str">
        <f>"Q"&amp;ROUNDUP(MONTH([1]StagingTable!B363)/3,0)&amp;"-"&amp;YEAR([1]StagingTable!D362)</f>
        <v>Q2-2024</v>
      </c>
      <c r="C363" t="str">
        <f>[1]StagingTable!F363&amp;"-"&amp;[1]StagingTable!G363&amp;"-"&amp;[1]StagingTable!H363</f>
        <v>Europe-United Kingdom-Birmingham</v>
      </c>
      <c r="D363" t="str">
        <f>IF([1]StagingTable!T363&lt;=_xlfn.PERCENTILE.INC([1]StagingTable!T363:T994,0.33),"LOW",IF([1]StagingTable!T363&lt;=_xlfn.PERCENTILE.INC([1]StagingTable!T363:T994,0.67),"MEDIUM","HIGH"))</f>
        <v>LOW</v>
      </c>
    </row>
    <row r="364" spans="1:4" x14ac:dyDescent="0.25">
      <c r="A364" t="str">
        <f>TEXT([1]StagingTable!B364,"MMM-YYY")</f>
        <v>Jul-2023</v>
      </c>
      <c r="B364" t="str">
        <f>"Q"&amp;ROUNDUP(MONTH([1]StagingTable!B364)/3,0)&amp;"-"&amp;YEAR([1]StagingTable!D363)</f>
        <v>Q3-2025</v>
      </c>
      <c r="C364" t="str">
        <f>[1]StagingTable!F364&amp;"-"&amp;[1]StagingTable!G364&amp;"-"&amp;[1]StagingTable!H364</f>
        <v>Africa-Nigeria-Port Harcourt</v>
      </c>
      <c r="D364" t="str">
        <f>IF([1]StagingTable!T364&lt;=_xlfn.PERCENTILE.INC([1]StagingTable!T364:T995,0.33),"LOW",IF([1]StagingTable!T364&lt;=_xlfn.PERCENTILE.INC([1]StagingTable!T364:T995,0.67),"MEDIUM","HIGH"))</f>
        <v>HIGH</v>
      </c>
    </row>
    <row r="365" spans="1:4" x14ac:dyDescent="0.25">
      <c r="A365" t="str">
        <f>TEXT([1]StagingTable!B365,"MMM-YYY")</f>
        <v>Mar-2024</v>
      </c>
      <c r="B365" t="str">
        <f>"Q"&amp;ROUNDUP(MONTH([1]StagingTable!B365)/3,0)&amp;"-"&amp;YEAR([1]StagingTable!D364)</f>
        <v>Q1-2023</v>
      </c>
      <c r="C365" t="str">
        <f>[1]StagingTable!F365&amp;"-"&amp;[1]StagingTable!G365&amp;"-"&amp;[1]StagingTable!H365</f>
        <v>Asia-China-Shenzhen</v>
      </c>
      <c r="D365" t="str">
        <f>IF([1]StagingTable!T365&lt;=_xlfn.PERCENTILE.INC([1]StagingTable!T365:T996,0.33),"LOW",IF([1]StagingTable!T365&lt;=_xlfn.PERCENTILE.INC([1]StagingTable!T365:T996,0.67),"MEDIUM","HIGH"))</f>
        <v>MEDIUM</v>
      </c>
    </row>
    <row r="366" spans="1:4" x14ac:dyDescent="0.25">
      <c r="A366" t="str">
        <f>TEXT([1]StagingTable!B366,"MMM-YYY")</f>
        <v>Jun-2023</v>
      </c>
      <c r="B366" t="str">
        <f>"Q"&amp;ROUNDUP(MONTH([1]StagingTable!B366)/3,0)&amp;"-"&amp;YEAR([1]StagingTable!D365)</f>
        <v>Q2-2024</v>
      </c>
      <c r="C366" t="str">
        <f>[1]StagingTable!F366&amp;"-"&amp;[1]StagingTable!G366&amp;"-"&amp;[1]StagingTable!H366</f>
        <v>Europe-United Kingdom-Birmingham</v>
      </c>
      <c r="D366" t="str">
        <f>IF([1]StagingTable!T366&lt;=_xlfn.PERCENTILE.INC([1]StagingTable!T366:T997,0.33),"LOW",IF([1]StagingTable!T366&lt;=_xlfn.PERCENTILE.INC([1]StagingTable!T366:T997,0.67),"MEDIUM","HIGH"))</f>
        <v>LOW</v>
      </c>
    </row>
    <row r="367" spans="1:4" x14ac:dyDescent="0.25">
      <c r="A367" t="str">
        <f>TEXT([1]StagingTable!B367,"MMM-YYY")</f>
        <v>Mar-2025</v>
      </c>
      <c r="B367" t="str">
        <f>"Q"&amp;ROUNDUP(MONTH([1]StagingTable!B367)/3,0)&amp;"-"&amp;YEAR([1]StagingTable!D366)</f>
        <v>Q1-2023</v>
      </c>
      <c r="C367" t="str">
        <f>[1]StagingTable!F367&amp;"-"&amp;[1]StagingTable!G367&amp;"-"&amp;[1]StagingTable!H367</f>
        <v>Asia-Japan-Tokyo</v>
      </c>
      <c r="D367" t="str">
        <f>IF([1]StagingTable!T367&lt;=_xlfn.PERCENTILE.INC([1]StagingTable!T367:T998,0.33),"LOW",IF([1]StagingTable!T367&lt;=_xlfn.PERCENTILE.INC([1]StagingTable!T367:T998,0.67),"MEDIUM","HIGH"))</f>
        <v>MEDIUM</v>
      </c>
    </row>
    <row r="368" spans="1:4" x14ac:dyDescent="0.25">
      <c r="A368" t="str">
        <f>TEXT([1]StagingTable!B368,"MMM-YYY")</f>
        <v>Jun-2024</v>
      </c>
      <c r="B368" t="str">
        <f>"Q"&amp;ROUNDUP(MONTH([1]StagingTable!B368)/3,0)&amp;"-"&amp;YEAR([1]StagingTable!D367)</f>
        <v>Q2-2025</v>
      </c>
      <c r="C368" t="str">
        <f>[1]StagingTable!F368&amp;"-"&amp;[1]StagingTable!G368&amp;"-"&amp;[1]StagingTable!H368</f>
        <v>Africa-Kenya-Mombasa</v>
      </c>
      <c r="D368" t="str">
        <f>IF([1]StagingTable!T368&lt;=_xlfn.PERCENTILE.INC([1]StagingTable!T368:T999,0.33),"LOW",IF([1]StagingTable!T368&lt;=_xlfn.PERCENTILE.INC([1]StagingTable!T368:T999,0.67),"MEDIUM","HIGH"))</f>
        <v>HIGH</v>
      </c>
    </row>
    <row r="369" spans="1:4" x14ac:dyDescent="0.25">
      <c r="A369" t="str">
        <f>TEXT([1]StagingTable!B369,"MMM-YYY")</f>
        <v>Mar-2025</v>
      </c>
      <c r="B369" t="str">
        <f>"Q"&amp;ROUNDUP(MONTH([1]StagingTable!B369)/3,0)&amp;"-"&amp;YEAR([1]StagingTable!D368)</f>
        <v>Q1-2024</v>
      </c>
      <c r="C369" t="str">
        <f>[1]StagingTable!F369&amp;"-"&amp;[1]StagingTable!G369&amp;"-"&amp;[1]StagingTable!H369</f>
        <v>Asia-India-Mumbai</v>
      </c>
      <c r="D369" t="str">
        <f>IF([1]StagingTable!T369&lt;=_xlfn.PERCENTILE.INC([1]StagingTable!T369:T1000,0.33),"LOW",IF([1]StagingTable!T369&lt;=_xlfn.PERCENTILE.INC([1]StagingTable!T369:T1000,0.67),"MEDIUM","HIGH"))</f>
        <v>HIGH</v>
      </c>
    </row>
    <row r="370" spans="1:4" x14ac:dyDescent="0.25">
      <c r="A370" t="str">
        <f>TEXT([1]StagingTable!B370,"MMM-YYY")</f>
        <v>Sep-2023</v>
      </c>
      <c r="B370" t="str">
        <f>"Q"&amp;ROUNDUP(MONTH([1]StagingTable!B370)/3,0)&amp;"-"&amp;YEAR([1]StagingTable!D369)</f>
        <v>Q3-2025</v>
      </c>
      <c r="C370" t="str">
        <f>[1]StagingTable!F370&amp;"-"&amp;[1]StagingTable!G370&amp;"-"&amp;[1]StagingTable!H370</f>
        <v>Americas-USA-New York</v>
      </c>
      <c r="D370" t="str">
        <f>IF([1]StagingTable!T370&lt;=_xlfn.PERCENTILE.INC([1]StagingTable!T370:T1001,0.33),"LOW",IF([1]StagingTable!T370&lt;=_xlfn.PERCENTILE.INC([1]StagingTable!T370:T1001,0.67),"MEDIUM","HIGH"))</f>
        <v>HIGH</v>
      </c>
    </row>
    <row r="371" spans="1:4" x14ac:dyDescent="0.25">
      <c r="A371" t="str">
        <f>TEXT([1]StagingTable!B371,"MMM-YYY")</f>
        <v>Jun-2025</v>
      </c>
      <c r="B371" t="str">
        <f>"Q"&amp;ROUNDUP(MONTH([1]StagingTable!B371)/3,0)&amp;"-"&amp;YEAR([1]StagingTable!D370)</f>
        <v>Q2-2023</v>
      </c>
      <c r="C371" t="str">
        <f>[1]StagingTable!F371&amp;"-"&amp;[1]StagingTable!G371&amp;"-"&amp;[1]StagingTable!H371</f>
        <v>Americas-Canada-Vancouver</v>
      </c>
      <c r="D371" t="str">
        <f>IF([1]StagingTable!T371&lt;=_xlfn.PERCENTILE.INC([1]StagingTable!T371:T1002,0.33),"LOW",IF([1]StagingTable!T371&lt;=_xlfn.PERCENTILE.INC([1]StagingTable!T371:T1002,0.67),"MEDIUM","HIGH"))</f>
        <v>LOW</v>
      </c>
    </row>
    <row r="372" spans="1:4" x14ac:dyDescent="0.25">
      <c r="A372" t="str">
        <f>TEXT([1]StagingTable!B372,"MMM-YYY")</f>
        <v>Dec-2023</v>
      </c>
      <c r="B372" t="str">
        <f>"Q"&amp;ROUNDUP(MONTH([1]StagingTable!B372)/3,0)&amp;"-"&amp;YEAR([1]StagingTable!D371)</f>
        <v>Q4-2025</v>
      </c>
      <c r="C372" t="str">
        <f>[1]StagingTable!F372&amp;"-"&amp;[1]StagingTable!G372&amp;"-"&amp;[1]StagingTable!H372</f>
        <v>Europe-France-Lyon</v>
      </c>
      <c r="D372" t="str">
        <f>IF([1]StagingTable!T372&lt;=_xlfn.PERCENTILE.INC([1]StagingTable!T372:T1003,0.33),"LOW",IF([1]StagingTable!T372&lt;=_xlfn.PERCENTILE.INC([1]StagingTable!T372:T1003,0.67),"MEDIUM","HIGH"))</f>
        <v>LOW</v>
      </c>
    </row>
    <row r="373" spans="1:4" x14ac:dyDescent="0.25">
      <c r="A373" t="str">
        <f>TEXT([1]StagingTable!B373,"MMM-YYY")</f>
        <v>Feb-2023</v>
      </c>
      <c r="B373" t="str">
        <f>"Q"&amp;ROUNDUP(MONTH([1]StagingTable!B373)/3,0)&amp;"-"&amp;YEAR([1]StagingTable!D372)</f>
        <v>Q1-2024</v>
      </c>
      <c r="C373" t="str">
        <f>[1]StagingTable!F373&amp;"-"&amp;[1]StagingTable!G373&amp;"-"&amp;[1]StagingTable!H373</f>
        <v>Americas-USA-Austin</v>
      </c>
      <c r="D373" t="str">
        <f>IF([1]StagingTable!T373&lt;=_xlfn.PERCENTILE.INC([1]StagingTable!T373:T1004,0.33),"LOW",IF([1]StagingTable!T373&lt;=_xlfn.PERCENTILE.INC([1]StagingTable!T373:T1004,0.67),"MEDIUM","HIGH"))</f>
        <v>MEDIUM</v>
      </c>
    </row>
    <row r="374" spans="1:4" x14ac:dyDescent="0.25">
      <c r="A374" t="str">
        <f>TEXT([1]StagingTable!B374,"MMM-YYY")</f>
        <v>Apr-2023</v>
      </c>
      <c r="B374" t="str">
        <f>"Q"&amp;ROUNDUP(MONTH([1]StagingTable!B374)/3,0)&amp;"-"&amp;YEAR([1]StagingTable!D373)</f>
        <v>Q2-2023</v>
      </c>
      <c r="C374" t="str">
        <f>[1]StagingTable!F374&amp;"-"&amp;[1]StagingTable!G374&amp;"-"&amp;[1]StagingTable!H374</f>
        <v>Africa-Nigeria-Abuja</v>
      </c>
      <c r="D374" t="str">
        <f>IF([1]StagingTable!T374&lt;=_xlfn.PERCENTILE.INC([1]StagingTable!T374:T1005,0.33),"LOW",IF([1]StagingTable!T374&lt;=_xlfn.PERCENTILE.INC([1]StagingTable!T374:T1005,0.67),"MEDIUM","HIGH"))</f>
        <v>MEDIUM</v>
      </c>
    </row>
    <row r="375" spans="1:4" x14ac:dyDescent="0.25">
      <c r="A375" t="str">
        <f>TEXT([1]StagingTable!B375,"MMM-YYY")</f>
        <v>Apr-2025</v>
      </c>
      <c r="B375" t="str">
        <f>"Q"&amp;ROUNDUP(MONTH([1]StagingTable!B375)/3,0)&amp;"-"&amp;YEAR([1]StagingTable!D374)</f>
        <v>Q2-2023</v>
      </c>
      <c r="C375" t="str">
        <f>[1]StagingTable!F375&amp;"-"&amp;[1]StagingTable!G375&amp;"-"&amp;[1]StagingTable!H375</f>
        <v>Europe-United Kingdom-Birmingham</v>
      </c>
      <c r="D375" t="str">
        <f>IF([1]StagingTable!T375&lt;=_xlfn.PERCENTILE.INC([1]StagingTable!T375:T1006,0.33),"LOW",IF([1]StagingTable!T375&lt;=_xlfn.PERCENTILE.INC([1]StagingTable!T375:T1006,0.67),"MEDIUM","HIGH"))</f>
        <v>LOW</v>
      </c>
    </row>
    <row r="376" spans="1:4" x14ac:dyDescent="0.25">
      <c r="A376" t="str">
        <f>TEXT([1]StagingTable!B376,"MMM-YYY")</f>
        <v>May-2024</v>
      </c>
      <c r="B376" t="str">
        <f>"Q"&amp;ROUNDUP(MONTH([1]StagingTable!B376)/3,0)&amp;"-"&amp;YEAR([1]StagingTable!D375)</f>
        <v>Q2-2025</v>
      </c>
      <c r="C376" t="str">
        <f>[1]StagingTable!F376&amp;"-"&amp;[1]StagingTable!G376&amp;"-"&amp;[1]StagingTable!H376</f>
        <v>Americas-USA-Austin</v>
      </c>
      <c r="D376" t="str">
        <f>IF([1]StagingTable!T376&lt;=_xlfn.PERCENTILE.INC([1]StagingTable!T376:T1007,0.33),"LOW",IF([1]StagingTable!T376&lt;=_xlfn.PERCENTILE.INC([1]StagingTable!T376:T1007,0.67),"MEDIUM","HIGH"))</f>
        <v>HIGH</v>
      </c>
    </row>
    <row r="377" spans="1:4" x14ac:dyDescent="0.25">
      <c r="A377" t="str">
        <f>TEXT([1]StagingTable!B377,"MMM-YYY")</f>
        <v>Mar-2024</v>
      </c>
      <c r="B377" t="str">
        <f>"Q"&amp;ROUNDUP(MONTH([1]StagingTable!B377)/3,0)&amp;"-"&amp;YEAR([1]StagingTable!D376)</f>
        <v>Q1-2024</v>
      </c>
      <c r="C377" t="str">
        <f>[1]StagingTable!F377&amp;"-"&amp;[1]StagingTable!G377&amp;"-"&amp;[1]StagingTable!H377</f>
        <v>Asia-China-Beijing</v>
      </c>
      <c r="D377" t="str">
        <f>IF([1]StagingTable!T377&lt;=_xlfn.PERCENTILE.INC([1]StagingTable!T377:T1008,0.33),"LOW",IF([1]StagingTable!T377&lt;=_xlfn.PERCENTILE.INC([1]StagingTable!T377:T1008,0.67),"MEDIUM","HIGH"))</f>
        <v>MEDIUM</v>
      </c>
    </row>
    <row r="378" spans="1:4" x14ac:dyDescent="0.25">
      <c r="A378" t="str">
        <f>TEXT([1]StagingTable!B378,"MMM-YYY")</f>
        <v>Jun-2025</v>
      </c>
      <c r="B378" t="str">
        <f>"Q"&amp;ROUNDUP(MONTH([1]StagingTable!B378)/3,0)&amp;"-"&amp;YEAR([1]StagingTable!D377)</f>
        <v>Q2-2024</v>
      </c>
      <c r="C378" t="str">
        <f>[1]StagingTable!F378&amp;"-"&amp;[1]StagingTable!G378&amp;"-"&amp;[1]StagingTable!H378</f>
        <v>Asia-China-Shanghai</v>
      </c>
      <c r="D378" t="str">
        <f>IF([1]StagingTable!T378&lt;=_xlfn.PERCENTILE.INC([1]StagingTable!T378:T1009,0.33),"LOW",IF([1]StagingTable!T378&lt;=_xlfn.PERCENTILE.INC([1]StagingTable!T378:T1009,0.67),"MEDIUM","HIGH"))</f>
        <v>HIGH</v>
      </c>
    </row>
    <row r="379" spans="1:4" x14ac:dyDescent="0.25">
      <c r="A379" t="str">
        <f>TEXT([1]StagingTable!B379,"MMM-YYY")</f>
        <v>Mar-2023</v>
      </c>
      <c r="B379" t="str">
        <f>"Q"&amp;ROUNDUP(MONTH([1]StagingTable!B379)/3,0)&amp;"-"&amp;YEAR([1]StagingTable!D378)</f>
        <v>Q1-2025</v>
      </c>
      <c r="C379" t="str">
        <f>[1]StagingTable!F379&amp;"-"&amp;[1]StagingTable!G379&amp;"-"&amp;[1]StagingTable!H379</f>
        <v>Africa-South Africa-Durban</v>
      </c>
      <c r="D379" t="str">
        <f>IF([1]StagingTable!T379&lt;=_xlfn.PERCENTILE.INC([1]StagingTable!T379:T1010,0.33),"LOW",IF([1]StagingTable!T379&lt;=_xlfn.PERCENTILE.INC([1]StagingTable!T379:T1010,0.67),"MEDIUM","HIGH"))</f>
        <v>MEDIUM</v>
      </c>
    </row>
    <row r="380" spans="1:4" x14ac:dyDescent="0.25">
      <c r="A380" t="str">
        <f>TEXT([1]StagingTable!B380,"MMM-YYY")</f>
        <v>Jan-2025</v>
      </c>
      <c r="B380" t="str">
        <f>"Q"&amp;ROUNDUP(MONTH([1]StagingTable!B380)/3,0)&amp;"-"&amp;YEAR([1]StagingTable!D379)</f>
        <v>Q1-2023</v>
      </c>
      <c r="C380" t="str">
        <f>[1]StagingTable!F380&amp;"-"&amp;[1]StagingTable!G380&amp;"-"&amp;[1]StagingTable!H380</f>
        <v>Africa-South Africa-Cape Town</v>
      </c>
      <c r="D380" t="str">
        <f>IF([1]StagingTable!T380&lt;=_xlfn.PERCENTILE.INC([1]StagingTable!T380:T1011,0.33),"LOW",IF([1]StagingTable!T380&lt;=_xlfn.PERCENTILE.INC([1]StagingTable!T380:T1011,0.67),"MEDIUM","HIGH"))</f>
        <v>MEDIUM</v>
      </c>
    </row>
    <row r="381" spans="1:4" x14ac:dyDescent="0.25">
      <c r="A381" t="str">
        <f>TEXT([1]StagingTable!B381,"MMM-YYY")</f>
        <v>Feb-2025</v>
      </c>
      <c r="B381" t="str">
        <f>"Q"&amp;ROUNDUP(MONTH([1]StagingTable!B381)/3,0)&amp;"-"&amp;YEAR([1]StagingTable!D380)</f>
        <v>Q1-2025</v>
      </c>
      <c r="C381" t="str">
        <f>[1]StagingTable!F381&amp;"-"&amp;[1]StagingTable!G381&amp;"-"&amp;[1]StagingTable!H381</f>
        <v>Americas-Brazil-São Paulo</v>
      </c>
      <c r="D381" t="str">
        <f>IF([1]StagingTable!T381&lt;=_xlfn.PERCENTILE.INC([1]StagingTable!T381:T1012,0.33),"LOW",IF([1]StagingTable!T381&lt;=_xlfn.PERCENTILE.INC([1]StagingTable!T381:T1012,0.67),"MEDIUM","HIGH"))</f>
        <v>HIGH</v>
      </c>
    </row>
    <row r="382" spans="1:4" x14ac:dyDescent="0.25">
      <c r="A382" t="str">
        <f>TEXT([1]StagingTable!B382,"MMM-YYY")</f>
        <v>Jan-2025</v>
      </c>
      <c r="B382" t="str">
        <f>"Q"&amp;ROUNDUP(MONTH([1]StagingTable!B382)/3,0)&amp;"-"&amp;YEAR([1]StagingTable!D381)</f>
        <v>Q1-2025</v>
      </c>
      <c r="C382" t="str">
        <f>[1]StagingTable!F382&amp;"-"&amp;[1]StagingTable!G382&amp;"-"&amp;[1]StagingTable!H382</f>
        <v>Europe-United Kingdom-London</v>
      </c>
      <c r="D382" t="str">
        <f>IF([1]StagingTable!T382&lt;=_xlfn.PERCENTILE.INC([1]StagingTable!T382:T1013,0.33),"LOW",IF([1]StagingTable!T382&lt;=_xlfn.PERCENTILE.INC([1]StagingTable!T382:T1013,0.67),"MEDIUM","HIGH"))</f>
        <v>LOW</v>
      </c>
    </row>
    <row r="383" spans="1:4" x14ac:dyDescent="0.25">
      <c r="A383" t="str">
        <f>TEXT([1]StagingTable!B383,"MMM-YYY")</f>
        <v>Aug-2025</v>
      </c>
      <c r="B383" t="str">
        <f>"Q"&amp;ROUNDUP(MONTH([1]StagingTable!B383)/3,0)&amp;"-"&amp;YEAR([1]StagingTable!D382)</f>
        <v>Q3-2025</v>
      </c>
      <c r="C383" t="str">
        <f>[1]StagingTable!F383&amp;"-"&amp;[1]StagingTable!G383&amp;"-"&amp;[1]StagingTable!H383</f>
        <v>Americas-Canada-Montreal</v>
      </c>
      <c r="D383" t="str">
        <f>IF([1]StagingTable!T383&lt;=_xlfn.PERCENTILE.INC([1]StagingTable!T383:T1014,0.33),"LOW",IF([1]StagingTable!T383&lt;=_xlfn.PERCENTILE.INC([1]StagingTable!T383:T1014,0.67),"MEDIUM","HIGH"))</f>
        <v>MEDIUM</v>
      </c>
    </row>
    <row r="384" spans="1:4" x14ac:dyDescent="0.25">
      <c r="A384" t="str">
        <f>TEXT([1]StagingTable!B384,"MMM-YYY")</f>
        <v>Jul-2025</v>
      </c>
      <c r="B384" t="str">
        <f>"Q"&amp;ROUNDUP(MONTH([1]StagingTable!B384)/3,0)&amp;"-"&amp;YEAR([1]StagingTable!D383)</f>
        <v>Q3-2025</v>
      </c>
      <c r="C384" t="str">
        <f>[1]StagingTable!F384&amp;"-"&amp;[1]StagingTable!G384&amp;"-"&amp;[1]StagingTable!H384</f>
        <v>Europe-United Kingdom-Birmingham</v>
      </c>
      <c r="D384" t="str">
        <f>IF([1]StagingTable!T384&lt;=_xlfn.PERCENTILE.INC([1]StagingTable!T384:T1015,0.33),"LOW",IF([1]StagingTable!T384&lt;=_xlfn.PERCENTILE.INC([1]StagingTable!T384:T1015,0.67),"MEDIUM","HIGH"))</f>
        <v>MEDIUM</v>
      </c>
    </row>
    <row r="385" spans="1:4" x14ac:dyDescent="0.25">
      <c r="A385" t="str">
        <f>TEXT([1]StagingTable!B385,"MMM-YYY")</f>
        <v>Jun-2023</v>
      </c>
      <c r="B385" t="str">
        <f>"Q"&amp;ROUNDUP(MONTH([1]StagingTable!B385)/3,0)&amp;"-"&amp;YEAR([1]StagingTable!D384)</f>
        <v>Q2-2025</v>
      </c>
      <c r="C385" t="str">
        <f>[1]StagingTable!F385&amp;"-"&amp;[1]StagingTable!G385&amp;"-"&amp;[1]StagingTable!H385</f>
        <v>Americas-USA-New York</v>
      </c>
      <c r="D385" t="str">
        <f>IF([1]StagingTable!T385&lt;=_xlfn.PERCENTILE.INC([1]StagingTable!T385:T1016,0.33),"LOW",IF([1]StagingTable!T385&lt;=_xlfn.PERCENTILE.INC([1]StagingTable!T385:T1016,0.67),"MEDIUM","HIGH"))</f>
        <v>MEDIUM</v>
      </c>
    </row>
    <row r="386" spans="1:4" x14ac:dyDescent="0.25">
      <c r="A386" t="str">
        <f>TEXT([1]StagingTable!B386,"MMM-YYY")</f>
        <v>Jul-2024</v>
      </c>
      <c r="B386" t="str">
        <f>"Q"&amp;ROUNDUP(MONTH([1]StagingTable!B386)/3,0)&amp;"-"&amp;YEAR([1]StagingTable!D385)</f>
        <v>Q3-2023</v>
      </c>
      <c r="C386" t="str">
        <f>[1]StagingTable!F386&amp;"-"&amp;[1]StagingTable!G386&amp;"-"&amp;[1]StagingTable!H386</f>
        <v>Europe-France-Marseille</v>
      </c>
      <c r="D386" t="str">
        <f>IF([1]StagingTable!T386&lt;=_xlfn.PERCENTILE.INC([1]StagingTable!T386:T1017,0.33),"LOW",IF([1]StagingTable!T386&lt;=_xlfn.PERCENTILE.INC([1]StagingTable!T386:T1017,0.67),"MEDIUM","HIGH"))</f>
        <v>MEDIUM</v>
      </c>
    </row>
    <row r="387" spans="1:4" x14ac:dyDescent="0.25">
      <c r="A387" t="str">
        <f>TEXT([1]StagingTable!B387,"MMM-YYY")</f>
        <v>May-2023</v>
      </c>
      <c r="B387" t="str">
        <f>"Q"&amp;ROUNDUP(MONTH([1]StagingTable!B387)/3,0)&amp;"-"&amp;YEAR([1]StagingTable!D386)</f>
        <v>Q2-2024</v>
      </c>
      <c r="C387" t="str">
        <f>[1]StagingTable!F387&amp;"-"&amp;[1]StagingTable!G387&amp;"-"&amp;[1]StagingTable!H387</f>
        <v>Asia-India-Delhi</v>
      </c>
      <c r="D387" t="str">
        <f>IF([1]StagingTable!T387&lt;=_xlfn.PERCENTILE.INC([1]StagingTable!T387:T1018,0.33),"LOW",IF([1]StagingTable!T387&lt;=_xlfn.PERCENTILE.INC([1]StagingTable!T387:T1018,0.67),"MEDIUM","HIGH"))</f>
        <v>MEDIUM</v>
      </c>
    </row>
    <row r="388" spans="1:4" x14ac:dyDescent="0.25">
      <c r="A388" t="str">
        <f>TEXT([1]StagingTable!B388,"MMM-YYY")</f>
        <v>May-2025</v>
      </c>
      <c r="B388" t="str">
        <f>"Q"&amp;ROUNDUP(MONTH([1]StagingTable!B388)/3,0)&amp;"-"&amp;YEAR([1]StagingTable!D387)</f>
        <v>Q2-2023</v>
      </c>
      <c r="C388" t="str">
        <f>[1]StagingTable!F388&amp;"-"&amp;[1]StagingTable!G388&amp;"-"&amp;[1]StagingTable!H388</f>
        <v>Asia-India-Hyderabad</v>
      </c>
      <c r="D388" t="str">
        <f>IF([1]StagingTable!T388&lt;=_xlfn.PERCENTILE.INC([1]StagingTable!T388:T1019,0.33),"LOW",IF([1]StagingTable!T388&lt;=_xlfn.PERCENTILE.INC([1]StagingTable!T388:T1019,0.67),"MEDIUM","HIGH"))</f>
        <v>LOW</v>
      </c>
    </row>
    <row r="389" spans="1:4" x14ac:dyDescent="0.25">
      <c r="A389" t="str">
        <f>TEXT([1]StagingTable!B389,"MMM-YYY")</f>
        <v>May-2024</v>
      </c>
      <c r="B389" t="str">
        <f>"Q"&amp;ROUNDUP(MONTH([1]StagingTable!B389)/3,0)&amp;"-"&amp;YEAR([1]StagingTable!D388)</f>
        <v>Q2-2025</v>
      </c>
      <c r="C389" t="str">
        <f>[1]StagingTable!F389&amp;"-"&amp;[1]StagingTable!G389&amp;"-"&amp;[1]StagingTable!H389</f>
        <v>Africa-Nigeria-Abuja</v>
      </c>
      <c r="D389" t="str">
        <f>IF([1]StagingTable!T389&lt;=_xlfn.PERCENTILE.INC([1]StagingTable!T389:T1020,0.33),"LOW",IF([1]StagingTable!T389&lt;=_xlfn.PERCENTILE.INC([1]StagingTable!T389:T1020,0.67),"MEDIUM","HIGH"))</f>
        <v>MEDIUM</v>
      </c>
    </row>
    <row r="390" spans="1:4" x14ac:dyDescent="0.25">
      <c r="A390" t="str">
        <f>TEXT([1]StagingTable!B390,"MMM-YYY")</f>
        <v>Sep-2023</v>
      </c>
      <c r="B390" t="str">
        <f>"Q"&amp;ROUNDUP(MONTH([1]StagingTable!B390)/3,0)&amp;"-"&amp;YEAR([1]StagingTable!D389)</f>
        <v>Q3-2024</v>
      </c>
      <c r="C390" t="str">
        <f>[1]StagingTable!F390&amp;"-"&amp;[1]StagingTable!G390&amp;"-"&amp;[1]StagingTable!H390</f>
        <v>Asia-China-Beijing</v>
      </c>
      <c r="D390" t="str">
        <f>IF([1]StagingTable!T390&lt;=_xlfn.PERCENTILE.INC([1]StagingTable!T390:T1021,0.33),"LOW",IF([1]StagingTable!T390&lt;=_xlfn.PERCENTILE.INC([1]StagingTable!T390:T1021,0.67),"MEDIUM","HIGH"))</f>
        <v>MEDIUM</v>
      </c>
    </row>
    <row r="391" spans="1:4" x14ac:dyDescent="0.25">
      <c r="A391" t="str">
        <f>TEXT([1]StagingTable!B391,"MMM-YYY")</f>
        <v>Oct-2023</v>
      </c>
      <c r="B391" t="str">
        <f>"Q"&amp;ROUNDUP(MONTH([1]StagingTable!B391)/3,0)&amp;"-"&amp;YEAR([1]StagingTable!D390)</f>
        <v>Q4-2023</v>
      </c>
      <c r="C391" t="str">
        <f>[1]StagingTable!F391&amp;"-"&amp;[1]StagingTable!G391&amp;"-"&amp;[1]StagingTable!H391</f>
        <v>Africa-South Africa-Cape Town</v>
      </c>
      <c r="D391" t="str">
        <f>IF([1]StagingTable!T391&lt;=_xlfn.PERCENTILE.INC([1]StagingTable!T391:T1022,0.33),"LOW",IF([1]StagingTable!T391&lt;=_xlfn.PERCENTILE.INC([1]StagingTable!T391:T1022,0.67),"MEDIUM","HIGH"))</f>
        <v>LOW</v>
      </c>
    </row>
    <row r="392" spans="1:4" x14ac:dyDescent="0.25">
      <c r="A392" t="str">
        <f>TEXT([1]StagingTable!B392,"MMM-YYY")</f>
        <v>Jun-2025</v>
      </c>
      <c r="B392" t="str">
        <f>"Q"&amp;ROUNDUP(MONTH([1]StagingTable!B392)/3,0)&amp;"-"&amp;YEAR([1]StagingTable!D391)</f>
        <v>Q2-2023</v>
      </c>
      <c r="C392" t="str">
        <f>[1]StagingTable!F392&amp;"-"&amp;[1]StagingTable!G392&amp;"-"&amp;[1]StagingTable!H392</f>
        <v>Africa-South Africa-Johannesburg</v>
      </c>
      <c r="D392" t="str">
        <f>IF([1]StagingTable!T392&lt;=_xlfn.PERCENTILE.INC([1]StagingTable!T392:T1023,0.33),"LOW",IF([1]StagingTable!T392&lt;=_xlfn.PERCENTILE.INC([1]StagingTable!T392:T1023,0.67),"MEDIUM","HIGH"))</f>
        <v>MEDIUM</v>
      </c>
    </row>
    <row r="393" spans="1:4" x14ac:dyDescent="0.25">
      <c r="A393" t="str">
        <f>TEXT([1]StagingTable!B393,"MMM-YYY")</f>
        <v>Aug-2024</v>
      </c>
      <c r="B393" t="str">
        <f>"Q"&amp;ROUNDUP(MONTH([1]StagingTable!B393)/3,0)&amp;"-"&amp;YEAR([1]StagingTable!D392)</f>
        <v>Q3-2025</v>
      </c>
      <c r="C393" t="str">
        <f>[1]StagingTable!F393&amp;"-"&amp;[1]StagingTable!G393&amp;"-"&amp;[1]StagingTable!H393</f>
        <v>Europe-France-Marseille</v>
      </c>
      <c r="D393" t="str">
        <f>IF([1]StagingTable!T393&lt;=_xlfn.PERCENTILE.INC([1]StagingTable!T393:T1024,0.33),"LOW",IF([1]StagingTable!T393&lt;=_xlfn.PERCENTILE.INC([1]StagingTable!T393:T1024,0.67),"MEDIUM","HIGH"))</f>
        <v>LOW</v>
      </c>
    </row>
    <row r="394" spans="1:4" x14ac:dyDescent="0.25">
      <c r="A394" t="str">
        <f>TEXT([1]StagingTable!B394,"MMM-YYY")</f>
        <v>Oct-2023</v>
      </c>
      <c r="B394" t="str">
        <f>"Q"&amp;ROUNDUP(MONTH([1]StagingTable!B394)/3,0)&amp;"-"&amp;YEAR([1]StagingTable!D393)</f>
        <v>Q4-2024</v>
      </c>
      <c r="C394" t="str">
        <f>[1]StagingTable!F394&amp;"-"&amp;[1]StagingTable!G394&amp;"-"&amp;[1]StagingTable!H394</f>
        <v>Asia-China-Shanghai</v>
      </c>
      <c r="D394" t="str">
        <f>IF([1]StagingTable!T394&lt;=_xlfn.PERCENTILE.INC([1]StagingTable!T394:T1025,0.33),"LOW",IF([1]StagingTable!T394&lt;=_xlfn.PERCENTILE.INC([1]StagingTable!T394:T1025,0.67),"MEDIUM","HIGH"))</f>
        <v>HIGH</v>
      </c>
    </row>
    <row r="395" spans="1:4" x14ac:dyDescent="0.25">
      <c r="A395" t="str">
        <f>TEXT([1]StagingTable!B395,"MMM-YYY")</f>
        <v>Mar-2024</v>
      </c>
      <c r="B395" t="str">
        <f>"Q"&amp;ROUNDUP(MONTH([1]StagingTable!B395)/3,0)&amp;"-"&amp;YEAR([1]StagingTable!D394)</f>
        <v>Q1-2023</v>
      </c>
      <c r="C395" t="str">
        <f>[1]StagingTable!F395&amp;"-"&amp;[1]StagingTable!G395&amp;"-"&amp;[1]StagingTable!H395</f>
        <v>Americas-USA-San Francisco</v>
      </c>
      <c r="D395" t="str">
        <f>IF([1]StagingTable!T395&lt;=_xlfn.PERCENTILE.INC([1]StagingTable!T395:T1026,0.33),"LOW",IF([1]StagingTable!T395&lt;=_xlfn.PERCENTILE.INC([1]StagingTable!T395:T1026,0.67),"MEDIUM","HIGH"))</f>
        <v>HIGH</v>
      </c>
    </row>
    <row r="396" spans="1:4" x14ac:dyDescent="0.25">
      <c r="A396" t="str">
        <f>TEXT([1]StagingTable!B396,"MMM-YYY")</f>
        <v>May-2023</v>
      </c>
      <c r="B396" t="str">
        <f>"Q"&amp;ROUNDUP(MONTH([1]StagingTable!B396)/3,0)&amp;"-"&amp;YEAR([1]StagingTable!D395)</f>
        <v>Q2-2024</v>
      </c>
      <c r="C396" t="str">
        <f>[1]StagingTable!F396&amp;"-"&amp;[1]StagingTable!G396&amp;"-"&amp;[1]StagingTable!H396</f>
        <v>Europe-United Kingdom-London</v>
      </c>
      <c r="D396" t="str">
        <f>IF([1]StagingTable!T396&lt;=_xlfn.PERCENTILE.INC([1]StagingTable!T396:T1027,0.33),"LOW",IF([1]StagingTable!T396&lt;=_xlfn.PERCENTILE.INC([1]StagingTable!T396:T1027,0.67),"MEDIUM","HIGH"))</f>
        <v>HIGH</v>
      </c>
    </row>
    <row r="397" spans="1:4" x14ac:dyDescent="0.25">
      <c r="A397" t="str">
        <f>TEXT([1]StagingTable!B397,"MMM-YYY")</f>
        <v>May-2025</v>
      </c>
      <c r="B397" t="str">
        <f>"Q"&amp;ROUNDUP(MONTH([1]StagingTable!B397)/3,0)&amp;"-"&amp;YEAR([1]StagingTable!D396)</f>
        <v>Q2-2023</v>
      </c>
      <c r="C397" t="str">
        <f>[1]StagingTable!F397&amp;"-"&amp;[1]StagingTable!G397&amp;"-"&amp;[1]StagingTable!H397</f>
        <v>Asia-Japan-Osaka</v>
      </c>
      <c r="D397" t="str">
        <f>IF([1]StagingTable!T397&lt;=_xlfn.PERCENTILE.INC([1]StagingTable!T397:T1028,0.33),"LOW",IF([1]StagingTable!T397&lt;=_xlfn.PERCENTILE.INC([1]StagingTable!T397:T1028,0.67),"MEDIUM","HIGH"))</f>
        <v>LOW</v>
      </c>
    </row>
    <row r="398" spans="1:4" x14ac:dyDescent="0.25">
      <c r="A398" t="str">
        <f>TEXT([1]StagingTable!B398,"MMM-YYY")</f>
        <v>Aug-2025</v>
      </c>
      <c r="B398" t="str">
        <f>"Q"&amp;ROUNDUP(MONTH([1]StagingTable!B398)/3,0)&amp;"-"&amp;YEAR([1]StagingTable!D397)</f>
        <v>Q3-2025</v>
      </c>
      <c r="C398" t="str">
        <f>[1]StagingTable!F398&amp;"-"&amp;[1]StagingTable!G398&amp;"-"&amp;[1]StagingTable!H398</f>
        <v>Europe-Germany-Berlin</v>
      </c>
      <c r="D398" t="str">
        <f>IF([1]StagingTable!T398&lt;=_xlfn.PERCENTILE.INC([1]StagingTable!T398:T1029,0.33),"LOW",IF([1]StagingTable!T398&lt;=_xlfn.PERCENTILE.INC([1]StagingTable!T398:T1029,0.67),"MEDIUM","HIGH"))</f>
        <v>HIGH</v>
      </c>
    </row>
    <row r="399" spans="1:4" x14ac:dyDescent="0.25">
      <c r="A399" t="str">
        <f>TEXT([1]StagingTable!B399,"MMM-YYY")</f>
        <v>Dec-2024</v>
      </c>
      <c r="B399" t="str">
        <f>"Q"&amp;ROUNDUP(MONTH([1]StagingTable!B399)/3,0)&amp;"-"&amp;YEAR([1]StagingTable!D398)</f>
        <v>Q4-2025</v>
      </c>
      <c r="C399" t="str">
        <f>[1]StagingTable!F399&amp;"-"&amp;[1]StagingTable!G399&amp;"-"&amp;[1]StagingTable!H399</f>
        <v>Asia-Japan-Tokyo</v>
      </c>
      <c r="D399" t="str">
        <f>IF([1]StagingTable!T399&lt;=_xlfn.PERCENTILE.INC([1]StagingTable!T399:T1030,0.33),"LOW",IF([1]StagingTable!T399&lt;=_xlfn.PERCENTILE.INC([1]StagingTable!T399:T1030,0.67),"MEDIUM","HIGH"))</f>
        <v>MEDIUM</v>
      </c>
    </row>
    <row r="400" spans="1:4" x14ac:dyDescent="0.25">
      <c r="A400" t="str">
        <f>TEXT([1]StagingTable!B400,"MMM-YYY")</f>
        <v>Sep-2025</v>
      </c>
      <c r="B400" t="str">
        <f>"Q"&amp;ROUNDUP(MONTH([1]StagingTable!B400)/3,0)&amp;"-"&amp;YEAR([1]StagingTable!D399)</f>
        <v>Q3-2024</v>
      </c>
      <c r="C400" t="str">
        <f>[1]StagingTable!F400&amp;"-"&amp;[1]StagingTable!G400&amp;"-"&amp;[1]StagingTable!H400</f>
        <v>Africa-South Africa-Durban</v>
      </c>
      <c r="D400" t="str">
        <f>IF([1]StagingTable!T400&lt;=_xlfn.PERCENTILE.INC([1]StagingTable!T400:T1031,0.33),"LOW",IF([1]StagingTable!T400&lt;=_xlfn.PERCENTILE.INC([1]StagingTable!T400:T1031,0.67),"MEDIUM","HIGH"))</f>
        <v>HIGH</v>
      </c>
    </row>
    <row r="401" spans="1:4" x14ac:dyDescent="0.25">
      <c r="A401" t="str">
        <f>TEXT([1]StagingTable!B401,"MMM-YYY")</f>
        <v>Sep-2024</v>
      </c>
      <c r="B401" t="str">
        <f>"Q"&amp;ROUNDUP(MONTH([1]StagingTable!B401)/3,0)&amp;"-"&amp;YEAR([1]StagingTable!D400)</f>
        <v>Q3-2025</v>
      </c>
      <c r="C401" t="str">
        <f>[1]StagingTable!F401&amp;"-"&amp;[1]StagingTable!G401&amp;"-"&amp;[1]StagingTable!H401</f>
        <v>Africa-South Africa-Cape Town</v>
      </c>
      <c r="D401" t="str">
        <f>IF([1]StagingTable!T401&lt;=_xlfn.PERCENTILE.INC([1]StagingTable!T401:T1032,0.33),"LOW",IF([1]StagingTable!T401&lt;=_xlfn.PERCENTILE.INC([1]StagingTable!T401:T1032,0.67),"MEDIUM","HIGH"))</f>
        <v>MEDIUM</v>
      </c>
    </row>
    <row r="402" spans="1:4" x14ac:dyDescent="0.25">
      <c r="A402" t="str">
        <f>TEXT([1]StagingTable!B402,"MMM-YYY")</f>
        <v>Apr-2025</v>
      </c>
      <c r="B402" t="str">
        <f>"Q"&amp;ROUNDUP(MONTH([1]StagingTable!B402)/3,0)&amp;"-"&amp;YEAR([1]StagingTable!D401)</f>
        <v>Q2-2024</v>
      </c>
      <c r="C402" t="str">
        <f>[1]StagingTable!F402&amp;"-"&amp;[1]StagingTable!G402&amp;"-"&amp;[1]StagingTable!H402</f>
        <v>Africa-Kenya-Kisumu</v>
      </c>
      <c r="D402" t="str">
        <f>IF([1]StagingTable!T402&lt;=_xlfn.PERCENTILE.INC([1]StagingTable!T402:T1033,0.33),"LOW",IF([1]StagingTable!T402&lt;=_xlfn.PERCENTILE.INC([1]StagingTable!T402:T1033,0.67),"MEDIUM","HIGH"))</f>
        <v>MEDIUM</v>
      </c>
    </row>
    <row r="403" spans="1:4" x14ac:dyDescent="0.25">
      <c r="A403" t="str">
        <f>TEXT([1]StagingTable!B403,"MMM-YYY")</f>
        <v>Aug-2024</v>
      </c>
      <c r="B403" t="str">
        <f>"Q"&amp;ROUNDUP(MONTH([1]StagingTable!B403)/3,0)&amp;"-"&amp;YEAR([1]StagingTable!D402)</f>
        <v>Q3-2025</v>
      </c>
      <c r="C403" t="str">
        <f>[1]StagingTable!F403&amp;"-"&amp;[1]StagingTable!G403&amp;"-"&amp;[1]StagingTable!H403</f>
        <v>Americas-USA-Chicago</v>
      </c>
      <c r="D403" t="str">
        <f>IF([1]StagingTable!T403&lt;=_xlfn.PERCENTILE.INC([1]StagingTable!T403:T1034,0.33),"LOW",IF([1]StagingTable!T403&lt;=_xlfn.PERCENTILE.INC([1]StagingTable!T403:T1034,0.67),"MEDIUM","HIGH"))</f>
        <v>MEDIUM</v>
      </c>
    </row>
    <row r="404" spans="1:4" x14ac:dyDescent="0.25">
      <c r="A404" t="str">
        <f>TEXT([1]StagingTable!B404,"MMM-YYY")</f>
        <v>Nov-2024</v>
      </c>
      <c r="B404" t="str">
        <f>"Q"&amp;ROUNDUP(MONTH([1]StagingTable!B404)/3,0)&amp;"-"&amp;YEAR([1]StagingTable!D403)</f>
        <v>Q4-2024</v>
      </c>
      <c r="C404" t="str">
        <f>[1]StagingTable!F404&amp;"-"&amp;[1]StagingTable!G404&amp;"-"&amp;[1]StagingTable!H404</f>
        <v>Americas-Canada-Toronto</v>
      </c>
      <c r="D404" t="str">
        <f>IF([1]StagingTable!T404&lt;=_xlfn.PERCENTILE.INC([1]StagingTable!T404:T1035,0.33),"LOW",IF([1]StagingTable!T404&lt;=_xlfn.PERCENTILE.INC([1]StagingTable!T404:T1035,0.67),"MEDIUM","HIGH"))</f>
        <v>MEDIUM</v>
      </c>
    </row>
    <row r="405" spans="1:4" x14ac:dyDescent="0.25">
      <c r="A405" t="str">
        <f>TEXT([1]StagingTable!B405,"MMM-YYY")</f>
        <v>Jul-2024</v>
      </c>
      <c r="B405" t="str">
        <f>"Q"&amp;ROUNDUP(MONTH([1]StagingTable!B405)/3,0)&amp;"-"&amp;YEAR([1]StagingTable!D404)</f>
        <v>Q3-2024</v>
      </c>
      <c r="C405" t="str">
        <f>[1]StagingTable!F405&amp;"-"&amp;[1]StagingTable!G405&amp;"-"&amp;[1]StagingTable!H405</f>
        <v>Europe-France-Marseille</v>
      </c>
      <c r="D405" t="str">
        <f>IF([1]StagingTable!T405&lt;=_xlfn.PERCENTILE.INC([1]StagingTable!T405:T1036,0.33),"LOW",IF([1]StagingTable!T405&lt;=_xlfn.PERCENTILE.INC([1]StagingTable!T405:T1036,0.67),"MEDIUM","HIGH"))</f>
        <v>MEDIUM</v>
      </c>
    </row>
    <row r="406" spans="1:4" x14ac:dyDescent="0.25">
      <c r="A406" t="str">
        <f>TEXT([1]StagingTable!B406,"MMM-YYY")</f>
        <v>Jan-2025</v>
      </c>
      <c r="B406" t="str">
        <f>"Q"&amp;ROUNDUP(MONTH([1]StagingTable!B406)/3,0)&amp;"-"&amp;YEAR([1]StagingTable!D405)</f>
        <v>Q1-2024</v>
      </c>
      <c r="C406" t="str">
        <f>[1]StagingTable!F406&amp;"-"&amp;[1]StagingTable!G406&amp;"-"&amp;[1]StagingTable!H406</f>
        <v>Americas-Brazil-Brasília</v>
      </c>
      <c r="D406" t="str">
        <f>IF([1]StagingTable!T406&lt;=_xlfn.PERCENTILE.INC([1]StagingTable!T406:T1037,0.33),"LOW",IF([1]StagingTable!T406&lt;=_xlfn.PERCENTILE.INC([1]StagingTable!T406:T1037,0.67),"MEDIUM","HIGH"))</f>
        <v>MEDIUM</v>
      </c>
    </row>
    <row r="407" spans="1:4" x14ac:dyDescent="0.25">
      <c r="A407" t="str">
        <f>TEXT([1]StagingTable!B407,"MMM-YYY")</f>
        <v>Mar-2023</v>
      </c>
      <c r="B407" t="str">
        <f>"Q"&amp;ROUNDUP(MONTH([1]StagingTable!B407)/3,0)&amp;"-"&amp;YEAR([1]StagingTable!D406)</f>
        <v>Q1-2025</v>
      </c>
      <c r="C407" t="str">
        <f>[1]StagingTable!F407&amp;"-"&amp;[1]StagingTable!G407&amp;"-"&amp;[1]StagingTable!H407</f>
        <v>Asia-China-Beijing</v>
      </c>
      <c r="D407" t="str">
        <f>IF([1]StagingTable!T407&lt;=_xlfn.PERCENTILE.INC([1]StagingTable!T407:T1038,0.33),"LOW",IF([1]StagingTable!T407&lt;=_xlfn.PERCENTILE.INC([1]StagingTable!T407:T1038,0.67),"MEDIUM","HIGH"))</f>
        <v>HIGH</v>
      </c>
    </row>
    <row r="408" spans="1:4" x14ac:dyDescent="0.25">
      <c r="A408" t="str">
        <f>TEXT([1]StagingTable!B408,"MMM-YYY")</f>
        <v>Dec-2024</v>
      </c>
      <c r="B408" t="str">
        <f>"Q"&amp;ROUNDUP(MONTH([1]StagingTable!B408)/3,0)&amp;"-"&amp;YEAR([1]StagingTable!D407)</f>
        <v>Q4-2023</v>
      </c>
      <c r="C408" t="str">
        <f>[1]StagingTable!F408&amp;"-"&amp;[1]StagingTable!G408&amp;"-"&amp;[1]StagingTable!H408</f>
        <v>Asia-India-Delhi</v>
      </c>
      <c r="D408" t="str">
        <f>IF([1]StagingTable!T408&lt;=_xlfn.PERCENTILE.INC([1]StagingTable!T408:T1039,0.33),"LOW",IF([1]StagingTable!T408&lt;=_xlfn.PERCENTILE.INC([1]StagingTable!T408:T1039,0.67),"MEDIUM","HIGH"))</f>
        <v>HIGH</v>
      </c>
    </row>
    <row r="409" spans="1:4" x14ac:dyDescent="0.25">
      <c r="A409" t="str">
        <f>TEXT([1]StagingTable!B409,"MMM-YYY")</f>
        <v>Feb-2025</v>
      </c>
      <c r="B409" t="str">
        <f>"Q"&amp;ROUNDUP(MONTH([1]StagingTable!B409)/3,0)&amp;"-"&amp;YEAR([1]StagingTable!D408)</f>
        <v>Q1-2025</v>
      </c>
      <c r="C409" t="str">
        <f>[1]StagingTable!F409&amp;"-"&amp;[1]StagingTable!G409&amp;"-"&amp;[1]StagingTable!H409</f>
        <v>Africa-Nigeria-Abuja</v>
      </c>
      <c r="D409" t="str">
        <f>IF([1]StagingTable!T409&lt;=_xlfn.PERCENTILE.INC([1]StagingTable!T409:T1040,0.33),"LOW",IF([1]StagingTable!T409&lt;=_xlfn.PERCENTILE.INC([1]StagingTable!T409:T1040,0.67),"MEDIUM","HIGH"))</f>
        <v>MEDIUM</v>
      </c>
    </row>
    <row r="410" spans="1:4" x14ac:dyDescent="0.25">
      <c r="A410" t="str">
        <f>TEXT([1]StagingTable!B410,"MMM-YYY")</f>
        <v>Mar-2025</v>
      </c>
      <c r="B410" t="str">
        <f>"Q"&amp;ROUNDUP(MONTH([1]StagingTable!B410)/3,0)&amp;"-"&amp;YEAR([1]StagingTable!D409)</f>
        <v>Q1-2025</v>
      </c>
      <c r="C410" t="str">
        <f>[1]StagingTable!F410&amp;"-"&amp;[1]StagingTable!G410&amp;"-"&amp;[1]StagingTable!H410</f>
        <v>Asia-India-Bengaluru</v>
      </c>
      <c r="D410" t="str">
        <f>IF([1]StagingTable!T410&lt;=_xlfn.PERCENTILE.INC([1]StagingTable!T410:T1041,0.33),"LOW",IF([1]StagingTable!T410&lt;=_xlfn.PERCENTILE.INC([1]StagingTable!T410:T1041,0.67),"MEDIUM","HIGH"))</f>
        <v>LOW</v>
      </c>
    </row>
    <row r="411" spans="1:4" x14ac:dyDescent="0.25">
      <c r="A411" t="str">
        <f>TEXT([1]StagingTable!B411,"MMM-YYY")</f>
        <v>Dec-2023</v>
      </c>
      <c r="B411" t="str">
        <f>"Q"&amp;ROUNDUP(MONTH([1]StagingTable!B411)/3,0)&amp;"-"&amp;YEAR([1]StagingTable!D410)</f>
        <v>Q4-2025</v>
      </c>
      <c r="C411" t="str">
        <f>[1]StagingTable!F411&amp;"-"&amp;[1]StagingTable!G411&amp;"-"&amp;[1]StagingTable!H411</f>
        <v>Asia-China-Beijing</v>
      </c>
      <c r="D411" t="str">
        <f>IF([1]StagingTable!T411&lt;=_xlfn.PERCENTILE.INC([1]StagingTable!T411:T1042,0.33),"LOW",IF([1]StagingTable!T411&lt;=_xlfn.PERCENTILE.INC([1]StagingTable!T411:T1042,0.67),"MEDIUM","HIGH"))</f>
        <v>HIGH</v>
      </c>
    </row>
    <row r="412" spans="1:4" x14ac:dyDescent="0.25">
      <c r="A412" t="str">
        <f>TEXT([1]StagingTable!B412,"MMM-YYY")</f>
        <v>Aug-2024</v>
      </c>
      <c r="B412" t="str">
        <f>"Q"&amp;ROUNDUP(MONTH([1]StagingTable!B412)/3,0)&amp;"-"&amp;YEAR([1]StagingTable!D411)</f>
        <v>Q3-2023</v>
      </c>
      <c r="C412" t="str">
        <f>[1]StagingTable!F412&amp;"-"&amp;[1]StagingTable!G412&amp;"-"&amp;[1]StagingTable!H412</f>
        <v>Asia-Japan-Nagoya</v>
      </c>
      <c r="D412" t="str">
        <f>IF([1]StagingTable!T412&lt;=_xlfn.PERCENTILE.INC([1]StagingTable!T412:T1043,0.33),"LOW",IF([1]StagingTable!T412&lt;=_xlfn.PERCENTILE.INC([1]StagingTable!T412:T1043,0.67),"MEDIUM","HIGH"))</f>
        <v>MEDIUM</v>
      </c>
    </row>
    <row r="413" spans="1:4" x14ac:dyDescent="0.25">
      <c r="A413" t="str">
        <f>TEXT([1]StagingTable!B413,"MMM-YYY")</f>
        <v>May-2024</v>
      </c>
      <c r="B413" t="str">
        <f>"Q"&amp;ROUNDUP(MONTH([1]StagingTable!B413)/3,0)&amp;"-"&amp;YEAR([1]StagingTable!D412)</f>
        <v>Q2-2024</v>
      </c>
      <c r="C413" t="str">
        <f>[1]StagingTable!F413&amp;"-"&amp;[1]StagingTable!G413&amp;"-"&amp;[1]StagingTable!H413</f>
        <v>Europe-France-Marseille</v>
      </c>
      <c r="D413" t="str">
        <f>IF([1]StagingTable!T413&lt;=_xlfn.PERCENTILE.INC([1]StagingTable!T413:T1044,0.33),"LOW",IF([1]StagingTable!T413&lt;=_xlfn.PERCENTILE.INC([1]StagingTable!T413:T1044,0.67),"MEDIUM","HIGH"))</f>
        <v>LOW</v>
      </c>
    </row>
    <row r="414" spans="1:4" x14ac:dyDescent="0.25">
      <c r="A414" t="str">
        <f>TEXT([1]StagingTable!B414,"MMM-YYY")</f>
        <v>Mar-2023</v>
      </c>
      <c r="B414" t="str">
        <f>"Q"&amp;ROUNDUP(MONTH([1]StagingTable!B414)/3,0)&amp;"-"&amp;YEAR([1]StagingTable!D413)</f>
        <v>Q1-2024</v>
      </c>
      <c r="C414" t="str">
        <f>[1]StagingTable!F414&amp;"-"&amp;[1]StagingTable!G414&amp;"-"&amp;[1]StagingTable!H414</f>
        <v>Europe-Germany-Munich</v>
      </c>
      <c r="D414" t="str">
        <f>IF([1]StagingTable!T414&lt;=_xlfn.PERCENTILE.INC([1]StagingTable!T414:T1045,0.33),"LOW",IF([1]StagingTable!T414&lt;=_xlfn.PERCENTILE.INC([1]StagingTable!T414:T1045,0.67),"MEDIUM","HIGH"))</f>
        <v>MEDIUM</v>
      </c>
    </row>
    <row r="415" spans="1:4" x14ac:dyDescent="0.25">
      <c r="A415" t="str">
        <f>TEXT([1]StagingTable!B415,"MMM-YYY")</f>
        <v>Aug-2023</v>
      </c>
      <c r="B415" t="str">
        <f>"Q"&amp;ROUNDUP(MONTH([1]StagingTable!B415)/3,0)&amp;"-"&amp;YEAR([1]StagingTable!D414)</f>
        <v>Q3-2023</v>
      </c>
      <c r="C415" t="str">
        <f>[1]StagingTable!F415&amp;"-"&amp;[1]StagingTable!G415&amp;"-"&amp;[1]StagingTable!H415</f>
        <v>Africa-Nigeria-Abuja</v>
      </c>
      <c r="D415" t="str">
        <f>IF([1]StagingTable!T415&lt;=_xlfn.PERCENTILE.INC([1]StagingTable!T415:T1046,0.33),"LOW",IF([1]StagingTable!T415&lt;=_xlfn.PERCENTILE.INC([1]StagingTable!T415:T1046,0.67),"MEDIUM","HIGH"))</f>
        <v>HIGH</v>
      </c>
    </row>
    <row r="416" spans="1:4" x14ac:dyDescent="0.25">
      <c r="A416" t="str">
        <f>TEXT([1]StagingTable!B416,"MMM-YYY")</f>
        <v>Jun-2024</v>
      </c>
      <c r="B416" t="str">
        <f>"Q"&amp;ROUNDUP(MONTH([1]StagingTable!B416)/3,0)&amp;"-"&amp;YEAR([1]StagingTable!D415)</f>
        <v>Q2-2023</v>
      </c>
      <c r="C416" t="str">
        <f>[1]StagingTable!F416&amp;"-"&amp;[1]StagingTable!G416&amp;"-"&amp;[1]StagingTable!H416</f>
        <v>Asia-India-Bengaluru</v>
      </c>
      <c r="D416" t="str">
        <f>IF([1]StagingTable!T416&lt;=_xlfn.PERCENTILE.INC([1]StagingTable!T416:T1047,0.33),"LOW",IF([1]StagingTable!T416&lt;=_xlfn.PERCENTILE.INC([1]StagingTable!T416:T1047,0.67),"MEDIUM","HIGH"))</f>
        <v>HIGH</v>
      </c>
    </row>
    <row r="417" spans="1:4" x14ac:dyDescent="0.25">
      <c r="A417" t="str">
        <f>TEXT([1]StagingTable!B417,"MMM-YYY")</f>
        <v>Aug-2023</v>
      </c>
      <c r="B417" t="str">
        <f>"Q"&amp;ROUNDUP(MONTH([1]StagingTable!B417)/3,0)&amp;"-"&amp;YEAR([1]StagingTable!D416)</f>
        <v>Q3-2024</v>
      </c>
      <c r="C417" t="str">
        <f>[1]StagingTable!F417&amp;"-"&amp;[1]StagingTable!G417&amp;"-"&amp;[1]StagingTable!H417</f>
        <v>Americas-Canada-Vancouver</v>
      </c>
      <c r="D417" t="str">
        <f>IF([1]StagingTable!T417&lt;=_xlfn.PERCENTILE.INC([1]StagingTable!T417:T1048,0.33),"LOW",IF([1]StagingTable!T417&lt;=_xlfn.PERCENTILE.INC([1]StagingTable!T417:T1048,0.67),"MEDIUM","HIGH"))</f>
        <v>HIGH</v>
      </c>
    </row>
    <row r="418" spans="1:4" x14ac:dyDescent="0.25">
      <c r="A418" t="str">
        <f>TEXT([1]StagingTable!B418,"MMM-YYY")</f>
        <v>Nov-2024</v>
      </c>
      <c r="B418" t="str">
        <f>"Q"&amp;ROUNDUP(MONTH([1]StagingTable!B418)/3,0)&amp;"-"&amp;YEAR([1]StagingTable!D417)</f>
        <v>Q4-2023</v>
      </c>
      <c r="C418" t="str">
        <f>[1]StagingTable!F418&amp;"-"&amp;[1]StagingTable!G418&amp;"-"&amp;[1]StagingTable!H418</f>
        <v>Asia-India-Hyderabad</v>
      </c>
      <c r="D418" t="str">
        <f>IF([1]StagingTable!T418&lt;=_xlfn.PERCENTILE.INC([1]StagingTable!T418:T1049,0.33),"LOW",IF([1]StagingTable!T418&lt;=_xlfn.PERCENTILE.INC([1]StagingTable!T418:T1049,0.67),"MEDIUM","HIGH"))</f>
        <v>MEDIUM</v>
      </c>
    </row>
    <row r="419" spans="1:4" x14ac:dyDescent="0.25">
      <c r="A419" t="str">
        <f>TEXT([1]StagingTable!B419,"MMM-YYY")</f>
        <v>Jun-2025</v>
      </c>
      <c r="B419" t="str">
        <f>"Q"&amp;ROUNDUP(MONTH([1]StagingTable!B419)/3,0)&amp;"-"&amp;YEAR([1]StagingTable!D418)</f>
        <v>Q2-2024</v>
      </c>
      <c r="C419" t="str">
        <f>[1]StagingTable!F419&amp;"-"&amp;[1]StagingTable!G419&amp;"-"&amp;[1]StagingTable!H419</f>
        <v>Asia-India-Delhi</v>
      </c>
      <c r="D419" t="str">
        <f>IF([1]StagingTable!T419&lt;=_xlfn.PERCENTILE.INC([1]StagingTable!T419:T1050,0.33),"LOW",IF([1]StagingTable!T419&lt;=_xlfn.PERCENTILE.INC([1]StagingTable!T419:T1050,0.67),"MEDIUM","HIGH"))</f>
        <v>LOW</v>
      </c>
    </row>
    <row r="420" spans="1:4" x14ac:dyDescent="0.25">
      <c r="A420" t="str">
        <f>TEXT([1]StagingTable!B420,"MMM-YYY")</f>
        <v>Mar-2025</v>
      </c>
      <c r="B420" t="str">
        <f>"Q"&amp;ROUNDUP(MONTH([1]StagingTable!B420)/3,0)&amp;"-"&amp;YEAR([1]StagingTable!D419)</f>
        <v>Q1-2025</v>
      </c>
      <c r="C420" t="str">
        <f>[1]StagingTable!F420&amp;"-"&amp;[1]StagingTable!G420&amp;"-"&amp;[1]StagingTable!H420</f>
        <v>Asia-China-Unknown</v>
      </c>
      <c r="D420" t="str">
        <f>IF([1]StagingTable!T420&lt;=_xlfn.PERCENTILE.INC([1]StagingTable!T420:T1051,0.33),"LOW",IF([1]StagingTable!T420&lt;=_xlfn.PERCENTILE.INC([1]StagingTable!T420:T1051,0.67),"MEDIUM","HIGH"))</f>
        <v>LOW</v>
      </c>
    </row>
    <row r="421" spans="1:4" x14ac:dyDescent="0.25">
      <c r="A421" t="str">
        <f>TEXT([1]StagingTable!B421,"MMM-YYY")</f>
        <v>Jan-2024</v>
      </c>
      <c r="B421" t="str">
        <f>"Q"&amp;ROUNDUP(MONTH([1]StagingTable!B421)/3,0)&amp;"-"&amp;YEAR([1]StagingTable!D420)</f>
        <v>Q1-2025</v>
      </c>
      <c r="C421" t="str">
        <f>[1]StagingTable!F421&amp;"-"&amp;[1]StagingTable!G421&amp;"-"&amp;[1]StagingTable!H421</f>
        <v>Europe-Germany-Frankfurt</v>
      </c>
      <c r="D421" t="str">
        <f>IF([1]StagingTable!T421&lt;=_xlfn.PERCENTILE.INC([1]StagingTable!T421:T1052,0.33),"LOW",IF([1]StagingTable!T421&lt;=_xlfn.PERCENTILE.INC([1]StagingTable!T421:T1052,0.67),"MEDIUM","HIGH"))</f>
        <v>LOW</v>
      </c>
    </row>
    <row r="422" spans="1:4" x14ac:dyDescent="0.25">
      <c r="A422" t="str">
        <f>TEXT([1]StagingTable!B422,"MMM-YYY")</f>
        <v>Oct-2023</v>
      </c>
      <c r="B422" t="str">
        <f>"Q"&amp;ROUNDUP(MONTH([1]StagingTable!B422)/3,0)&amp;"-"&amp;YEAR([1]StagingTable!D421)</f>
        <v>Q4-2024</v>
      </c>
      <c r="C422" t="str">
        <f>[1]StagingTable!F422&amp;"-"&amp;[1]StagingTable!G422&amp;"-"&amp;[1]StagingTable!H422</f>
        <v>Asia-Japan-Nagoya</v>
      </c>
      <c r="D422" t="str">
        <f>IF([1]StagingTable!T422&lt;=_xlfn.PERCENTILE.INC([1]StagingTable!T422:T1053,0.33),"LOW",IF([1]StagingTable!T422&lt;=_xlfn.PERCENTILE.INC([1]StagingTable!T422:T1053,0.67),"MEDIUM","HIGH"))</f>
        <v>HIGH</v>
      </c>
    </row>
    <row r="423" spans="1:4" x14ac:dyDescent="0.25">
      <c r="A423" t="str">
        <f>TEXT([1]StagingTable!B423,"MMM-YYY")</f>
        <v>Feb-2025</v>
      </c>
      <c r="B423" t="str">
        <f>"Q"&amp;ROUNDUP(MONTH([1]StagingTable!B423)/3,0)&amp;"-"&amp;YEAR([1]StagingTable!D422)</f>
        <v>Q1-2023</v>
      </c>
      <c r="C423" t="str">
        <f>[1]StagingTable!F423&amp;"-"&amp;[1]StagingTable!G423&amp;"-"&amp;[1]StagingTable!H423</f>
        <v>Americas-USA-San Francisco</v>
      </c>
      <c r="D423" t="str">
        <f>IF([1]StagingTable!T423&lt;=_xlfn.PERCENTILE.INC([1]StagingTable!T423:T1054,0.33),"LOW",IF([1]StagingTable!T423&lt;=_xlfn.PERCENTILE.INC([1]StagingTable!T423:T1054,0.67),"MEDIUM","HIGH"))</f>
        <v>HIGH</v>
      </c>
    </row>
    <row r="424" spans="1:4" x14ac:dyDescent="0.25">
      <c r="A424" t="str">
        <f>TEXT([1]StagingTable!B424,"MMM-YYY")</f>
        <v>Jul-2025</v>
      </c>
      <c r="B424" t="str">
        <f>"Q"&amp;ROUNDUP(MONTH([1]StagingTable!B424)/3,0)&amp;"-"&amp;YEAR([1]StagingTable!D423)</f>
        <v>Q3-2025</v>
      </c>
      <c r="C424" t="str">
        <f>[1]StagingTable!F424&amp;"-"&amp;[1]StagingTable!G424&amp;"-"&amp;[1]StagingTable!H424</f>
        <v>Africa-Nigeria-Lagos</v>
      </c>
      <c r="D424" t="str">
        <f>IF([1]StagingTable!T424&lt;=_xlfn.PERCENTILE.INC([1]StagingTable!T424:T1055,0.33),"LOW",IF([1]StagingTable!T424&lt;=_xlfn.PERCENTILE.INC([1]StagingTable!T424:T1055,0.67),"MEDIUM","HIGH"))</f>
        <v>HIGH</v>
      </c>
    </row>
    <row r="425" spans="1:4" x14ac:dyDescent="0.25">
      <c r="A425" t="str">
        <f>TEXT([1]StagingTable!B425,"MMM-YYY")</f>
        <v>Sep-2025</v>
      </c>
      <c r="B425" t="str">
        <f>"Q"&amp;ROUNDUP(MONTH([1]StagingTable!B425)/3,0)&amp;"-"&amp;YEAR([1]StagingTable!D424)</f>
        <v>Q3-2025</v>
      </c>
      <c r="C425" t="str">
        <f>[1]StagingTable!F425&amp;"-"&amp;[1]StagingTable!G425&amp;"-"&amp;[1]StagingTable!H425</f>
        <v>Asia-India-Delhi</v>
      </c>
      <c r="D425" t="str">
        <f>IF([1]StagingTable!T425&lt;=_xlfn.PERCENTILE.INC([1]StagingTable!T425:T1056,0.33),"LOW",IF([1]StagingTable!T425&lt;=_xlfn.PERCENTILE.INC([1]StagingTable!T425:T1056,0.67),"MEDIUM","HIGH"))</f>
        <v>MEDIUM</v>
      </c>
    </row>
    <row r="426" spans="1:4" x14ac:dyDescent="0.25">
      <c r="A426" t="str">
        <f>TEXT([1]StagingTable!B426,"MMM-YYY")</f>
        <v>Feb-2024</v>
      </c>
      <c r="B426" t="str">
        <f>"Q"&amp;ROUNDUP(MONTH([1]StagingTable!B426)/3,0)&amp;"-"&amp;YEAR([1]StagingTable!D425)</f>
        <v>Q1-2025</v>
      </c>
      <c r="C426" t="str">
        <f>[1]StagingTable!F426&amp;"-"&amp;[1]StagingTable!G426&amp;"-"&amp;[1]StagingTable!H426</f>
        <v>Asia-China-Beijing</v>
      </c>
      <c r="D426" t="str">
        <f>IF([1]StagingTable!T426&lt;=_xlfn.PERCENTILE.INC([1]StagingTable!T426:T1057,0.33),"LOW",IF([1]StagingTable!T426&lt;=_xlfn.PERCENTILE.INC([1]StagingTable!T426:T1057,0.67),"MEDIUM","HIGH"))</f>
        <v>HIGH</v>
      </c>
    </row>
    <row r="427" spans="1:4" x14ac:dyDescent="0.25">
      <c r="A427" t="str">
        <f>TEXT([1]StagingTable!B427,"MMM-YYY")</f>
        <v>Feb-2024</v>
      </c>
      <c r="B427" t="str">
        <f>"Q"&amp;ROUNDUP(MONTH([1]StagingTable!B427)/3,0)&amp;"-"&amp;YEAR([1]StagingTable!D426)</f>
        <v>Q1-2024</v>
      </c>
      <c r="C427" t="str">
        <f>[1]StagingTable!F427&amp;"-"&amp;[1]StagingTable!G427&amp;"-"&amp;[1]StagingTable!H427</f>
        <v>Asia-India-Mumbai</v>
      </c>
      <c r="D427" t="str">
        <f>IF([1]StagingTable!T427&lt;=_xlfn.PERCENTILE.INC([1]StagingTable!T427:T1058,0.33),"LOW",IF([1]StagingTable!T427&lt;=_xlfn.PERCENTILE.INC([1]StagingTable!T427:T1058,0.67),"MEDIUM","HIGH"))</f>
        <v>HIGH</v>
      </c>
    </row>
    <row r="428" spans="1:4" x14ac:dyDescent="0.25">
      <c r="A428" t="str">
        <f>TEXT([1]StagingTable!B428,"MMM-YYY")</f>
        <v>Aug-2025</v>
      </c>
      <c r="B428" t="str">
        <f>"Q"&amp;ROUNDUP(MONTH([1]StagingTable!B428)/3,0)&amp;"-"&amp;YEAR([1]StagingTable!D427)</f>
        <v>Q3-2024</v>
      </c>
      <c r="C428" t="str">
        <f>[1]StagingTable!F428&amp;"-"&amp;[1]StagingTable!G428&amp;"-"&amp;[1]StagingTable!H428</f>
        <v>Africa-Nigeria-Port Harcourt</v>
      </c>
      <c r="D428" t="str">
        <f>IF([1]StagingTable!T428&lt;=_xlfn.PERCENTILE.INC([1]StagingTable!T428:T1059,0.33),"LOW",IF([1]StagingTable!T428&lt;=_xlfn.PERCENTILE.INC([1]StagingTable!T428:T1059,0.67),"MEDIUM","HIGH"))</f>
        <v>HIGH</v>
      </c>
    </row>
    <row r="429" spans="1:4" x14ac:dyDescent="0.25">
      <c r="A429" t="str">
        <f>TEXT([1]StagingTable!B429,"MMM-YYY")</f>
        <v>Aug-2024</v>
      </c>
      <c r="B429" t="str">
        <f>"Q"&amp;ROUNDUP(MONTH([1]StagingTable!B429)/3,0)&amp;"-"&amp;YEAR([1]StagingTable!D428)</f>
        <v>Q3-2025</v>
      </c>
      <c r="C429" t="str">
        <f>[1]StagingTable!F429&amp;"-"&amp;[1]StagingTable!G429&amp;"-"&amp;[1]StagingTable!H429</f>
        <v>Asia-India-Mumbai</v>
      </c>
      <c r="D429" t="str">
        <f>IF([1]StagingTable!T429&lt;=_xlfn.PERCENTILE.INC([1]StagingTable!T429:T1060,0.33),"LOW",IF([1]StagingTable!T429&lt;=_xlfn.PERCENTILE.INC([1]StagingTable!T429:T1060,0.67),"MEDIUM","HIGH"))</f>
        <v>MEDIUM</v>
      </c>
    </row>
    <row r="430" spans="1:4" x14ac:dyDescent="0.25">
      <c r="A430" t="str">
        <f>TEXT([1]StagingTable!B430,"MMM-YYY")</f>
        <v>Feb-2024</v>
      </c>
      <c r="B430" t="str">
        <f>"Q"&amp;ROUNDUP(MONTH([1]StagingTable!B430)/3,0)&amp;"-"&amp;YEAR([1]StagingTable!D429)</f>
        <v>Q1-2024</v>
      </c>
      <c r="C430" t="str">
        <f>[1]StagingTable!F430&amp;"-"&amp;[1]StagingTable!G430&amp;"-"&amp;[1]StagingTable!H430</f>
        <v>Europe-France-Marseille</v>
      </c>
      <c r="D430" t="str">
        <f>IF([1]StagingTable!T430&lt;=_xlfn.PERCENTILE.INC([1]StagingTable!T430:T1061,0.33),"LOW",IF([1]StagingTable!T430&lt;=_xlfn.PERCENTILE.INC([1]StagingTable!T430:T1061,0.67),"MEDIUM","HIGH"))</f>
        <v>LOW</v>
      </c>
    </row>
    <row r="431" spans="1:4" x14ac:dyDescent="0.25">
      <c r="A431" t="str">
        <f>TEXT([1]StagingTable!B431,"MMM-YYY")</f>
        <v>May-2025</v>
      </c>
      <c r="B431" t="str">
        <f>"Q"&amp;ROUNDUP(MONTH([1]StagingTable!B431)/3,0)&amp;"-"&amp;YEAR([1]StagingTable!D430)</f>
        <v>Q2-2024</v>
      </c>
      <c r="C431" t="str">
        <f>[1]StagingTable!F431&amp;"-"&amp;[1]StagingTable!G431&amp;"-"&amp;[1]StagingTable!H431</f>
        <v>Asia-India-Bengaluru</v>
      </c>
      <c r="D431" t="str">
        <f>IF([1]StagingTable!T431&lt;=_xlfn.PERCENTILE.INC([1]StagingTable!T431:T1062,0.33),"LOW",IF([1]StagingTable!T431&lt;=_xlfn.PERCENTILE.INC([1]StagingTable!T431:T1062,0.67),"MEDIUM","HIGH"))</f>
        <v>HIGH</v>
      </c>
    </row>
    <row r="432" spans="1:4" x14ac:dyDescent="0.25">
      <c r="A432" t="str">
        <f>TEXT([1]StagingTable!B432,"MMM-YYY")</f>
        <v>Nov-2024</v>
      </c>
      <c r="B432" t="str">
        <f>"Q"&amp;ROUNDUP(MONTH([1]StagingTable!B432)/3,0)&amp;"-"&amp;YEAR([1]StagingTable!D431)</f>
        <v>Q4-2025</v>
      </c>
      <c r="C432" t="str">
        <f>[1]StagingTable!F432&amp;"-"&amp;[1]StagingTable!G432&amp;"-"&amp;[1]StagingTable!H432</f>
        <v>Europe-Germany-Frankfurt</v>
      </c>
      <c r="D432" t="str">
        <f>IF([1]StagingTable!T432&lt;=_xlfn.PERCENTILE.INC([1]StagingTable!T432:T1063,0.33),"LOW",IF([1]StagingTable!T432&lt;=_xlfn.PERCENTILE.INC([1]StagingTable!T432:T1063,0.67),"MEDIUM","HIGH"))</f>
        <v>MEDIUM</v>
      </c>
    </row>
    <row r="433" spans="1:4" x14ac:dyDescent="0.25">
      <c r="A433" t="str">
        <f>TEXT([1]StagingTable!B433,"MMM-YYY")</f>
        <v>Dec-2024</v>
      </c>
      <c r="B433" t="str">
        <f>"Q"&amp;ROUNDUP(MONTH([1]StagingTable!B433)/3,0)&amp;"-"&amp;YEAR([1]StagingTable!D432)</f>
        <v>Q4-2024</v>
      </c>
      <c r="C433" t="str">
        <f>[1]StagingTable!F433&amp;"-"&amp;[1]StagingTable!G433&amp;"-"&amp;[1]StagingTable!H433</f>
        <v>Asia-China-Shenzhen</v>
      </c>
      <c r="D433" t="str">
        <f>IF([1]StagingTable!T433&lt;=_xlfn.PERCENTILE.INC([1]StagingTable!T433:T1064,0.33),"LOW",IF([1]StagingTable!T433&lt;=_xlfn.PERCENTILE.INC([1]StagingTable!T433:T1064,0.67),"MEDIUM","HIGH"))</f>
        <v>HIGH</v>
      </c>
    </row>
    <row r="434" spans="1:4" x14ac:dyDescent="0.25">
      <c r="A434" t="str">
        <f>TEXT([1]StagingTable!B434,"MMM-YYY")</f>
        <v>Oct-2023</v>
      </c>
      <c r="B434" t="str">
        <f>"Q"&amp;ROUNDUP(MONTH([1]StagingTable!B434)/3,0)&amp;"-"&amp;YEAR([1]StagingTable!D433)</f>
        <v>Q4-2025</v>
      </c>
      <c r="C434" t="str">
        <f>[1]StagingTable!F434&amp;"-"&amp;[1]StagingTable!G434&amp;"-"&amp;[1]StagingTable!H434</f>
        <v>Europe-United Kingdom-Manchester</v>
      </c>
      <c r="D434" t="str">
        <f>IF([1]StagingTable!T434&lt;=_xlfn.PERCENTILE.INC([1]StagingTable!T434:T1065,0.33),"LOW",IF([1]StagingTable!T434&lt;=_xlfn.PERCENTILE.INC([1]StagingTable!T434:T1065,0.67),"MEDIUM","HIGH"))</f>
        <v>LOW</v>
      </c>
    </row>
    <row r="435" spans="1:4" x14ac:dyDescent="0.25">
      <c r="A435" t="str">
        <f>TEXT([1]StagingTable!B435,"MMM-YYY")</f>
        <v>Dec-2024</v>
      </c>
      <c r="B435" t="str">
        <f>"Q"&amp;ROUNDUP(MONTH([1]StagingTable!B435)/3,0)&amp;"-"&amp;YEAR([1]StagingTable!D434)</f>
        <v>Q4-2023</v>
      </c>
      <c r="C435" t="str">
        <f>[1]StagingTable!F435&amp;"-"&amp;[1]StagingTable!G435&amp;"-"&amp;[1]StagingTable!H435</f>
        <v>Africa-Nigeria-Lagos</v>
      </c>
      <c r="D435" t="str">
        <f>IF([1]StagingTable!T435&lt;=_xlfn.PERCENTILE.INC([1]StagingTable!T435:T1066,0.33),"LOW",IF([1]StagingTable!T435&lt;=_xlfn.PERCENTILE.INC([1]StagingTable!T435:T1066,0.67),"MEDIUM","HIGH"))</f>
        <v>MEDIUM</v>
      </c>
    </row>
    <row r="436" spans="1:4" x14ac:dyDescent="0.25">
      <c r="A436" t="str">
        <f>TEXT([1]StagingTable!B436,"MMM-YYY")</f>
        <v>Sep-2024</v>
      </c>
      <c r="B436" t="str">
        <f>"Q"&amp;ROUNDUP(MONTH([1]StagingTable!B436)/3,0)&amp;"-"&amp;YEAR([1]StagingTable!D435)</f>
        <v>Q3-2024</v>
      </c>
      <c r="C436" t="str">
        <f>[1]StagingTable!F436&amp;"-"&amp;[1]StagingTable!G436&amp;"-"&amp;[1]StagingTable!H436</f>
        <v>Asia-China-Beijing</v>
      </c>
      <c r="D436" t="str">
        <f>IF([1]StagingTable!T436&lt;=_xlfn.PERCENTILE.INC([1]StagingTable!T436:T1067,0.33),"LOW",IF([1]StagingTable!T436&lt;=_xlfn.PERCENTILE.INC([1]StagingTable!T436:T1067,0.67),"MEDIUM","HIGH"))</f>
        <v>LOW</v>
      </c>
    </row>
    <row r="437" spans="1:4" x14ac:dyDescent="0.25">
      <c r="A437" t="str">
        <f>TEXT([1]StagingTable!B437,"MMM-YYY")</f>
        <v>Oct-2023</v>
      </c>
      <c r="B437" t="str">
        <f>"Q"&amp;ROUNDUP(MONTH([1]StagingTable!B437)/3,0)&amp;"-"&amp;YEAR([1]StagingTable!D436)</f>
        <v>Q4-2024</v>
      </c>
      <c r="C437" t="str">
        <f>[1]StagingTable!F437&amp;"-"&amp;[1]StagingTable!G437&amp;"-"&amp;[1]StagingTable!H437</f>
        <v>Africa-Kenya-Kisumu</v>
      </c>
      <c r="D437" t="str">
        <f>IF([1]StagingTable!T437&lt;=_xlfn.PERCENTILE.INC([1]StagingTable!T437:T1068,0.33),"LOW",IF([1]StagingTable!T437&lt;=_xlfn.PERCENTILE.INC([1]StagingTable!T437:T1068,0.67),"MEDIUM","HIGH"))</f>
        <v>MEDIUM</v>
      </c>
    </row>
    <row r="438" spans="1:4" x14ac:dyDescent="0.25">
      <c r="A438" t="str">
        <f>TEXT([1]StagingTable!B438,"MMM-YYY")</f>
        <v>Dec-2024</v>
      </c>
      <c r="B438" t="str">
        <f>"Q"&amp;ROUNDUP(MONTH([1]StagingTable!B438)/3,0)&amp;"-"&amp;YEAR([1]StagingTable!D437)</f>
        <v>Q4-2023</v>
      </c>
      <c r="C438" t="str">
        <f>[1]StagingTable!F438&amp;"-"&amp;[1]StagingTable!G438&amp;"-"&amp;[1]StagingTable!H438</f>
        <v>Asia-India-Bengaluru</v>
      </c>
      <c r="D438" t="str">
        <f>IF([1]StagingTable!T438&lt;=_xlfn.PERCENTILE.INC([1]StagingTable!T438:T1069,0.33),"LOW",IF([1]StagingTable!T438&lt;=_xlfn.PERCENTILE.INC([1]StagingTable!T438:T1069,0.67),"MEDIUM","HIGH"))</f>
        <v>LOW</v>
      </c>
    </row>
    <row r="439" spans="1:4" x14ac:dyDescent="0.25">
      <c r="A439" t="str">
        <f>TEXT([1]StagingTable!B439,"MMM-YYY")</f>
        <v>Apr-2023</v>
      </c>
      <c r="B439" t="str">
        <f>"Q"&amp;ROUNDUP(MONTH([1]StagingTable!B439)/3,0)&amp;"-"&amp;YEAR([1]StagingTable!D438)</f>
        <v>Q2-2025</v>
      </c>
      <c r="C439" t="str">
        <f>[1]StagingTable!F439&amp;"-"&amp;[1]StagingTable!G439&amp;"-"&amp;[1]StagingTable!H439</f>
        <v>Asia-Japan-Nagoya</v>
      </c>
      <c r="D439" t="str">
        <f>IF([1]StagingTable!T439&lt;=_xlfn.PERCENTILE.INC([1]StagingTable!T439:T1070,0.33),"LOW",IF([1]StagingTable!T439&lt;=_xlfn.PERCENTILE.INC([1]StagingTable!T439:T1070,0.67),"MEDIUM","HIGH"))</f>
        <v>MEDIUM</v>
      </c>
    </row>
    <row r="440" spans="1:4" x14ac:dyDescent="0.25">
      <c r="A440" t="str">
        <f>TEXT([1]StagingTable!B440,"MMM-YYY")</f>
        <v>Dec-2023</v>
      </c>
      <c r="B440" t="str">
        <f>"Q"&amp;ROUNDUP(MONTH([1]StagingTable!B440)/3,0)&amp;"-"&amp;YEAR([1]StagingTable!D439)</f>
        <v>Q4-2023</v>
      </c>
      <c r="C440" t="str">
        <f>[1]StagingTable!F440&amp;"-"&amp;[1]StagingTable!G440&amp;"-"&amp;[1]StagingTable!H440</f>
        <v>Europe-France-Marseille</v>
      </c>
      <c r="D440" t="str">
        <f>IF([1]StagingTable!T440&lt;=_xlfn.PERCENTILE.INC([1]StagingTable!T440:T1071,0.33),"LOW",IF([1]StagingTable!T440&lt;=_xlfn.PERCENTILE.INC([1]StagingTable!T440:T1071,0.67),"MEDIUM","HIGH"))</f>
        <v>MEDIUM</v>
      </c>
    </row>
    <row r="441" spans="1:4" x14ac:dyDescent="0.25">
      <c r="A441" t="str">
        <f>TEXT([1]StagingTable!B441,"MMM-YYY")</f>
        <v>Feb-2023</v>
      </c>
      <c r="B441" t="str">
        <f>"Q"&amp;ROUNDUP(MONTH([1]StagingTable!B441)/3,0)&amp;"-"&amp;YEAR([1]StagingTable!D440)</f>
        <v>Q1-2024</v>
      </c>
      <c r="C441" t="str">
        <f>[1]StagingTable!F441&amp;"-"&amp;[1]StagingTable!G441&amp;"-"&amp;[1]StagingTable!H441</f>
        <v>Africa-Kenya-Nakuru</v>
      </c>
      <c r="D441" t="str">
        <f>IF([1]StagingTable!T441&lt;=_xlfn.PERCENTILE.INC([1]StagingTable!T441:T1072,0.33),"LOW",IF([1]StagingTable!T441&lt;=_xlfn.PERCENTILE.INC([1]StagingTable!T441:T1072,0.67),"MEDIUM","HIGH"))</f>
        <v>LOW</v>
      </c>
    </row>
    <row r="442" spans="1:4" x14ac:dyDescent="0.25">
      <c r="A442" t="str">
        <f>TEXT([1]StagingTable!B442,"MMM-YYY")</f>
        <v>May-2023</v>
      </c>
      <c r="B442" t="str">
        <f>"Q"&amp;ROUNDUP(MONTH([1]StagingTable!B442)/3,0)&amp;"-"&amp;YEAR([1]StagingTable!D441)</f>
        <v>Q2-2023</v>
      </c>
      <c r="C442" t="str">
        <f>[1]StagingTable!F442&amp;"-"&amp;[1]StagingTable!G442&amp;"-"&amp;[1]StagingTable!H442</f>
        <v>Asia-China-Beijing</v>
      </c>
      <c r="D442" t="str">
        <f>IF([1]StagingTable!T442&lt;=_xlfn.PERCENTILE.INC([1]StagingTable!T442:T1073,0.33),"LOW",IF([1]StagingTable!T442&lt;=_xlfn.PERCENTILE.INC([1]StagingTable!T442:T1073,0.67),"MEDIUM","HIGH"))</f>
        <v>HIGH</v>
      </c>
    </row>
    <row r="443" spans="1:4" x14ac:dyDescent="0.25">
      <c r="A443" t="str">
        <f>TEXT([1]StagingTable!B443,"MMM-YYY")</f>
        <v>Mar-2024</v>
      </c>
      <c r="B443" t="str">
        <f>"Q"&amp;ROUNDUP(MONTH([1]StagingTable!B443)/3,0)&amp;"-"&amp;YEAR([1]StagingTable!D442)</f>
        <v>Q1-2023</v>
      </c>
      <c r="C443" t="str">
        <f>[1]StagingTable!F443&amp;"-"&amp;[1]StagingTable!G443&amp;"-"&amp;[1]StagingTable!H443</f>
        <v>Asia-India-Bengaluru</v>
      </c>
      <c r="D443" t="str">
        <f>IF([1]StagingTable!T443&lt;=_xlfn.PERCENTILE.INC([1]StagingTable!T443:T1074,0.33),"LOW",IF([1]StagingTable!T443&lt;=_xlfn.PERCENTILE.INC([1]StagingTable!T443:T1074,0.67),"MEDIUM","HIGH"))</f>
        <v>LOW</v>
      </c>
    </row>
    <row r="444" spans="1:4" x14ac:dyDescent="0.25">
      <c r="A444" t="str">
        <f>TEXT([1]StagingTable!B444,"MMM-YYY")</f>
        <v>Sep-2023</v>
      </c>
      <c r="B444" t="str">
        <f>"Q"&amp;ROUNDUP(MONTH([1]StagingTable!B444)/3,0)&amp;"-"&amp;YEAR([1]StagingTable!D443)</f>
        <v>Q3-2024</v>
      </c>
      <c r="C444" t="str">
        <f>[1]StagingTable!F444&amp;"-"&amp;[1]StagingTable!G444&amp;"-"&amp;[1]StagingTable!H444</f>
        <v>Asia-India-Unknown</v>
      </c>
      <c r="D444" t="str">
        <f>IF([1]StagingTable!T444&lt;=_xlfn.PERCENTILE.INC([1]StagingTable!T444:T1075,0.33),"LOW",IF([1]StagingTable!T444&lt;=_xlfn.PERCENTILE.INC([1]StagingTable!T444:T1075,0.67),"MEDIUM","HIGH"))</f>
        <v>HIGH</v>
      </c>
    </row>
    <row r="445" spans="1:4" x14ac:dyDescent="0.25">
      <c r="A445" t="str">
        <f>TEXT([1]StagingTable!B445,"MMM-YYY")</f>
        <v>Aug-2024</v>
      </c>
      <c r="B445" t="str">
        <f>"Q"&amp;ROUNDUP(MONTH([1]StagingTable!B445)/3,0)&amp;"-"&amp;YEAR([1]StagingTable!D444)</f>
        <v>Q3-2023</v>
      </c>
      <c r="C445" t="str">
        <f>[1]StagingTable!F445&amp;"-"&amp;[1]StagingTable!G445&amp;"-"&amp;[1]StagingTable!H445</f>
        <v>Europe-Germany-Frankfurt</v>
      </c>
      <c r="D445" t="str">
        <f>IF([1]StagingTable!T445&lt;=_xlfn.PERCENTILE.INC([1]StagingTable!T445:T1076,0.33),"LOW",IF([1]StagingTable!T445&lt;=_xlfn.PERCENTILE.INC([1]StagingTable!T445:T1076,0.67),"MEDIUM","HIGH"))</f>
        <v>LOW</v>
      </c>
    </row>
    <row r="446" spans="1:4" x14ac:dyDescent="0.25">
      <c r="A446" t="str">
        <f>TEXT([1]StagingTable!B446,"MMM-YYY")</f>
        <v>Sep-2024</v>
      </c>
      <c r="B446" t="str">
        <f>"Q"&amp;ROUNDUP(MONTH([1]StagingTable!B446)/3,0)&amp;"-"&amp;YEAR([1]StagingTable!D445)</f>
        <v>Q3-2024</v>
      </c>
      <c r="C446" t="str">
        <f>[1]StagingTable!F446&amp;"-"&amp;[1]StagingTable!G446&amp;"-"&amp;[1]StagingTable!H446</f>
        <v>Americas-Canada-Toronto</v>
      </c>
      <c r="D446" t="str">
        <f>IF([1]StagingTable!T446&lt;=_xlfn.PERCENTILE.INC([1]StagingTable!T446:T1077,0.33),"LOW",IF([1]StagingTable!T446&lt;=_xlfn.PERCENTILE.INC([1]StagingTable!T446:T1077,0.67),"MEDIUM","HIGH"))</f>
        <v>MEDIUM</v>
      </c>
    </row>
    <row r="447" spans="1:4" x14ac:dyDescent="0.25">
      <c r="A447" t="str">
        <f>TEXT([1]StagingTable!B447,"MMM-YYY")</f>
        <v>Jun-2023</v>
      </c>
      <c r="B447" t="str">
        <f>"Q"&amp;ROUNDUP(MONTH([1]StagingTable!B447)/3,0)&amp;"-"&amp;YEAR([1]StagingTable!D446)</f>
        <v>Q2-2024</v>
      </c>
      <c r="C447" t="str">
        <f>[1]StagingTable!F447&amp;"-"&amp;[1]StagingTable!G447&amp;"-"&amp;[1]StagingTable!H447</f>
        <v>Americas-Canada-Toronto</v>
      </c>
      <c r="D447" t="str">
        <f>IF([1]StagingTable!T447&lt;=_xlfn.PERCENTILE.INC([1]StagingTable!T447:T1078,0.33),"LOW",IF([1]StagingTable!T447&lt;=_xlfn.PERCENTILE.INC([1]StagingTable!T447:T1078,0.67),"MEDIUM","HIGH"))</f>
        <v>LOW</v>
      </c>
    </row>
    <row r="448" spans="1:4" x14ac:dyDescent="0.25">
      <c r="A448" t="str">
        <f>TEXT([1]StagingTable!B448,"MMM-YYY")</f>
        <v>Dec-2023</v>
      </c>
      <c r="B448" t="str">
        <f>"Q"&amp;ROUNDUP(MONTH([1]StagingTable!B448)/3,0)&amp;"-"&amp;YEAR([1]StagingTable!D447)</f>
        <v>Q4-2023</v>
      </c>
      <c r="C448" t="str">
        <f>[1]StagingTable!F448&amp;"-"&amp;[1]StagingTable!G448&amp;"-"&amp;[1]StagingTable!H448</f>
        <v>Asia-Japan-Nagoya</v>
      </c>
      <c r="D448" t="str">
        <f>IF([1]StagingTable!T448&lt;=_xlfn.PERCENTILE.INC([1]StagingTable!T448:T1079,0.33),"LOW",IF([1]StagingTable!T448&lt;=_xlfn.PERCENTILE.INC([1]StagingTable!T448:T1079,0.67),"MEDIUM","HIGH"))</f>
        <v>MEDIUM</v>
      </c>
    </row>
    <row r="449" spans="1:4" x14ac:dyDescent="0.25">
      <c r="A449" t="str">
        <f>TEXT([1]StagingTable!B449,"MMM-YYY")</f>
        <v>Mar-2025</v>
      </c>
      <c r="B449" t="str">
        <f>"Q"&amp;ROUNDUP(MONTH([1]StagingTable!B449)/3,0)&amp;"-"&amp;YEAR([1]StagingTable!D448)</f>
        <v>Q1-2024</v>
      </c>
      <c r="C449" t="str">
        <f>[1]StagingTable!F449&amp;"-"&amp;[1]StagingTable!G449&amp;"-"&amp;[1]StagingTable!H449</f>
        <v>Africa-South Africa-Durban</v>
      </c>
      <c r="D449" t="str">
        <f>IF([1]StagingTable!T449&lt;=_xlfn.PERCENTILE.INC([1]StagingTable!T449:T1080,0.33),"LOW",IF([1]StagingTable!T449&lt;=_xlfn.PERCENTILE.INC([1]StagingTable!T449:T1080,0.67),"MEDIUM","HIGH"))</f>
        <v>LOW</v>
      </c>
    </row>
    <row r="450" spans="1:4" x14ac:dyDescent="0.25">
      <c r="A450" t="str">
        <f>TEXT([1]StagingTable!B450,"MMM-YYY")</f>
        <v>Jun-2024</v>
      </c>
      <c r="B450" t="str">
        <f>"Q"&amp;ROUNDUP(MONTH([1]StagingTable!B450)/3,0)&amp;"-"&amp;YEAR([1]StagingTable!D449)</f>
        <v>Q2-2025</v>
      </c>
      <c r="C450" t="str">
        <f>[1]StagingTable!F450&amp;"-"&amp;[1]StagingTable!G450&amp;"-"&amp;[1]StagingTable!H450</f>
        <v>Americas-Canada-Toronto</v>
      </c>
      <c r="D450" t="str">
        <f>IF([1]StagingTable!T450&lt;=_xlfn.PERCENTILE.INC([1]StagingTable!T450:T1081,0.33),"LOW",IF([1]StagingTable!T450&lt;=_xlfn.PERCENTILE.INC([1]StagingTable!T450:T1081,0.67),"MEDIUM","HIGH"))</f>
        <v>HIGH</v>
      </c>
    </row>
    <row r="451" spans="1:4" x14ac:dyDescent="0.25">
      <c r="A451" t="str">
        <f>TEXT([1]StagingTable!B451,"MMM-YYY")</f>
        <v>Jun-2024</v>
      </c>
      <c r="B451" t="str">
        <f>"Q"&amp;ROUNDUP(MONTH([1]StagingTable!B451)/3,0)&amp;"-"&amp;YEAR([1]StagingTable!D450)</f>
        <v>Q2-2024</v>
      </c>
      <c r="C451" t="str">
        <f>[1]StagingTable!F451&amp;"-"&amp;[1]StagingTable!G451&amp;"-"&amp;[1]StagingTable!H451</f>
        <v>Africa-Nigeria-Port Harcourt</v>
      </c>
      <c r="D451" t="str">
        <f>IF([1]StagingTable!T451&lt;=_xlfn.PERCENTILE.INC([1]StagingTable!T451:T1082,0.33),"LOW",IF([1]StagingTable!T451&lt;=_xlfn.PERCENTILE.INC([1]StagingTable!T451:T1082,0.67),"MEDIUM","HIGH"))</f>
        <v>MEDIUM</v>
      </c>
    </row>
    <row r="452" spans="1:4" x14ac:dyDescent="0.25">
      <c r="A452" t="str">
        <f>TEXT([1]StagingTable!B452,"MMM-YYY")</f>
        <v>Jul-2023</v>
      </c>
      <c r="B452" t="str">
        <f>"Q"&amp;ROUNDUP(MONTH([1]StagingTable!B452)/3,0)&amp;"-"&amp;YEAR([1]StagingTable!D451)</f>
        <v>Q3-2024</v>
      </c>
      <c r="C452" t="str">
        <f>[1]StagingTable!F452&amp;"-"&amp;[1]StagingTable!G452&amp;"-"&amp;[1]StagingTable!H452</f>
        <v>Asia-India-Delhi</v>
      </c>
      <c r="D452" t="str">
        <f>IF([1]StagingTable!T452&lt;=_xlfn.PERCENTILE.INC([1]StagingTable!T452:T1083,0.33),"LOW",IF([1]StagingTable!T452&lt;=_xlfn.PERCENTILE.INC([1]StagingTable!T452:T1083,0.67),"MEDIUM","HIGH"))</f>
        <v>HIGH</v>
      </c>
    </row>
    <row r="453" spans="1:4" x14ac:dyDescent="0.25">
      <c r="A453" t="str">
        <f>TEXT([1]StagingTable!B453,"MMM-YYY")</f>
        <v>Jan-2023</v>
      </c>
      <c r="B453" t="str">
        <f>"Q"&amp;ROUNDUP(MONTH([1]StagingTable!B453)/3,0)&amp;"-"&amp;YEAR([1]StagingTable!D452)</f>
        <v>Q1-2023</v>
      </c>
      <c r="C453" t="str">
        <f>[1]StagingTable!F453&amp;"-"&amp;[1]StagingTable!G453&amp;"-"&amp;[1]StagingTable!H453</f>
        <v>Europe-United Kingdom-London</v>
      </c>
      <c r="D453" t="str">
        <f>IF([1]StagingTable!T453&lt;=_xlfn.PERCENTILE.INC([1]StagingTable!T453:T1084,0.33),"LOW",IF([1]StagingTable!T453&lt;=_xlfn.PERCENTILE.INC([1]StagingTable!T453:T1084,0.67),"MEDIUM","HIGH"))</f>
        <v>HIGH</v>
      </c>
    </row>
    <row r="454" spans="1:4" x14ac:dyDescent="0.25">
      <c r="A454" t="str">
        <f>TEXT([1]StagingTable!B454,"MMM-YYY")</f>
        <v>May-2024</v>
      </c>
      <c r="B454" t="str">
        <f>"Q"&amp;ROUNDUP(MONTH([1]StagingTable!B454)/3,0)&amp;"-"&amp;YEAR([1]StagingTable!D453)</f>
        <v>Q2-2023</v>
      </c>
      <c r="C454" t="str">
        <f>[1]StagingTable!F454&amp;"-"&amp;[1]StagingTable!G454&amp;"-"&amp;[1]StagingTable!H454</f>
        <v>Asia-India-Bengaluru</v>
      </c>
      <c r="D454" t="str">
        <f>IF([1]StagingTable!T454&lt;=_xlfn.PERCENTILE.INC([1]StagingTable!T454:T1085,0.33),"LOW",IF([1]StagingTable!T454&lt;=_xlfn.PERCENTILE.INC([1]StagingTable!T454:T1085,0.67),"MEDIUM","HIGH"))</f>
        <v>HIGH</v>
      </c>
    </row>
    <row r="455" spans="1:4" x14ac:dyDescent="0.25">
      <c r="A455" t="str">
        <f>TEXT([1]StagingTable!B455,"MMM-YYY")</f>
        <v>Jun-2025</v>
      </c>
      <c r="B455" t="str">
        <f>"Q"&amp;ROUNDUP(MONTH([1]StagingTable!B455)/3,0)&amp;"-"&amp;YEAR([1]StagingTable!D454)</f>
        <v>Q2-2024</v>
      </c>
      <c r="C455" t="str">
        <f>[1]StagingTable!F455&amp;"-"&amp;[1]StagingTable!G455&amp;"-"&amp;[1]StagingTable!H455</f>
        <v>Asia-Japan-Nagoya</v>
      </c>
      <c r="D455" t="str">
        <f>IF([1]StagingTable!T455&lt;=_xlfn.PERCENTILE.INC([1]StagingTable!T455:T1086,0.33),"LOW",IF([1]StagingTable!T455&lt;=_xlfn.PERCENTILE.INC([1]StagingTable!T455:T1086,0.67),"MEDIUM","HIGH"))</f>
        <v>LOW</v>
      </c>
    </row>
    <row r="456" spans="1:4" x14ac:dyDescent="0.25">
      <c r="A456" t="str">
        <f>TEXT([1]StagingTable!B456,"MMM-YYY")</f>
        <v>May-2023</v>
      </c>
      <c r="B456" t="str">
        <f>"Q"&amp;ROUNDUP(MONTH([1]StagingTable!B456)/3,0)&amp;"-"&amp;YEAR([1]StagingTable!D455)</f>
        <v>Q2-2025</v>
      </c>
      <c r="C456" t="str">
        <f>[1]StagingTable!F456&amp;"-"&amp;[1]StagingTable!G456&amp;"-"&amp;[1]StagingTable!H456</f>
        <v>Americas-USA-Austin</v>
      </c>
      <c r="D456" t="str">
        <f>IF([1]StagingTable!T456&lt;=_xlfn.PERCENTILE.INC([1]StagingTable!T456:T1087,0.33),"LOW",IF([1]StagingTable!T456&lt;=_xlfn.PERCENTILE.INC([1]StagingTable!T456:T1087,0.67),"MEDIUM","HIGH"))</f>
        <v>MEDIUM</v>
      </c>
    </row>
    <row r="457" spans="1:4" x14ac:dyDescent="0.25">
      <c r="A457" t="str">
        <f>TEXT([1]StagingTable!B457,"MMM-YYY")</f>
        <v>Dec-2024</v>
      </c>
      <c r="B457" t="str">
        <f>"Q"&amp;ROUNDUP(MONTH([1]StagingTable!B457)/3,0)&amp;"-"&amp;YEAR([1]StagingTable!D456)</f>
        <v>Q4-2023</v>
      </c>
      <c r="C457" t="str">
        <f>[1]StagingTable!F457&amp;"-"&amp;[1]StagingTable!G457&amp;"-"&amp;[1]StagingTable!H457</f>
        <v>Americas-Canada-Vancouver</v>
      </c>
      <c r="D457" t="str">
        <f>IF([1]StagingTable!T457&lt;=_xlfn.PERCENTILE.INC([1]StagingTable!T457:T1088,0.33),"LOW",IF([1]StagingTable!T457&lt;=_xlfn.PERCENTILE.INC([1]StagingTable!T457:T1088,0.67),"MEDIUM","HIGH"))</f>
        <v>HIGH</v>
      </c>
    </row>
    <row r="458" spans="1:4" x14ac:dyDescent="0.25">
      <c r="A458" t="str">
        <f>TEXT([1]StagingTable!B458,"MMM-YYY")</f>
        <v>Dec-2023</v>
      </c>
      <c r="B458" t="str">
        <f>"Q"&amp;ROUNDUP(MONTH([1]StagingTable!B458)/3,0)&amp;"-"&amp;YEAR([1]StagingTable!D457)</f>
        <v>Q4-2024</v>
      </c>
      <c r="C458" t="str">
        <f>[1]StagingTable!F458&amp;"-"&amp;[1]StagingTable!G458&amp;"-"&amp;[1]StagingTable!H458</f>
        <v>Americas-Brazil-Brasília</v>
      </c>
      <c r="D458" t="str">
        <f>IF([1]StagingTable!T458&lt;=_xlfn.PERCENTILE.INC([1]StagingTable!T458:T1089,0.33),"LOW",IF([1]StagingTable!T458&lt;=_xlfn.PERCENTILE.INC([1]StagingTable!T458:T1089,0.67),"MEDIUM","HIGH"))</f>
        <v>LOW</v>
      </c>
    </row>
    <row r="459" spans="1:4" x14ac:dyDescent="0.25">
      <c r="A459" t="str">
        <f>TEXT([1]StagingTable!B459,"MMM-YYY")</f>
        <v>May-2023</v>
      </c>
      <c r="B459" t="str">
        <f>"Q"&amp;ROUNDUP(MONTH([1]StagingTable!B459)/3,0)&amp;"-"&amp;YEAR([1]StagingTable!D458)</f>
        <v>Q2-2023</v>
      </c>
      <c r="C459" t="str">
        <f>[1]StagingTable!F459&amp;"-"&amp;[1]StagingTable!G459&amp;"-"&amp;[1]StagingTable!H459</f>
        <v>Asia-China-Shanghai</v>
      </c>
      <c r="D459" t="str">
        <f>IF([1]StagingTable!T459&lt;=_xlfn.PERCENTILE.INC([1]StagingTable!T459:T1090,0.33),"LOW",IF([1]StagingTable!T459&lt;=_xlfn.PERCENTILE.INC([1]StagingTable!T459:T1090,0.67),"MEDIUM","HIGH"))</f>
        <v>LOW</v>
      </c>
    </row>
    <row r="460" spans="1:4" x14ac:dyDescent="0.25">
      <c r="A460" t="str">
        <f>TEXT([1]StagingTable!B460,"MMM-YYY")</f>
        <v>Nov-2023</v>
      </c>
      <c r="B460" t="str">
        <f>"Q"&amp;ROUNDUP(MONTH([1]StagingTable!B460)/3,0)&amp;"-"&amp;YEAR([1]StagingTable!D459)</f>
        <v>Q4-2023</v>
      </c>
      <c r="C460" t="str">
        <f>[1]StagingTable!F460&amp;"-"&amp;[1]StagingTable!G460&amp;"-"&amp;[1]StagingTable!H460</f>
        <v>Europe-Germany-Munich</v>
      </c>
      <c r="D460" t="str">
        <f>IF([1]StagingTable!T460&lt;=_xlfn.PERCENTILE.INC([1]StagingTable!T460:T1091,0.33),"LOW",IF([1]StagingTable!T460&lt;=_xlfn.PERCENTILE.INC([1]StagingTable!T460:T1091,0.67),"MEDIUM","HIGH"))</f>
        <v>LOW</v>
      </c>
    </row>
    <row r="461" spans="1:4" x14ac:dyDescent="0.25">
      <c r="A461" t="str">
        <f>TEXT([1]StagingTable!B461,"MMM-YYY")</f>
        <v>May-2024</v>
      </c>
      <c r="B461" t="str">
        <f>"Q"&amp;ROUNDUP(MONTH([1]StagingTable!B461)/3,0)&amp;"-"&amp;YEAR([1]StagingTable!D460)</f>
        <v>Q2-2023</v>
      </c>
      <c r="C461" t="str">
        <f>[1]StagingTable!F461&amp;"-"&amp;[1]StagingTable!G461&amp;"-"&amp;[1]StagingTable!H461</f>
        <v>Europe-France-Marseille</v>
      </c>
      <c r="D461" t="str">
        <f>IF([1]StagingTable!T461&lt;=_xlfn.PERCENTILE.INC([1]StagingTable!T461:T1092,0.33),"LOW",IF([1]StagingTable!T461&lt;=_xlfn.PERCENTILE.INC([1]StagingTable!T461:T1092,0.67),"MEDIUM","HIGH"))</f>
        <v>HIGH</v>
      </c>
    </row>
    <row r="462" spans="1:4" x14ac:dyDescent="0.25">
      <c r="A462" t="str">
        <f>TEXT([1]StagingTable!B462,"MMM-YYY")</f>
        <v>Jul-2023</v>
      </c>
      <c r="B462" t="str">
        <f>"Q"&amp;ROUNDUP(MONTH([1]StagingTable!B462)/3,0)&amp;"-"&amp;YEAR([1]StagingTable!D461)</f>
        <v>Q3-2024</v>
      </c>
      <c r="C462" t="str">
        <f>[1]StagingTable!F462&amp;"-"&amp;[1]StagingTable!G462&amp;"-"&amp;[1]StagingTable!H462</f>
        <v>Asia-Japan-Tokyo</v>
      </c>
      <c r="D462" t="str">
        <f>IF([1]StagingTable!T462&lt;=_xlfn.PERCENTILE.INC([1]StagingTable!T462:T1093,0.33),"LOW",IF([1]StagingTable!T462&lt;=_xlfn.PERCENTILE.INC([1]StagingTable!T462:T1093,0.67),"MEDIUM","HIGH"))</f>
        <v>LOW</v>
      </c>
    </row>
    <row r="463" spans="1:4" x14ac:dyDescent="0.25">
      <c r="A463" t="str">
        <f>TEXT([1]StagingTable!B463,"MMM-YYY")</f>
        <v>May-2023</v>
      </c>
      <c r="B463" t="str">
        <f>"Q"&amp;ROUNDUP(MONTH([1]StagingTable!B463)/3,0)&amp;"-"&amp;YEAR([1]StagingTable!D462)</f>
        <v>Q2-2023</v>
      </c>
      <c r="C463" t="str">
        <f>[1]StagingTable!F463&amp;"-"&amp;[1]StagingTable!G463&amp;"-"&amp;[1]StagingTable!H463</f>
        <v>Africa-South Africa-Durban</v>
      </c>
      <c r="D463" t="str">
        <f>IF([1]StagingTable!T463&lt;=_xlfn.PERCENTILE.INC([1]StagingTable!T463:T1094,0.33),"LOW",IF([1]StagingTable!T463&lt;=_xlfn.PERCENTILE.INC([1]StagingTable!T463:T1094,0.67),"MEDIUM","HIGH"))</f>
        <v>LOW</v>
      </c>
    </row>
    <row r="464" spans="1:4" x14ac:dyDescent="0.25">
      <c r="A464" t="str">
        <f>TEXT([1]StagingTable!B464,"MMM-YYY")</f>
        <v>Mar-2024</v>
      </c>
      <c r="B464" t="str">
        <f>"Q"&amp;ROUNDUP(MONTH([1]StagingTable!B464)/3,0)&amp;"-"&amp;YEAR([1]StagingTable!D463)</f>
        <v>Q1-2023</v>
      </c>
      <c r="C464" t="str">
        <f>[1]StagingTable!F464&amp;"-"&amp;[1]StagingTable!G464&amp;"-"&amp;[1]StagingTable!H464</f>
        <v>Europe-Germany-Frankfurt</v>
      </c>
      <c r="D464" t="str">
        <f>IF([1]StagingTable!T464&lt;=_xlfn.PERCENTILE.INC([1]StagingTable!T464:T1095,0.33),"LOW",IF([1]StagingTable!T464&lt;=_xlfn.PERCENTILE.INC([1]StagingTable!T464:T1095,0.67),"MEDIUM","HIGH"))</f>
        <v>MEDIUM</v>
      </c>
    </row>
    <row r="465" spans="1:4" x14ac:dyDescent="0.25">
      <c r="A465" t="str">
        <f>TEXT([1]StagingTable!B465,"MMM-YYY")</f>
        <v>Apr-2025</v>
      </c>
      <c r="B465" t="str">
        <f>"Q"&amp;ROUNDUP(MONTH([1]StagingTable!B465)/3,0)&amp;"-"&amp;YEAR([1]StagingTable!D464)</f>
        <v>Q2-2024</v>
      </c>
      <c r="C465" t="str">
        <f>[1]StagingTable!F465&amp;"-"&amp;[1]StagingTable!G465&amp;"-"&amp;[1]StagingTable!H465</f>
        <v>Africa-South Africa-Durban</v>
      </c>
      <c r="D465" t="str">
        <f>IF([1]StagingTable!T465&lt;=_xlfn.PERCENTILE.INC([1]StagingTable!T465:T1096,0.33),"LOW",IF([1]StagingTable!T465&lt;=_xlfn.PERCENTILE.INC([1]StagingTable!T465:T1096,0.67),"MEDIUM","HIGH"))</f>
        <v>LOW</v>
      </c>
    </row>
    <row r="466" spans="1:4" x14ac:dyDescent="0.25">
      <c r="A466" t="str">
        <f>TEXT([1]StagingTable!B466,"MMM-YYY")</f>
        <v>Jul-2025</v>
      </c>
      <c r="B466" t="str">
        <f>"Q"&amp;ROUNDUP(MONTH([1]StagingTable!B466)/3,0)&amp;"-"&amp;YEAR([1]StagingTable!D465)</f>
        <v>Q3-2025</v>
      </c>
      <c r="C466" t="str">
        <f>[1]StagingTable!F466&amp;"-"&amp;[1]StagingTable!G466&amp;"-"&amp;[1]StagingTable!H466</f>
        <v>Asia-Japan-Tokyo</v>
      </c>
      <c r="D466" t="str">
        <f>IF([1]StagingTable!T466&lt;=_xlfn.PERCENTILE.INC([1]StagingTable!T466:T1097,0.33),"LOW",IF([1]StagingTable!T466&lt;=_xlfn.PERCENTILE.INC([1]StagingTable!T466:T1097,0.67),"MEDIUM","HIGH"))</f>
        <v>LOW</v>
      </c>
    </row>
    <row r="467" spans="1:4" x14ac:dyDescent="0.25">
      <c r="A467" t="str">
        <f>TEXT([1]StagingTable!B467,"MMM-YYY")</f>
        <v>Nov-2024</v>
      </c>
      <c r="B467" t="str">
        <f>"Q"&amp;ROUNDUP(MONTH([1]StagingTable!B467)/3,0)&amp;"-"&amp;YEAR([1]StagingTable!D466)</f>
        <v>Q4-2025</v>
      </c>
      <c r="C467" t="str">
        <f>[1]StagingTable!F467&amp;"-"&amp;[1]StagingTable!G467&amp;"-"&amp;[1]StagingTable!H467</f>
        <v>Africa-Kenya-Mombasa</v>
      </c>
      <c r="D467" t="str">
        <f>IF([1]StagingTable!T467&lt;=_xlfn.PERCENTILE.INC([1]StagingTable!T467:T1098,0.33),"LOW",IF([1]StagingTable!T467&lt;=_xlfn.PERCENTILE.INC([1]StagingTable!T467:T1098,0.67),"MEDIUM","HIGH"))</f>
        <v>HIGH</v>
      </c>
    </row>
    <row r="468" spans="1:4" x14ac:dyDescent="0.25">
      <c r="A468" t="str">
        <f>TEXT([1]StagingTable!B468,"MMM-YYY")</f>
        <v>Jun-2024</v>
      </c>
      <c r="B468" t="str">
        <f>"Q"&amp;ROUNDUP(MONTH([1]StagingTable!B468)/3,0)&amp;"-"&amp;YEAR([1]StagingTable!D467)</f>
        <v>Q2-2024</v>
      </c>
      <c r="C468" t="str">
        <f>[1]StagingTable!F468&amp;"-"&amp;[1]StagingTable!G468&amp;"-"&amp;[1]StagingTable!H468</f>
        <v>Africa-Nigeria-Port Harcourt</v>
      </c>
      <c r="D468" t="str">
        <f>IF([1]StagingTable!T468&lt;=_xlfn.PERCENTILE.INC([1]StagingTable!T468:T1099,0.33),"LOW",IF([1]StagingTable!T468&lt;=_xlfn.PERCENTILE.INC([1]StagingTable!T468:T1099,0.67),"MEDIUM","HIGH"))</f>
        <v>LOW</v>
      </c>
    </row>
    <row r="469" spans="1:4" x14ac:dyDescent="0.25">
      <c r="A469" t="str">
        <f>TEXT([1]StagingTable!B469,"MMM-YYY")</f>
        <v>Dec-2023</v>
      </c>
      <c r="B469" t="str">
        <f>"Q"&amp;ROUNDUP(MONTH([1]StagingTable!B469)/3,0)&amp;"-"&amp;YEAR([1]StagingTable!D468)</f>
        <v>Q4-2024</v>
      </c>
      <c r="C469" t="str">
        <f>[1]StagingTable!F469&amp;"-"&amp;[1]StagingTable!G469&amp;"-"&amp;[1]StagingTable!H469</f>
        <v>Asia-India-Mumbai</v>
      </c>
      <c r="D469" t="str">
        <f>IF([1]StagingTable!T469&lt;=_xlfn.PERCENTILE.INC([1]StagingTable!T469:T1100,0.33),"LOW",IF([1]StagingTable!T469&lt;=_xlfn.PERCENTILE.INC([1]StagingTable!T469:T1100,0.67),"MEDIUM","HIGH"))</f>
        <v>HIGH</v>
      </c>
    </row>
    <row r="470" spans="1:4" x14ac:dyDescent="0.25">
      <c r="A470" t="str">
        <f>TEXT([1]StagingTable!B470,"MMM-YYY")</f>
        <v>Jun-2025</v>
      </c>
      <c r="B470" t="str">
        <f>"Q"&amp;ROUNDUP(MONTH([1]StagingTable!B470)/3,0)&amp;"-"&amp;YEAR([1]StagingTable!D469)</f>
        <v>Q2-2024</v>
      </c>
      <c r="C470" t="str">
        <f>[1]StagingTable!F470&amp;"-"&amp;[1]StagingTable!G470&amp;"-"&amp;[1]StagingTable!H470</f>
        <v>Europe-Germany-Munich</v>
      </c>
      <c r="D470" t="str">
        <f>IF([1]StagingTable!T470&lt;=_xlfn.PERCENTILE.INC([1]StagingTable!T470:T1101,0.33),"LOW",IF([1]StagingTable!T470&lt;=_xlfn.PERCENTILE.INC([1]StagingTable!T470:T1101,0.67),"MEDIUM","HIGH"))</f>
        <v>HIGH</v>
      </c>
    </row>
    <row r="471" spans="1:4" x14ac:dyDescent="0.25">
      <c r="A471" t="str">
        <f>TEXT([1]StagingTable!B471,"MMM-YYY")</f>
        <v>Mar-2025</v>
      </c>
      <c r="B471" t="str">
        <f>"Q"&amp;ROUNDUP(MONTH([1]StagingTable!B471)/3,0)&amp;"-"&amp;YEAR([1]StagingTable!D470)</f>
        <v>Q1-2025</v>
      </c>
      <c r="C471" t="str">
        <f>[1]StagingTable!F471&amp;"-"&amp;[1]StagingTable!G471&amp;"-"&amp;[1]StagingTable!H471</f>
        <v>Europe-Germany-Berlin</v>
      </c>
      <c r="D471" t="str">
        <f>IF([1]StagingTable!T471&lt;=_xlfn.PERCENTILE.INC([1]StagingTable!T471:T1102,0.33),"LOW",IF([1]StagingTable!T471&lt;=_xlfn.PERCENTILE.INC([1]StagingTable!T471:T1102,0.67),"MEDIUM","HIGH"))</f>
        <v>MEDIUM</v>
      </c>
    </row>
    <row r="472" spans="1:4" x14ac:dyDescent="0.25">
      <c r="A472" t="str">
        <f>TEXT([1]StagingTable!B472,"MMM-YYY")</f>
        <v>May-2023</v>
      </c>
      <c r="B472" t="str">
        <f>"Q"&amp;ROUNDUP(MONTH([1]StagingTable!B472)/3,0)&amp;"-"&amp;YEAR([1]StagingTable!D471)</f>
        <v>Q2-2025</v>
      </c>
      <c r="C472" t="str">
        <f>[1]StagingTable!F472&amp;"-"&amp;[1]StagingTable!G472&amp;"-"&amp;[1]StagingTable!H472</f>
        <v>Africa-Kenya-Mombasa</v>
      </c>
      <c r="D472" t="str">
        <f>IF([1]StagingTable!T472&lt;=_xlfn.PERCENTILE.INC([1]StagingTable!T472:T1103,0.33),"LOW",IF([1]StagingTable!T472&lt;=_xlfn.PERCENTILE.INC([1]StagingTable!T472:T1103,0.67),"MEDIUM","HIGH"))</f>
        <v>MEDIUM</v>
      </c>
    </row>
    <row r="473" spans="1:4" x14ac:dyDescent="0.25">
      <c r="A473" t="str">
        <f>TEXT([1]StagingTable!B473,"MMM-YYY")</f>
        <v>Aug-2023</v>
      </c>
      <c r="B473" t="str">
        <f>"Q"&amp;ROUNDUP(MONTH([1]StagingTable!B473)/3,0)&amp;"-"&amp;YEAR([1]StagingTable!D472)</f>
        <v>Q3-2023</v>
      </c>
      <c r="C473" t="str">
        <f>[1]StagingTable!F473&amp;"-"&amp;[1]StagingTable!G473&amp;"-"&amp;[1]StagingTable!H473</f>
        <v>Europe-France-Lyon</v>
      </c>
      <c r="D473" t="str">
        <f>IF([1]StagingTable!T473&lt;=_xlfn.PERCENTILE.INC([1]StagingTable!T473:T1104,0.33),"LOW",IF([1]StagingTable!T473&lt;=_xlfn.PERCENTILE.INC([1]StagingTable!T473:T1104,0.67),"MEDIUM","HIGH"))</f>
        <v>HIGH</v>
      </c>
    </row>
    <row r="474" spans="1:4" x14ac:dyDescent="0.25">
      <c r="A474" t="str">
        <f>TEXT([1]StagingTable!B474,"MMM-YYY")</f>
        <v>Jul-2025</v>
      </c>
      <c r="B474" t="str">
        <f>"Q"&amp;ROUNDUP(MONTH([1]StagingTable!B474)/3,0)&amp;"-"&amp;YEAR([1]StagingTable!D473)</f>
        <v>Q3-2023</v>
      </c>
      <c r="C474" t="str">
        <f>[1]StagingTable!F474&amp;"-"&amp;[1]StagingTable!G474&amp;"-"&amp;[1]StagingTable!H474</f>
        <v>Asia-China-Beijing</v>
      </c>
      <c r="D474" t="str">
        <f>IF([1]StagingTable!T474&lt;=_xlfn.PERCENTILE.INC([1]StagingTable!T474:T1105,0.33),"LOW",IF([1]StagingTable!T474&lt;=_xlfn.PERCENTILE.INC([1]StagingTable!T474:T1105,0.67),"MEDIUM","HIGH"))</f>
        <v>MEDIUM</v>
      </c>
    </row>
    <row r="475" spans="1:4" x14ac:dyDescent="0.25">
      <c r="A475" t="str">
        <f>TEXT([1]StagingTable!B475,"MMM-YYY")</f>
        <v>Feb-2024</v>
      </c>
      <c r="B475" t="str">
        <f>"Q"&amp;ROUNDUP(MONTH([1]StagingTable!B475)/3,0)&amp;"-"&amp;YEAR([1]StagingTable!D474)</f>
        <v>Q1-2025</v>
      </c>
      <c r="C475" t="str">
        <f>[1]StagingTable!F475&amp;"-"&amp;[1]StagingTable!G475&amp;"-"&amp;[1]StagingTable!H475</f>
        <v>Africa-Kenya-Kisumu</v>
      </c>
      <c r="D475" t="str">
        <f>IF([1]StagingTable!T475&lt;=_xlfn.PERCENTILE.INC([1]StagingTable!T475:T1106,0.33),"LOW",IF([1]StagingTable!T475&lt;=_xlfn.PERCENTILE.INC([1]StagingTable!T475:T1106,0.67),"MEDIUM","HIGH"))</f>
        <v>MEDIUM</v>
      </c>
    </row>
    <row r="476" spans="1:4" x14ac:dyDescent="0.25">
      <c r="A476" t="str">
        <f>TEXT([1]StagingTable!B476,"MMM-YYY")</f>
        <v>Aug-2025</v>
      </c>
      <c r="B476" t="str">
        <f>"Q"&amp;ROUNDUP(MONTH([1]StagingTable!B476)/3,0)&amp;"-"&amp;YEAR([1]StagingTable!D475)</f>
        <v>Q3-2024</v>
      </c>
      <c r="C476" t="str">
        <f>[1]StagingTable!F476&amp;"-"&amp;[1]StagingTable!G476&amp;"-"&amp;[1]StagingTable!H476</f>
        <v>Europe-France-Paris</v>
      </c>
      <c r="D476" t="str">
        <f>IF([1]StagingTable!T476&lt;=_xlfn.PERCENTILE.INC([1]StagingTable!T476:T1107,0.33),"LOW",IF([1]StagingTable!T476&lt;=_xlfn.PERCENTILE.INC([1]StagingTable!T476:T1107,0.67),"MEDIUM","HIGH"))</f>
        <v>MEDIUM</v>
      </c>
    </row>
    <row r="477" spans="1:4" x14ac:dyDescent="0.25">
      <c r="A477" t="str">
        <f>TEXT([1]StagingTable!B477,"MMM-YYY")</f>
        <v>May-2023</v>
      </c>
      <c r="B477" t="str">
        <f>"Q"&amp;ROUNDUP(MONTH([1]StagingTable!B477)/3,0)&amp;"-"&amp;YEAR([1]StagingTable!D476)</f>
        <v>Q2-2025</v>
      </c>
      <c r="C477" t="str">
        <f>[1]StagingTable!F477&amp;"-"&amp;[1]StagingTable!G477&amp;"-"&amp;[1]StagingTable!H477</f>
        <v>Americas-Brazil-Rio de Janeiro</v>
      </c>
      <c r="D477" t="str">
        <f>IF([1]StagingTable!T477&lt;=_xlfn.PERCENTILE.INC([1]StagingTable!T477:T1108,0.33),"LOW",IF([1]StagingTable!T477&lt;=_xlfn.PERCENTILE.INC([1]StagingTable!T477:T1108,0.67),"MEDIUM","HIGH"))</f>
        <v>MEDIUM</v>
      </c>
    </row>
    <row r="478" spans="1:4" x14ac:dyDescent="0.25">
      <c r="A478" t="str">
        <f>TEXT([1]StagingTable!B478,"MMM-YYY")</f>
        <v>May-2024</v>
      </c>
      <c r="B478" t="str">
        <f>"Q"&amp;ROUNDUP(MONTH([1]StagingTable!B478)/3,0)&amp;"-"&amp;YEAR([1]StagingTable!D477)</f>
        <v>Q2-2023</v>
      </c>
      <c r="C478" t="str">
        <f>[1]StagingTable!F478&amp;"-"&amp;[1]StagingTable!G478&amp;"-"&amp;[1]StagingTable!H478</f>
        <v>Europe-United Kingdom-Birmingham</v>
      </c>
      <c r="D478" t="str">
        <f>IF([1]StagingTable!T478&lt;=_xlfn.PERCENTILE.INC([1]StagingTable!T478:T1109,0.33),"LOW",IF([1]StagingTable!T478&lt;=_xlfn.PERCENTILE.INC([1]StagingTable!T478:T1109,0.67),"MEDIUM","HIGH"))</f>
        <v>LOW</v>
      </c>
    </row>
    <row r="479" spans="1:4" x14ac:dyDescent="0.25">
      <c r="A479" t="str">
        <f>TEXT([1]StagingTable!B479,"MMM-YYY")</f>
        <v>Mar-2023</v>
      </c>
      <c r="B479" t="str">
        <f>"Q"&amp;ROUNDUP(MONTH([1]StagingTable!B479)/3,0)&amp;"-"&amp;YEAR([1]StagingTable!D478)</f>
        <v>Q1-2024</v>
      </c>
      <c r="C479" t="str">
        <f>[1]StagingTable!F479&amp;"-"&amp;[1]StagingTable!G479&amp;"-"&amp;[1]StagingTable!H479</f>
        <v>Europe-Germany-Frankfurt</v>
      </c>
      <c r="D479" t="str">
        <f>IF([1]StagingTable!T479&lt;=_xlfn.PERCENTILE.INC([1]StagingTable!T479:T1110,0.33),"LOW",IF([1]StagingTable!T479&lt;=_xlfn.PERCENTILE.INC([1]StagingTable!T479:T1110,0.67),"MEDIUM","HIGH"))</f>
        <v>LOW</v>
      </c>
    </row>
    <row r="480" spans="1:4" x14ac:dyDescent="0.25">
      <c r="A480" t="str">
        <f>TEXT([1]StagingTable!B480,"MMM-YYY")</f>
        <v>Jul-2023</v>
      </c>
      <c r="B480" t="str">
        <f>"Q"&amp;ROUNDUP(MONTH([1]StagingTable!B480)/3,0)&amp;"-"&amp;YEAR([1]StagingTable!D479)</f>
        <v>Q3-2023</v>
      </c>
      <c r="C480" t="str">
        <f>[1]StagingTable!F480&amp;"-"&amp;[1]StagingTable!G480&amp;"-"&amp;[1]StagingTable!H480</f>
        <v>Europe-United Kingdom-Manchester</v>
      </c>
      <c r="D480" t="str">
        <f>IF([1]StagingTable!T480&lt;=_xlfn.PERCENTILE.INC([1]StagingTable!T480:T1111,0.33),"LOW",IF([1]StagingTable!T480&lt;=_xlfn.PERCENTILE.INC([1]StagingTable!T480:T1111,0.67),"MEDIUM","HIGH"))</f>
        <v>HIGH</v>
      </c>
    </row>
    <row r="481" spans="1:4" x14ac:dyDescent="0.25">
      <c r="A481" t="str">
        <f>TEXT([1]StagingTable!B481,"MMM-YYY")</f>
        <v>Apr-2023</v>
      </c>
      <c r="B481" t="str">
        <f>"Q"&amp;ROUNDUP(MONTH([1]StagingTable!B481)/3,0)&amp;"-"&amp;YEAR([1]StagingTable!D480)</f>
        <v>Q2-2023</v>
      </c>
      <c r="C481" t="str">
        <f>[1]StagingTable!F481&amp;"-"&amp;[1]StagingTable!G481&amp;"-"&amp;[1]StagingTable!H481</f>
        <v>Europe-Germany-Munich</v>
      </c>
      <c r="D481" t="str">
        <f>IF([1]StagingTable!T481&lt;=_xlfn.PERCENTILE.INC([1]StagingTable!T481:T1112,0.33),"LOW",IF([1]StagingTable!T481&lt;=_xlfn.PERCENTILE.INC([1]StagingTable!T481:T1112,0.67),"MEDIUM","HIGH"))</f>
        <v>LOW</v>
      </c>
    </row>
    <row r="482" spans="1:4" x14ac:dyDescent="0.25">
      <c r="A482" t="str">
        <f>TEXT([1]StagingTable!B482,"MMM-YYY")</f>
        <v>Jan-2024</v>
      </c>
      <c r="B482" t="str">
        <f>"Q"&amp;ROUNDUP(MONTH([1]StagingTable!B482)/3,0)&amp;"-"&amp;YEAR([1]StagingTable!D481)</f>
        <v>Q1-2023</v>
      </c>
      <c r="C482" t="str">
        <f>[1]StagingTable!F482&amp;"-"&amp;[1]StagingTable!G482&amp;"-"&amp;[1]StagingTable!H482</f>
        <v>Asia-Japan-Nagoya</v>
      </c>
      <c r="D482" t="str">
        <f>IF([1]StagingTable!T482&lt;=_xlfn.PERCENTILE.INC([1]StagingTable!T482:T1113,0.33),"LOW",IF([1]StagingTable!T482&lt;=_xlfn.PERCENTILE.INC([1]StagingTable!T482:T1113,0.67),"MEDIUM","HIGH"))</f>
        <v>HIGH</v>
      </c>
    </row>
    <row r="483" spans="1:4" x14ac:dyDescent="0.25">
      <c r="A483" t="str">
        <f>TEXT([1]StagingTable!B483,"MMM-YYY")</f>
        <v>Sep-2024</v>
      </c>
      <c r="B483" t="str">
        <f>"Q"&amp;ROUNDUP(MONTH([1]StagingTable!B483)/3,0)&amp;"-"&amp;YEAR([1]StagingTable!D482)</f>
        <v>Q3-2024</v>
      </c>
      <c r="C483" t="str">
        <f>[1]StagingTable!F483&amp;"-"&amp;[1]StagingTable!G483&amp;"-"&amp;[1]StagingTable!H483</f>
        <v>Asia-Japan-Tokyo</v>
      </c>
      <c r="D483" t="str">
        <f>IF([1]StagingTable!T483&lt;=_xlfn.PERCENTILE.INC([1]StagingTable!T483:T1114,0.33),"LOW",IF([1]StagingTable!T483&lt;=_xlfn.PERCENTILE.INC([1]StagingTable!T483:T1114,0.67),"MEDIUM","HIGH"))</f>
        <v>LOW</v>
      </c>
    </row>
    <row r="484" spans="1:4" x14ac:dyDescent="0.25">
      <c r="A484" t="str">
        <f>TEXT([1]StagingTable!B484,"MMM-YYY")</f>
        <v>Aug-2025</v>
      </c>
      <c r="B484" t="str">
        <f>"Q"&amp;ROUNDUP(MONTH([1]StagingTable!B484)/3,0)&amp;"-"&amp;YEAR([1]StagingTable!D483)</f>
        <v>Q3-2024</v>
      </c>
      <c r="C484" t="str">
        <f>[1]StagingTable!F484&amp;"-"&amp;[1]StagingTable!G484&amp;"-"&amp;[1]StagingTable!H484</f>
        <v>Europe-France-Marseille</v>
      </c>
      <c r="D484" t="str">
        <f>IF([1]StagingTable!T484&lt;=_xlfn.PERCENTILE.INC([1]StagingTable!T484:T1115,0.33),"LOW",IF([1]StagingTable!T484&lt;=_xlfn.PERCENTILE.INC([1]StagingTable!T484:T1115,0.67),"MEDIUM","HIGH"))</f>
        <v>HIGH</v>
      </c>
    </row>
    <row r="485" spans="1:4" x14ac:dyDescent="0.25">
      <c r="A485" t="str">
        <f>TEXT([1]StagingTable!B485,"MMM-YYY")</f>
        <v>Apr-2025</v>
      </c>
      <c r="B485" t="str">
        <f>"Q"&amp;ROUNDUP(MONTH([1]StagingTable!B485)/3,0)&amp;"-"&amp;YEAR([1]StagingTable!D484)</f>
        <v>Q2-2025</v>
      </c>
      <c r="C485" t="str">
        <f>[1]StagingTable!F485&amp;"-"&amp;[1]StagingTable!G485&amp;"-"&amp;[1]StagingTable!H485</f>
        <v>Europe-Germany-Berlin</v>
      </c>
      <c r="D485" t="str">
        <f>IF([1]StagingTable!T485&lt;=_xlfn.PERCENTILE.INC([1]StagingTable!T485:T1116,0.33),"LOW",IF([1]StagingTable!T485&lt;=_xlfn.PERCENTILE.INC([1]StagingTable!T485:T1116,0.67),"MEDIUM","HIGH"))</f>
        <v>LOW</v>
      </c>
    </row>
    <row r="486" spans="1:4" x14ac:dyDescent="0.25">
      <c r="A486" t="str">
        <f>TEXT([1]StagingTable!B486,"MMM-YYY")</f>
        <v>Aug-2023</v>
      </c>
      <c r="B486" t="str">
        <f>"Q"&amp;ROUNDUP(MONTH([1]StagingTable!B486)/3,0)&amp;"-"&amp;YEAR([1]StagingTable!D485)</f>
        <v>Q3-2025</v>
      </c>
      <c r="C486" t="str">
        <f>[1]StagingTable!F486&amp;"-"&amp;[1]StagingTable!G486&amp;"-"&amp;[1]StagingTable!H486</f>
        <v>Americas-Brazil-São Paulo</v>
      </c>
      <c r="D486" t="str">
        <f>IF([1]StagingTable!T486&lt;=_xlfn.PERCENTILE.INC([1]StagingTable!T486:T1117,0.33),"LOW",IF([1]StagingTable!T486&lt;=_xlfn.PERCENTILE.INC([1]StagingTable!T486:T1117,0.67),"MEDIUM","HIGH"))</f>
        <v>HIGH</v>
      </c>
    </row>
    <row r="487" spans="1:4" x14ac:dyDescent="0.25">
      <c r="A487" t="str">
        <f>TEXT([1]StagingTable!B487,"MMM-YYY")</f>
        <v>Dec-2024</v>
      </c>
      <c r="B487" t="str">
        <f>"Q"&amp;ROUNDUP(MONTH([1]StagingTable!B487)/3,0)&amp;"-"&amp;YEAR([1]StagingTable!D486)</f>
        <v>Q4-2023</v>
      </c>
      <c r="C487" t="str">
        <f>[1]StagingTable!F487&amp;"-"&amp;[1]StagingTable!G487&amp;"-"&amp;[1]StagingTable!H487</f>
        <v>Europe-France-Lyon</v>
      </c>
      <c r="D487" t="str">
        <f>IF([1]StagingTable!T487&lt;=_xlfn.PERCENTILE.INC([1]StagingTable!T487:T1118,0.33),"LOW",IF([1]StagingTable!T487&lt;=_xlfn.PERCENTILE.INC([1]StagingTable!T487:T1118,0.67),"MEDIUM","HIGH"))</f>
        <v>LOW</v>
      </c>
    </row>
    <row r="488" spans="1:4" x14ac:dyDescent="0.25">
      <c r="A488" t="str">
        <f>TEXT([1]StagingTable!B488,"MMM-YYY")</f>
        <v>Oct-2023</v>
      </c>
      <c r="B488" t="str">
        <f>"Q"&amp;ROUNDUP(MONTH([1]StagingTable!B488)/3,0)&amp;"-"&amp;YEAR([1]StagingTable!D487)</f>
        <v>Q4-2024</v>
      </c>
      <c r="C488" t="str">
        <f>[1]StagingTable!F488&amp;"-"&amp;[1]StagingTable!G488&amp;"-"&amp;[1]StagingTable!H488</f>
        <v>Europe-France-Paris</v>
      </c>
      <c r="D488" t="str">
        <f>IF([1]StagingTable!T488&lt;=_xlfn.PERCENTILE.INC([1]StagingTable!T488:T1119,0.33),"LOW",IF([1]StagingTable!T488&lt;=_xlfn.PERCENTILE.INC([1]StagingTable!T488:T1119,0.67),"MEDIUM","HIGH"))</f>
        <v>LOW</v>
      </c>
    </row>
    <row r="489" spans="1:4" x14ac:dyDescent="0.25">
      <c r="A489" t="str">
        <f>TEXT([1]StagingTable!B489,"MMM-YYY")</f>
        <v>Nov-2024</v>
      </c>
      <c r="B489" t="str">
        <f>"Q"&amp;ROUNDUP(MONTH([1]StagingTable!B489)/3,0)&amp;"-"&amp;YEAR([1]StagingTable!D488)</f>
        <v>Q4-2023</v>
      </c>
      <c r="C489" t="str">
        <f>[1]StagingTable!F489&amp;"-"&amp;[1]StagingTable!G489&amp;"-"&amp;[1]StagingTable!H489</f>
        <v>Americas-Canada-Unknown</v>
      </c>
      <c r="D489" t="str">
        <f>IF([1]StagingTable!T489&lt;=_xlfn.PERCENTILE.INC([1]StagingTable!T489:T1120,0.33),"LOW",IF([1]StagingTable!T489&lt;=_xlfn.PERCENTILE.INC([1]StagingTable!T489:T1120,0.67),"MEDIUM","HIGH"))</f>
        <v>HIGH</v>
      </c>
    </row>
    <row r="490" spans="1:4" x14ac:dyDescent="0.25">
      <c r="A490" t="str">
        <f>TEXT([1]StagingTable!B490,"MMM-YYY")</f>
        <v>May-2024</v>
      </c>
      <c r="B490" t="str">
        <f>"Q"&amp;ROUNDUP(MONTH([1]StagingTable!B490)/3,0)&amp;"-"&amp;YEAR([1]StagingTable!D489)</f>
        <v>Q2-2024</v>
      </c>
      <c r="C490" t="str">
        <f>[1]StagingTable!F490&amp;"-"&amp;[1]StagingTable!G490&amp;"-"&amp;[1]StagingTable!H490</f>
        <v>Europe-United Kingdom-Manchester</v>
      </c>
      <c r="D490" t="str">
        <f>IF([1]StagingTable!T490&lt;=_xlfn.PERCENTILE.INC([1]StagingTable!T490:T1121,0.33),"LOW",IF([1]StagingTable!T490&lt;=_xlfn.PERCENTILE.INC([1]StagingTable!T490:T1121,0.67),"MEDIUM","HIGH"))</f>
        <v>LOW</v>
      </c>
    </row>
    <row r="491" spans="1:4" x14ac:dyDescent="0.25">
      <c r="A491" t="str">
        <f>TEXT([1]StagingTable!B491,"MMM-YYY")</f>
        <v>May-2025</v>
      </c>
      <c r="B491" t="str">
        <f>"Q"&amp;ROUNDUP(MONTH([1]StagingTable!B491)/3,0)&amp;"-"&amp;YEAR([1]StagingTable!D490)</f>
        <v>Q2-2024</v>
      </c>
      <c r="C491" t="str">
        <f>[1]StagingTable!F491&amp;"-"&amp;[1]StagingTable!G491&amp;"-"&amp;[1]StagingTable!H491</f>
        <v>Asia-Japan-Osaka</v>
      </c>
      <c r="D491" t="str">
        <f>IF([1]StagingTable!T491&lt;=_xlfn.PERCENTILE.INC([1]StagingTable!T491:T1122,0.33),"LOW",IF([1]StagingTable!T491&lt;=_xlfn.PERCENTILE.INC([1]StagingTable!T491:T1122,0.67),"MEDIUM","HIGH"))</f>
        <v>HIGH</v>
      </c>
    </row>
    <row r="492" spans="1:4" x14ac:dyDescent="0.25">
      <c r="A492" t="str">
        <f>TEXT([1]StagingTable!B492,"MMM-YYY")</f>
        <v>Apr-2024</v>
      </c>
      <c r="B492" t="str">
        <f>"Q"&amp;ROUNDUP(MONTH([1]StagingTable!B492)/3,0)&amp;"-"&amp;YEAR([1]StagingTable!D491)</f>
        <v>Q2-2025</v>
      </c>
      <c r="C492" t="str">
        <f>[1]StagingTable!F492&amp;"-"&amp;[1]StagingTable!G492&amp;"-"&amp;[1]StagingTable!H492</f>
        <v>Africa-Nigeria-Lagos</v>
      </c>
      <c r="D492" t="str">
        <f>IF([1]StagingTable!T492&lt;=_xlfn.PERCENTILE.INC([1]StagingTable!T492:T1123,0.33),"LOW",IF([1]StagingTable!T492&lt;=_xlfn.PERCENTILE.INC([1]StagingTable!T492:T1123,0.67),"MEDIUM","HIGH"))</f>
        <v>LOW</v>
      </c>
    </row>
    <row r="493" spans="1:4" x14ac:dyDescent="0.25">
      <c r="A493" t="str">
        <f>TEXT([1]StagingTable!B493,"MMM-YYY")</f>
        <v>Aug-2024</v>
      </c>
      <c r="B493" t="str">
        <f>"Q"&amp;ROUNDUP(MONTH([1]StagingTable!B493)/3,0)&amp;"-"&amp;YEAR([1]StagingTable!D492)</f>
        <v>Q3-2024</v>
      </c>
      <c r="C493" t="str">
        <f>[1]StagingTable!F493&amp;"-"&amp;[1]StagingTable!G493&amp;"-"&amp;[1]StagingTable!H493</f>
        <v>Europe-France-Lyon</v>
      </c>
      <c r="D493" t="str">
        <f>IF([1]StagingTable!T493&lt;=_xlfn.PERCENTILE.INC([1]StagingTable!T493:T1124,0.33),"LOW",IF([1]StagingTable!T493&lt;=_xlfn.PERCENTILE.INC([1]StagingTable!T493:T1124,0.67),"MEDIUM","HIGH"))</f>
        <v>LOW</v>
      </c>
    </row>
    <row r="494" spans="1:4" x14ac:dyDescent="0.25">
      <c r="A494" t="str">
        <f>TEXT([1]StagingTable!B494,"MMM-YYY")</f>
        <v>Jul-2025</v>
      </c>
      <c r="B494" t="str">
        <f>"Q"&amp;ROUNDUP(MONTH([1]StagingTable!B494)/3,0)&amp;"-"&amp;YEAR([1]StagingTable!D493)</f>
        <v>Q3-2024</v>
      </c>
      <c r="C494" t="str">
        <f>[1]StagingTable!F494&amp;"-"&amp;[1]StagingTable!G494&amp;"-"&amp;[1]StagingTable!H494</f>
        <v>Asia-Japan-Nagoya</v>
      </c>
      <c r="D494" t="str">
        <f>IF([1]StagingTable!T494&lt;=_xlfn.PERCENTILE.INC([1]StagingTable!T494:T1125,0.33),"LOW",IF([1]StagingTable!T494&lt;=_xlfn.PERCENTILE.INC([1]StagingTable!T494:T1125,0.67),"MEDIUM","HIGH"))</f>
        <v>LOW</v>
      </c>
    </row>
    <row r="495" spans="1:4" x14ac:dyDescent="0.25">
      <c r="A495" t="str">
        <f>TEXT([1]StagingTable!B495,"MMM-YYY")</f>
        <v>Mar-2024</v>
      </c>
      <c r="B495" t="str">
        <f>"Q"&amp;ROUNDUP(MONTH([1]StagingTable!B495)/3,0)&amp;"-"&amp;YEAR([1]StagingTable!D494)</f>
        <v>Q1-2025</v>
      </c>
      <c r="C495" t="str">
        <f>[1]StagingTable!F495&amp;"-"&amp;[1]StagingTable!G495&amp;"-"&amp;[1]StagingTable!H495</f>
        <v>Americas-Brazil-São Paulo</v>
      </c>
      <c r="D495" t="str">
        <f>IF([1]StagingTable!T495&lt;=_xlfn.PERCENTILE.INC([1]StagingTable!T495:T1126,0.33),"LOW",IF([1]StagingTable!T495&lt;=_xlfn.PERCENTILE.INC([1]StagingTable!T495:T1126,0.67),"MEDIUM","HIGH"))</f>
        <v>LOW</v>
      </c>
    </row>
    <row r="496" spans="1:4" x14ac:dyDescent="0.25">
      <c r="A496" t="str">
        <f>TEXT([1]StagingTable!B496,"MMM-YYY")</f>
        <v>May-2024</v>
      </c>
      <c r="B496" t="str">
        <f>"Q"&amp;ROUNDUP(MONTH([1]StagingTable!B496)/3,0)&amp;"-"&amp;YEAR([1]StagingTable!D495)</f>
        <v>Q2-2024</v>
      </c>
      <c r="C496" t="str">
        <f>[1]StagingTable!F496&amp;"-"&amp;[1]StagingTable!G496&amp;"-"&amp;[1]StagingTable!H496</f>
        <v>Asia-India-Delhi</v>
      </c>
      <c r="D496" t="str">
        <f>IF([1]StagingTable!T496&lt;=_xlfn.PERCENTILE.INC([1]StagingTable!T496:T1127,0.33),"LOW",IF([1]StagingTable!T496&lt;=_xlfn.PERCENTILE.INC([1]StagingTable!T496:T1127,0.67),"MEDIUM","HIGH"))</f>
        <v>LOW</v>
      </c>
    </row>
    <row r="497" spans="1:4" x14ac:dyDescent="0.25">
      <c r="A497" t="str">
        <f>TEXT([1]StagingTable!B497,"MMM-YYY")</f>
        <v>Aug-2024</v>
      </c>
      <c r="B497" t="str">
        <f>"Q"&amp;ROUNDUP(MONTH([1]StagingTable!B497)/3,0)&amp;"-"&amp;YEAR([1]StagingTable!D496)</f>
        <v>Q3-2024</v>
      </c>
      <c r="C497" t="str">
        <f>[1]StagingTable!F497&amp;"-"&amp;[1]StagingTable!G497&amp;"-"&amp;[1]StagingTable!H497</f>
        <v>Americas-USA-Austin</v>
      </c>
      <c r="D497" t="str">
        <f>IF([1]StagingTable!T497&lt;=_xlfn.PERCENTILE.INC([1]StagingTable!T497:T1128,0.33),"LOW",IF([1]StagingTable!T497&lt;=_xlfn.PERCENTILE.INC([1]StagingTable!T497:T1128,0.67),"MEDIUM","HIGH"))</f>
        <v>LOW</v>
      </c>
    </row>
    <row r="498" spans="1:4" x14ac:dyDescent="0.25">
      <c r="A498" t="str">
        <f>TEXT([1]StagingTable!B498,"MMM-YYY")</f>
        <v>Jun-2023</v>
      </c>
      <c r="B498" t="str">
        <f>"Q"&amp;ROUNDUP(MONTH([1]StagingTable!B498)/3,0)&amp;"-"&amp;YEAR([1]StagingTable!D497)</f>
        <v>Q2-2024</v>
      </c>
      <c r="C498" t="str">
        <f>[1]StagingTable!F498&amp;"-"&amp;[1]StagingTable!G498&amp;"-"&amp;[1]StagingTable!H498</f>
        <v>Americas-Brazil-Brasília</v>
      </c>
      <c r="D498" t="str">
        <f>IF([1]StagingTable!T498&lt;=_xlfn.PERCENTILE.INC([1]StagingTable!T498:T1129,0.33),"LOW",IF([1]StagingTable!T498&lt;=_xlfn.PERCENTILE.INC([1]StagingTable!T498:T1129,0.67),"MEDIUM","HIGH"))</f>
        <v>HIGH</v>
      </c>
    </row>
    <row r="499" spans="1:4" x14ac:dyDescent="0.25">
      <c r="A499" t="str">
        <f>TEXT([1]StagingTable!B499,"MMM-YYY")</f>
        <v>Sep-2024</v>
      </c>
      <c r="B499" t="str">
        <f>"Q"&amp;ROUNDUP(MONTH([1]StagingTable!B499)/3,0)&amp;"-"&amp;YEAR([1]StagingTable!D498)</f>
        <v>Q3-2023</v>
      </c>
      <c r="C499" t="str">
        <f>[1]StagingTable!F499&amp;"-"&amp;[1]StagingTable!G499&amp;"-"&amp;[1]StagingTable!H499</f>
        <v>Europe-United Kingdom-London</v>
      </c>
      <c r="D499" t="str">
        <f>IF([1]StagingTable!T499&lt;=_xlfn.PERCENTILE.INC([1]StagingTable!T499:T1130,0.33),"LOW",IF([1]StagingTable!T499&lt;=_xlfn.PERCENTILE.INC([1]StagingTable!T499:T1130,0.67),"MEDIUM","HIGH"))</f>
        <v>MEDIUM</v>
      </c>
    </row>
    <row r="500" spans="1:4" x14ac:dyDescent="0.25">
      <c r="A500" t="str">
        <f>TEXT([1]StagingTable!B500,"MMM-YYY")</f>
        <v>Oct-2023</v>
      </c>
      <c r="B500" t="str">
        <f>"Q"&amp;ROUNDUP(MONTH([1]StagingTable!B500)/3,0)&amp;"-"&amp;YEAR([1]StagingTable!D499)</f>
        <v>Q4-2024</v>
      </c>
      <c r="C500" t="str">
        <f>[1]StagingTable!F500&amp;"-"&amp;[1]StagingTable!G500&amp;"-"&amp;[1]StagingTable!H500</f>
        <v>Americas-Brazil-Brasília</v>
      </c>
      <c r="D500" t="str">
        <f>IF([1]StagingTable!T500&lt;=_xlfn.PERCENTILE.INC([1]StagingTable!T500:T1131,0.33),"LOW",IF([1]StagingTable!T500&lt;=_xlfn.PERCENTILE.INC([1]StagingTable!T500:T1131,0.67),"MEDIUM","HIGH"))</f>
        <v>MEDIUM</v>
      </c>
    </row>
    <row r="501" spans="1:4" x14ac:dyDescent="0.25">
      <c r="A501" t="str">
        <f>TEXT([1]StagingTable!B501,"MMM-YYY")</f>
        <v>Sep-2025</v>
      </c>
      <c r="B501" t="str">
        <f>"Q"&amp;ROUNDUP(MONTH([1]StagingTable!B501)/3,0)&amp;"-"&amp;YEAR([1]StagingTable!D500)</f>
        <v>Q3-2023</v>
      </c>
      <c r="C501" t="str">
        <f>[1]StagingTable!F501&amp;"-"&amp;[1]StagingTable!G501&amp;"-"&amp;[1]StagingTable!H501</f>
        <v>Americas-Brazil-Rio de Janeiro</v>
      </c>
      <c r="D501" t="str">
        <f>IF([1]StagingTable!T501&lt;=_xlfn.PERCENTILE.INC([1]StagingTable!T501:T1132,0.33),"LOW",IF([1]StagingTable!T501&lt;=_xlfn.PERCENTILE.INC([1]StagingTable!T501:T1132,0.67),"MEDIUM","HIGH"))</f>
        <v>MEDIUM</v>
      </c>
    </row>
    <row r="502" spans="1:4" x14ac:dyDescent="0.25">
      <c r="A502" t="str">
        <f>TEXT([1]StagingTable!B502,"MMM-YYY")</f>
        <v>May-2023</v>
      </c>
      <c r="B502" t="str">
        <f>"Q"&amp;ROUNDUP(MONTH([1]StagingTable!B502)/3,0)&amp;"-"&amp;YEAR([1]StagingTable!D501)</f>
        <v>Q2-2025</v>
      </c>
      <c r="C502" t="str">
        <f>[1]StagingTable!F502&amp;"-"&amp;[1]StagingTable!G502&amp;"-"&amp;[1]StagingTable!H502</f>
        <v>Asia-India-Bengaluru</v>
      </c>
      <c r="D502" t="str">
        <f>IF([1]StagingTable!T502&lt;=_xlfn.PERCENTILE.INC([1]StagingTable!T502:T1133,0.33),"LOW",IF([1]StagingTable!T502&lt;=_xlfn.PERCENTILE.INC([1]StagingTable!T502:T1133,0.67),"MEDIUM","HIGH"))</f>
        <v>MEDIUM</v>
      </c>
    </row>
    <row r="503" spans="1:4" x14ac:dyDescent="0.25">
      <c r="A503" t="str">
        <f>TEXT([1]StagingTable!B503,"MMM-YYY")</f>
        <v>Apr-2024</v>
      </c>
      <c r="B503" t="str">
        <f>"Q"&amp;ROUNDUP(MONTH([1]StagingTable!B503)/3,0)&amp;"-"&amp;YEAR([1]StagingTable!D502)</f>
        <v>Q2-2023</v>
      </c>
      <c r="C503" t="str">
        <f>[1]StagingTable!F503&amp;"-"&amp;[1]StagingTable!G503&amp;"-"&amp;[1]StagingTable!H503</f>
        <v>Europe-United Kingdom-London</v>
      </c>
      <c r="D503" t="str">
        <f>IF([1]StagingTable!T503&lt;=_xlfn.PERCENTILE.INC([1]StagingTable!T503:T1134,0.33),"LOW",IF([1]StagingTable!T503&lt;=_xlfn.PERCENTILE.INC([1]StagingTable!T503:T1134,0.67),"MEDIUM","HIGH"))</f>
        <v>LOW</v>
      </c>
    </row>
    <row r="504" spans="1:4" x14ac:dyDescent="0.25">
      <c r="A504" t="str">
        <f>TEXT([1]StagingTable!B504,"MMM-YYY")</f>
        <v>Feb-2023</v>
      </c>
      <c r="B504" t="str">
        <f>"Q"&amp;ROUNDUP(MONTH([1]StagingTable!B504)/3,0)&amp;"-"&amp;YEAR([1]StagingTable!D503)</f>
        <v>Q1-2024</v>
      </c>
      <c r="C504" t="str">
        <f>[1]StagingTable!F504&amp;"-"&amp;[1]StagingTable!G504&amp;"-"&amp;[1]StagingTable!H504</f>
        <v>Asia-China-Beijing</v>
      </c>
      <c r="D504" t="str">
        <f>IF([1]StagingTable!T504&lt;=_xlfn.PERCENTILE.INC([1]StagingTable!T504:T1135,0.33),"LOW",IF([1]StagingTable!T504&lt;=_xlfn.PERCENTILE.INC([1]StagingTable!T504:T1135,0.67),"MEDIUM","HIGH"))</f>
        <v>HIGH</v>
      </c>
    </row>
    <row r="505" spans="1:4" x14ac:dyDescent="0.25">
      <c r="A505" t="str">
        <f>TEXT([1]StagingTable!B505,"MMM-YYY")</f>
        <v>Mar-2025</v>
      </c>
      <c r="B505" t="str">
        <f>"Q"&amp;ROUNDUP(MONTH([1]StagingTable!B505)/3,0)&amp;"-"&amp;YEAR([1]StagingTable!D504)</f>
        <v>Q1-2023</v>
      </c>
      <c r="C505" t="str">
        <f>[1]StagingTable!F505&amp;"-"&amp;[1]StagingTable!G505&amp;"-"&amp;[1]StagingTable!H505</f>
        <v>Asia-China-Beijing</v>
      </c>
      <c r="D505" t="str">
        <f>IF([1]StagingTable!T505&lt;=_xlfn.PERCENTILE.INC([1]StagingTable!T505:T1136,0.33),"LOW",IF([1]StagingTable!T505&lt;=_xlfn.PERCENTILE.INC([1]StagingTable!T505:T1136,0.67),"MEDIUM","HIGH"))</f>
        <v>HIGH</v>
      </c>
    </row>
    <row r="506" spans="1:4" x14ac:dyDescent="0.25">
      <c r="A506" t="str">
        <f>TEXT([1]StagingTable!B506,"MMM-YYY")</f>
        <v>Mar-2025</v>
      </c>
      <c r="B506" t="str">
        <f>"Q"&amp;ROUNDUP(MONTH([1]StagingTable!B506)/3,0)&amp;"-"&amp;YEAR([1]StagingTable!D505)</f>
        <v>Q1-2025</v>
      </c>
      <c r="C506" t="str">
        <f>[1]StagingTable!F506&amp;"-"&amp;[1]StagingTable!G506&amp;"-"&amp;[1]StagingTable!H506</f>
        <v>Americas-Brazil-Rio de Janeiro</v>
      </c>
      <c r="D506" t="str">
        <f>IF([1]StagingTable!T506&lt;=_xlfn.PERCENTILE.INC([1]StagingTable!T506:T1137,0.33),"LOW",IF([1]StagingTable!T506&lt;=_xlfn.PERCENTILE.INC([1]StagingTable!T506:T1137,0.67),"MEDIUM","HIGH"))</f>
        <v>MEDIUM</v>
      </c>
    </row>
    <row r="507" spans="1:4" x14ac:dyDescent="0.25">
      <c r="A507" t="str">
        <f>TEXT([1]StagingTable!B507,"MMM-YYY")</f>
        <v>Apr-2024</v>
      </c>
      <c r="B507" t="str">
        <f>"Q"&amp;ROUNDUP(MONTH([1]StagingTable!B507)/3,0)&amp;"-"&amp;YEAR([1]StagingTable!D506)</f>
        <v>Q2-2025</v>
      </c>
      <c r="C507" t="str">
        <f>[1]StagingTable!F507&amp;"-"&amp;[1]StagingTable!G507&amp;"-"&amp;[1]StagingTable!H507</f>
        <v>Africa-Nigeria-Lagos</v>
      </c>
      <c r="D507" t="str">
        <f>IF([1]StagingTable!T507&lt;=_xlfn.PERCENTILE.INC([1]StagingTable!T507:T1138,0.33),"LOW",IF([1]StagingTable!T507&lt;=_xlfn.PERCENTILE.INC([1]StagingTable!T507:T1138,0.67),"MEDIUM","HIGH"))</f>
        <v>MEDIUM</v>
      </c>
    </row>
    <row r="508" spans="1:4" x14ac:dyDescent="0.25">
      <c r="A508" t="str">
        <f>TEXT([1]StagingTable!B508,"MMM-YYY")</f>
        <v>Apr-2025</v>
      </c>
      <c r="B508" t="str">
        <f>"Q"&amp;ROUNDUP(MONTH([1]StagingTable!B508)/3,0)&amp;"-"&amp;YEAR([1]StagingTable!D507)</f>
        <v>Q2-2024</v>
      </c>
      <c r="C508" t="str">
        <f>[1]StagingTable!F508&amp;"-"&amp;[1]StagingTable!G508&amp;"-"&amp;[1]StagingTable!H508</f>
        <v>Americas-USA-Austin</v>
      </c>
      <c r="D508" t="str">
        <f>IF([1]StagingTable!T508&lt;=_xlfn.PERCENTILE.INC([1]StagingTable!T508:T1139,0.33),"LOW",IF([1]StagingTable!T508&lt;=_xlfn.PERCENTILE.INC([1]StagingTable!T508:T1139,0.67),"MEDIUM","HIGH"))</f>
        <v>MEDIUM</v>
      </c>
    </row>
    <row r="509" spans="1:4" x14ac:dyDescent="0.25">
      <c r="A509" t="str">
        <f>TEXT([1]StagingTable!B509,"MMM-YYY")</f>
        <v>Oct-2024</v>
      </c>
      <c r="B509" t="str">
        <f>"Q"&amp;ROUNDUP(MONTH([1]StagingTable!B509)/3,0)&amp;"-"&amp;YEAR([1]StagingTable!D508)</f>
        <v>Q4-2025</v>
      </c>
      <c r="C509" t="str">
        <f>[1]StagingTable!F509&amp;"-"&amp;[1]StagingTable!G509&amp;"-"&amp;[1]StagingTable!H509</f>
        <v>Asia-China-Shanghai</v>
      </c>
      <c r="D509" t="str">
        <f>IF([1]StagingTable!T509&lt;=_xlfn.PERCENTILE.INC([1]StagingTable!T509:T1140,0.33),"LOW",IF([1]StagingTable!T509&lt;=_xlfn.PERCENTILE.INC([1]StagingTable!T509:T1140,0.67),"MEDIUM","HIGH"))</f>
        <v>HIGH</v>
      </c>
    </row>
    <row r="510" spans="1:4" x14ac:dyDescent="0.25">
      <c r="A510" t="str">
        <f>TEXT([1]StagingTable!B510,"MMM-YYY")</f>
        <v>Apr-2023</v>
      </c>
      <c r="B510" t="str">
        <f>"Q"&amp;ROUNDUP(MONTH([1]StagingTable!B510)/3,0)&amp;"-"&amp;YEAR([1]StagingTable!D509)</f>
        <v>Q2-2024</v>
      </c>
      <c r="C510" t="str">
        <f>[1]StagingTable!F510&amp;"-"&amp;[1]StagingTable!G510&amp;"-"&amp;[1]StagingTable!H510</f>
        <v>Europe-France-Lyon</v>
      </c>
      <c r="D510" t="str">
        <f>IF([1]StagingTable!T510&lt;=_xlfn.PERCENTILE.INC([1]StagingTable!T510:T1141,0.33),"LOW",IF([1]StagingTable!T510&lt;=_xlfn.PERCENTILE.INC([1]StagingTable!T510:T1141,0.67),"MEDIUM","HIGH"))</f>
        <v>LOW</v>
      </c>
    </row>
    <row r="511" spans="1:4" x14ac:dyDescent="0.25">
      <c r="A511" t="str">
        <f>TEXT([1]StagingTable!B511,"MMM-YYY")</f>
        <v>Nov-2024</v>
      </c>
      <c r="B511" t="str">
        <f>"Q"&amp;ROUNDUP(MONTH([1]StagingTable!B511)/3,0)&amp;"-"&amp;YEAR([1]StagingTable!D510)</f>
        <v>Q4-2023</v>
      </c>
      <c r="C511" t="str">
        <f>[1]StagingTable!F511&amp;"-"&amp;[1]StagingTable!G511&amp;"-"&amp;[1]StagingTable!H511</f>
        <v>Asia-India-Mumbai</v>
      </c>
      <c r="D511" t="str">
        <f>IF([1]StagingTable!T511&lt;=_xlfn.PERCENTILE.INC([1]StagingTable!T511:T1142,0.33),"LOW",IF([1]StagingTable!T511&lt;=_xlfn.PERCENTILE.INC([1]StagingTable!T511:T1142,0.67),"MEDIUM","HIGH"))</f>
        <v>HIGH</v>
      </c>
    </row>
    <row r="512" spans="1:4" x14ac:dyDescent="0.25">
      <c r="A512" t="str">
        <f>TEXT([1]StagingTable!B512,"MMM-YYY")</f>
        <v>May-2023</v>
      </c>
      <c r="B512" t="str">
        <f>"Q"&amp;ROUNDUP(MONTH([1]StagingTable!B512)/3,0)&amp;"-"&amp;YEAR([1]StagingTable!D511)</f>
        <v>Q2-2024</v>
      </c>
      <c r="C512" t="str">
        <f>[1]StagingTable!F512&amp;"-"&amp;[1]StagingTable!G512&amp;"-"&amp;[1]StagingTable!H512</f>
        <v>Asia-India-Delhi</v>
      </c>
      <c r="D512" t="str">
        <f>IF([1]StagingTable!T512&lt;=_xlfn.PERCENTILE.INC([1]StagingTable!T512:T1143,0.33),"LOW",IF([1]StagingTable!T512&lt;=_xlfn.PERCENTILE.INC([1]StagingTable!T512:T1143,0.67),"MEDIUM","HIGH"))</f>
        <v>LOW</v>
      </c>
    </row>
    <row r="513" spans="1:4" x14ac:dyDescent="0.25">
      <c r="A513" t="str">
        <f>TEXT([1]StagingTable!B513,"MMM-YYY")</f>
        <v>Mar-2024</v>
      </c>
      <c r="B513" t="str">
        <f>"Q"&amp;ROUNDUP(MONTH([1]StagingTable!B513)/3,0)&amp;"-"&amp;YEAR([1]StagingTable!D512)</f>
        <v>Q1-2023</v>
      </c>
      <c r="C513" t="str">
        <f>[1]StagingTable!F513&amp;"-"&amp;[1]StagingTable!G513&amp;"-"&amp;[1]StagingTable!H513</f>
        <v>Americas-USA-Chicago</v>
      </c>
      <c r="D513" t="str">
        <f>IF([1]StagingTable!T513&lt;=_xlfn.PERCENTILE.INC([1]StagingTable!T513:T1144,0.33),"LOW",IF([1]StagingTable!T513&lt;=_xlfn.PERCENTILE.INC([1]StagingTable!T513:T1144,0.67),"MEDIUM","HIGH"))</f>
        <v>LOW</v>
      </c>
    </row>
    <row r="514" spans="1:4" x14ac:dyDescent="0.25">
      <c r="A514" t="str">
        <f>TEXT([1]StagingTable!B514,"MMM-YYY")</f>
        <v>Oct-2024</v>
      </c>
      <c r="B514" t="str">
        <f>"Q"&amp;ROUNDUP(MONTH([1]StagingTable!B514)/3,0)&amp;"-"&amp;YEAR([1]StagingTable!D513)</f>
        <v>Q4-2024</v>
      </c>
      <c r="C514" t="str">
        <f>[1]StagingTable!F514&amp;"-"&amp;[1]StagingTable!G514&amp;"-"&amp;[1]StagingTable!H514</f>
        <v>Europe-United Kingdom-Manchester</v>
      </c>
      <c r="D514" t="str">
        <f>IF([1]StagingTable!T514&lt;=_xlfn.PERCENTILE.INC([1]StagingTable!T514:T1145,0.33),"LOW",IF([1]StagingTable!T514&lt;=_xlfn.PERCENTILE.INC([1]StagingTable!T514:T1145,0.67),"MEDIUM","HIGH"))</f>
        <v>HIGH</v>
      </c>
    </row>
    <row r="515" spans="1:4" x14ac:dyDescent="0.25">
      <c r="A515" t="str">
        <f>TEXT([1]StagingTable!B515,"MMM-YYY")</f>
        <v>Jun-2023</v>
      </c>
      <c r="B515" t="str">
        <f>"Q"&amp;ROUNDUP(MONTH([1]StagingTable!B515)/3,0)&amp;"-"&amp;YEAR([1]StagingTable!D514)</f>
        <v>Q2-2024</v>
      </c>
      <c r="C515" t="str">
        <f>[1]StagingTable!F515&amp;"-"&amp;[1]StagingTable!G515&amp;"-"&amp;[1]StagingTable!H515</f>
        <v>Europe-Germany-Frankfurt</v>
      </c>
      <c r="D515" t="str">
        <f>IF([1]StagingTable!T515&lt;=_xlfn.PERCENTILE.INC([1]StagingTable!T515:T1146,0.33),"LOW",IF([1]StagingTable!T515&lt;=_xlfn.PERCENTILE.INC([1]StagingTable!T515:T1146,0.67),"MEDIUM","HIGH"))</f>
        <v>MEDIUM</v>
      </c>
    </row>
    <row r="516" spans="1:4" x14ac:dyDescent="0.25">
      <c r="A516" t="str">
        <f>TEXT([1]StagingTable!B516,"MMM-YYY")</f>
        <v>Jan-2025</v>
      </c>
      <c r="B516" t="str">
        <f>"Q"&amp;ROUNDUP(MONTH([1]StagingTable!B516)/3,0)&amp;"-"&amp;YEAR([1]StagingTable!D515)</f>
        <v>Q1-2023</v>
      </c>
      <c r="C516" t="str">
        <f>[1]StagingTable!F516&amp;"-"&amp;[1]StagingTable!G516&amp;"-"&amp;[1]StagingTable!H516</f>
        <v>Asia-India-Delhi</v>
      </c>
      <c r="D516" t="str">
        <f>IF([1]StagingTable!T516&lt;=_xlfn.PERCENTILE.INC([1]StagingTable!T516:T1147,0.33),"LOW",IF([1]StagingTable!T516&lt;=_xlfn.PERCENTILE.INC([1]StagingTable!T516:T1147,0.67),"MEDIUM","HIGH"))</f>
        <v>HIGH</v>
      </c>
    </row>
    <row r="517" spans="1:4" x14ac:dyDescent="0.25">
      <c r="A517" t="str">
        <f>TEXT([1]StagingTable!B517,"MMM-YYY")</f>
        <v>Aug-2025</v>
      </c>
      <c r="B517" t="str">
        <f>"Q"&amp;ROUNDUP(MONTH([1]StagingTable!B517)/3,0)&amp;"-"&amp;YEAR([1]StagingTable!D516)</f>
        <v>Q3-2025</v>
      </c>
      <c r="C517" t="str">
        <f>[1]StagingTable!F517&amp;"-"&amp;[1]StagingTable!G517&amp;"-"&amp;[1]StagingTable!H517</f>
        <v>Asia-India-Mumbai</v>
      </c>
      <c r="D517" t="str">
        <f>IF([1]StagingTable!T517&lt;=_xlfn.PERCENTILE.INC([1]StagingTable!T517:T1148,0.33),"LOW",IF([1]StagingTable!T517&lt;=_xlfn.PERCENTILE.INC([1]StagingTable!T517:T1148,0.67),"MEDIUM","HIGH"))</f>
        <v>MEDIUM</v>
      </c>
    </row>
    <row r="518" spans="1:4" x14ac:dyDescent="0.25">
      <c r="A518" t="str">
        <f>TEXT([1]StagingTable!B518,"MMM-YYY")</f>
        <v>Sep-2023</v>
      </c>
      <c r="B518" t="str">
        <f>"Q"&amp;ROUNDUP(MONTH([1]StagingTable!B518)/3,0)&amp;"-"&amp;YEAR([1]StagingTable!D517)</f>
        <v>Q3-2025</v>
      </c>
      <c r="C518" t="str">
        <f>[1]StagingTable!F518&amp;"-"&amp;[1]StagingTable!G518&amp;"-"&amp;[1]StagingTable!H518</f>
        <v>Asia-Japan-Tokyo</v>
      </c>
      <c r="D518" t="str">
        <f>IF([1]StagingTable!T518&lt;=_xlfn.PERCENTILE.INC([1]StagingTable!T518:T1149,0.33),"LOW",IF([1]StagingTable!T518&lt;=_xlfn.PERCENTILE.INC([1]StagingTable!T518:T1149,0.67),"MEDIUM","HIGH"))</f>
        <v>MEDIUM</v>
      </c>
    </row>
    <row r="519" spans="1:4" x14ac:dyDescent="0.25">
      <c r="A519" t="str">
        <f>TEXT([1]StagingTable!B519,"MMM-YYY")</f>
        <v>May-2025</v>
      </c>
      <c r="B519" t="str">
        <f>"Q"&amp;ROUNDUP(MONTH([1]StagingTable!B519)/3,0)&amp;"-"&amp;YEAR([1]StagingTable!D518)</f>
        <v>Q2-2023</v>
      </c>
      <c r="C519" t="str">
        <f>[1]StagingTable!F519&amp;"-"&amp;[1]StagingTable!G519&amp;"-"&amp;[1]StagingTable!H519</f>
        <v>Africa-Nigeria-Lagos</v>
      </c>
      <c r="D519" t="str">
        <f>IF([1]StagingTable!T519&lt;=_xlfn.PERCENTILE.INC([1]StagingTable!T519:T1150,0.33),"LOW",IF([1]StagingTable!T519&lt;=_xlfn.PERCENTILE.INC([1]StagingTable!T519:T1150,0.67),"MEDIUM","HIGH"))</f>
        <v>LOW</v>
      </c>
    </row>
    <row r="520" spans="1:4" x14ac:dyDescent="0.25">
      <c r="A520" t="str">
        <f>TEXT([1]StagingTable!B520,"MMM-YYY")</f>
        <v>May-2024</v>
      </c>
      <c r="B520" t="str">
        <f>"Q"&amp;ROUNDUP(MONTH([1]StagingTable!B520)/3,0)&amp;"-"&amp;YEAR([1]StagingTable!D519)</f>
        <v>Q2-2025</v>
      </c>
      <c r="C520" t="str">
        <f>[1]StagingTable!F520&amp;"-"&amp;[1]StagingTable!G520&amp;"-"&amp;[1]StagingTable!H520</f>
        <v>Europe-Germany-Berlin</v>
      </c>
      <c r="D520" t="str">
        <f>IF([1]StagingTable!T520&lt;=_xlfn.PERCENTILE.INC([1]StagingTable!T520:T1151,0.33),"LOW",IF([1]StagingTable!T520&lt;=_xlfn.PERCENTILE.INC([1]StagingTable!T520:T1151,0.67),"MEDIUM","HIGH"))</f>
        <v>MEDIUM</v>
      </c>
    </row>
    <row r="521" spans="1:4" x14ac:dyDescent="0.25">
      <c r="A521" t="str">
        <f>TEXT([1]StagingTable!B521,"MMM-YYY")</f>
        <v>May-2023</v>
      </c>
      <c r="B521" t="str">
        <f>"Q"&amp;ROUNDUP(MONTH([1]StagingTable!B521)/3,0)&amp;"-"&amp;YEAR([1]StagingTable!D520)</f>
        <v>Q2-2024</v>
      </c>
      <c r="C521" t="str">
        <f>[1]StagingTable!F521&amp;"-"&amp;[1]StagingTable!G521&amp;"-"&amp;[1]StagingTable!H521</f>
        <v>Africa-Nigeria-Port Harcourt</v>
      </c>
      <c r="D521" t="str">
        <f>IF([1]StagingTable!T521&lt;=_xlfn.PERCENTILE.INC([1]StagingTable!T521:T1152,0.33),"LOW",IF([1]StagingTable!T521&lt;=_xlfn.PERCENTILE.INC([1]StagingTable!T521:T1152,0.67),"MEDIUM","HIGH"))</f>
        <v>LOW</v>
      </c>
    </row>
    <row r="522" spans="1:4" x14ac:dyDescent="0.25">
      <c r="A522" t="str">
        <f>TEXT([1]StagingTable!B522,"MMM-YYY")</f>
        <v>Jul-2024</v>
      </c>
      <c r="B522" t="str">
        <f>"Q"&amp;ROUNDUP(MONTH([1]StagingTable!B522)/3,0)&amp;"-"&amp;YEAR([1]StagingTable!D521)</f>
        <v>Q3-2023</v>
      </c>
      <c r="C522" t="str">
        <f>[1]StagingTable!F522&amp;"-"&amp;[1]StagingTable!G522&amp;"-"&amp;[1]StagingTable!H522</f>
        <v>Europe-France-Marseille</v>
      </c>
      <c r="D522" t="str">
        <f>IF([1]StagingTable!T522&lt;=_xlfn.PERCENTILE.INC([1]StagingTable!T522:T1153,0.33),"LOW",IF([1]StagingTable!T522&lt;=_xlfn.PERCENTILE.INC([1]StagingTable!T522:T1153,0.67),"MEDIUM","HIGH"))</f>
        <v>MEDIUM</v>
      </c>
    </row>
    <row r="523" spans="1:4" x14ac:dyDescent="0.25">
      <c r="A523" t="str">
        <f>TEXT([1]StagingTable!B523,"MMM-YYY")</f>
        <v>May-2023</v>
      </c>
      <c r="B523" t="str">
        <f>"Q"&amp;ROUNDUP(MONTH([1]StagingTable!B523)/3,0)&amp;"-"&amp;YEAR([1]StagingTable!D522)</f>
        <v>Q2-2024</v>
      </c>
      <c r="C523" t="str">
        <f>[1]StagingTable!F523&amp;"-"&amp;[1]StagingTable!G523&amp;"-"&amp;[1]StagingTable!H523</f>
        <v>Asia-India-Mumbai</v>
      </c>
      <c r="D523" t="str">
        <f>IF([1]StagingTable!T523&lt;=_xlfn.PERCENTILE.INC([1]StagingTable!T523:T1154,0.33),"LOW",IF([1]StagingTable!T523&lt;=_xlfn.PERCENTILE.INC([1]StagingTable!T523:T1154,0.67),"MEDIUM","HIGH"))</f>
        <v>HIGH</v>
      </c>
    </row>
    <row r="524" spans="1:4" x14ac:dyDescent="0.25">
      <c r="A524" t="str">
        <f>TEXT([1]StagingTable!B524,"MMM-YYY")</f>
        <v>Jul-2024</v>
      </c>
      <c r="B524" t="str">
        <f>"Q"&amp;ROUNDUP(MONTH([1]StagingTable!B524)/3,0)&amp;"-"&amp;YEAR([1]StagingTable!D523)</f>
        <v>Q3-2023</v>
      </c>
      <c r="C524" t="str">
        <f>[1]StagingTable!F524&amp;"-"&amp;[1]StagingTable!G524&amp;"-"&amp;[1]StagingTable!H524</f>
        <v>Asia-China-Shanghai</v>
      </c>
      <c r="D524" t="str">
        <f>IF([1]StagingTable!T524&lt;=_xlfn.PERCENTILE.INC([1]StagingTable!T524:T1155,0.33),"LOW",IF([1]StagingTable!T524&lt;=_xlfn.PERCENTILE.INC([1]StagingTable!T524:T1155,0.67),"MEDIUM","HIGH"))</f>
        <v>MEDIUM</v>
      </c>
    </row>
    <row r="525" spans="1:4" x14ac:dyDescent="0.25">
      <c r="A525" t="str">
        <f>TEXT([1]StagingTable!B525,"MMM-YYY")</f>
        <v>Apr-2024</v>
      </c>
      <c r="B525" t="str">
        <f>"Q"&amp;ROUNDUP(MONTH([1]StagingTable!B525)/3,0)&amp;"-"&amp;YEAR([1]StagingTable!D524)</f>
        <v>Q2-2024</v>
      </c>
      <c r="C525" t="str">
        <f>[1]StagingTable!F525&amp;"-"&amp;[1]StagingTable!G525&amp;"-"&amp;[1]StagingTable!H525</f>
        <v>Africa-Kenya-Kisumu</v>
      </c>
      <c r="D525" t="str">
        <f>IF([1]StagingTable!T525&lt;=_xlfn.PERCENTILE.INC([1]StagingTable!T525:T1156,0.33),"LOW",IF([1]StagingTable!T525&lt;=_xlfn.PERCENTILE.INC([1]StagingTable!T525:T1156,0.67),"MEDIUM","HIGH"))</f>
        <v>MEDIUM</v>
      </c>
    </row>
    <row r="526" spans="1:4" x14ac:dyDescent="0.25">
      <c r="A526" t="str">
        <f>TEXT([1]StagingTable!B526,"MMM-YYY")</f>
        <v>Jan-2024</v>
      </c>
      <c r="B526" t="str">
        <f>"Q"&amp;ROUNDUP(MONTH([1]StagingTable!B526)/3,0)&amp;"-"&amp;YEAR([1]StagingTable!D525)</f>
        <v>Q1-2024</v>
      </c>
      <c r="C526" t="str">
        <f>[1]StagingTable!F526&amp;"-"&amp;[1]StagingTable!G526&amp;"-"&amp;[1]StagingTable!H526</f>
        <v>Americas-USA-San Francisco</v>
      </c>
      <c r="D526" t="str">
        <f>IF([1]StagingTable!T526&lt;=_xlfn.PERCENTILE.INC([1]StagingTable!T526:T1157,0.33),"LOW",IF([1]StagingTable!T526&lt;=_xlfn.PERCENTILE.INC([1]StagingTable!T526:T1157,0.67),"MEDIUM","HIGH"))</f>
        <v>HIGH</v>
      </c>
    </row>
    <row r="527" spans="1:4" x14ac:dyDescent="0.25">
      <c r="A527" t="str">
        <f>TEXT([1]StagingTable!B527,"MMM-YYY")</f>
        <v>Apr-2024</v>
      </c>
      <c r="B527" t="str">
        <f>"Q"&amp;ROUNDUP(MONTH([1]StagingTable!B527)/3,0)&amp;"-"&amp;YEAR([1]StagingTable!D526)</f>
        <v>Q2-2024</v>
      </c>
      <c r="C527" t="str">
        <f>[1]StagingTable!F527&amp;"-"&amp;[1]StagingTable!G527&amp;"-"&amp;[1]StagingTable!H527</f>
        <v>Africa-Kenya-Nakuru</v>
      </c>
      <c r="D527" t="str">
        <f>IF([1]StagingTable!T527&lt;=_xlfn.PERCENTILE.INC([1]StagingTable!T527:T1158,0.33),"LOW",IF([1]StagingTable!T527&lt;=_xlfn.PERCENTILE.INC([1]StagingTable!T527:T1158,0.67),"MEDIUM","HIGH"))</f>
        <v>LOW</v>
      </c>
    </row>
    <row r="528" spans="1:4" x14ac:dyDescent="0.25">
      <c r="A528" t="str">
        <f>TEXT([1]StagingTable!B528,"MMM-YYY")</f>
        <v>Feb-2025</v>
      </c>
      <c r="B528" t="str">
        <f>"Q"&amp;ROUNDUP(MONTH([1]StagingTable!B528)/3,0)&amp;"-"&amp;YEAR([1]StagingTable!D527)</f>
        <v>Q1-2024</v>
      </c>
      <c r="C528" t="str">
        <f>[1]StagingTable!F528&amp;"-"&amp;[1]StagingTable!G528&amp;"-"&amp;[1]StagingTable!H528</f>
        <v>Africa-Nigeria-Lagos</v>
      </c>
      <c r="D528" t="str">
        <f>IF([1]StagingTable!T528&lt;=_xlfn.PERCENTILE.INC([1]StagingTable!T528:T1159,0.33),"LOW",IF([1]StagingTable!T528&lt;=_xlfn.PERCENTILE.INC([1]StagingTable!T528:T1159,0.67),"MEDIUM","HIGH"))</f>
        <v>LOW</v>
      </c>
    </row>
    <row r="529" spans="1:4" x14ac:dyDescent="0.25">
      <c r="A529" t="str">
        <f>TEXT([1]StagingTable!B529,"MMM-YYY")</f>
        <v>Jan-2023</v>
      </c>
      <c r="B529" t="str">
        <f>"Q"&amp;ROUNDUP(MONTH([1]StagingTable!B529)/3,0)&amp;"-"&amp;YEAR([1]StagingTable!D528)</f>
        <v>Q1-2025</v>
      </c>
      <c r="C529" t="str">
        <f>[1]StagingTable!F529&amp;"-"&amp;[1]StagingTable!G529&amp;"-"&amp;[1]StagingTable!H529</f>
        <v>Asia-China-Shenzhen</v>
      </c>
      <c r="D529" t="str">
        <f>IF([1]StagingTable!T529&lt;=_xlfn.PERCENTILE.INC([1]StagingTable!T529:T1160,0.33),"LOW",IF([1]StagingTable!T529&lt;=_xlfn.PERCENTILE.INC([1]StagingTable!T529:T1160,0.67),"MEDIUM","HIGH"))</f>
        <v>MEDIUM</v>
      </c>
    </row>
    <row r="530" spans="1:4" x14ac:dyDescent="0.25">
      <c r="A530" t="str">
        <f>TEXT([1]StagingTable!B530,"MMM-YYY")</f>
        <v>Jun-2024</v>
      </c>
      <c r="B530" t="str">
        <f>"Q"&amp;ROUNDUP(MONTH([1]StagingTable!B530)/3,0)&amp;"-"&amp;YEAR([1]StagingTable!D529)</f>
        <v>Q2-2023</v>
      </c>
      <c r="C530" t="str">
        <f>[1]StagingTable!F530&amp;"-"&amp;[1]StagingTable!G530&amp;"-"&amp;[1]StagingTable!H530</f>
        <v>Africa-Kenya-Nairobi</v>
      </c>
      <c r="D530" t="str">
        <f>IF([1]StagingTable!T530&lt;=_xlfn.PERCENTILE.INC([1]StagingTable!T530:T1161,0.33),"LOW",IF([1]StagingTable!T530&lt;=_xlfn.PERCENTILE.INC([1]StagingTable!T530:T1161,0.67),"MEDIUM","HIGH"))</f>
        <v>MEDIUM</v>
      </c>
    </row>
    <row r="531" spans="1:4" x14ac:dyDescent="0.25">
      <c r="A531" t="str">
        <f>TEXT([1]StagingTable!B531,"MMM-YYY")</f>
        <v>Aug-2023</v>
      </c>
      <c r="B531" t="str">
        <f>"Q"&amp;ROUNDUP(MONTH([1]StagingTable!B531)/3,0)&amp;"-"&amp;YEAR([1]StagingTable!D530)</f>
        <v>Q3-2024</v>
      </c>
      <c r="C531" t="str">
        <f>[1]StagingTable!F531&amp;"-"&amp;[1]StagingTable!G531&amp;"-"&amp;[1]StagingTable!H531</f>
        <v>Africa-South Africa-Durban</v>
      </c>
      <c r="D531" t="str">
        <f>IF([1]StagingTable!T531&lt;=_xlfn.PERCENTILE.INC([1]StagingTable!T531:T1162,0.33),"LOW",IF([1]StagingTable!T531&lt;=_xlfn.PERCENTILE.INC([1]StagingTable!T531:T1162,0.67),"MEDIUM","HIGH"))</f>
        <v>HIGH</v>
      </c>
    </row>
    <row r="532" spans="1:4" x14ac:dyDescent="0.25">
      <c r="A532" t="str">
        <f>TEXT([1]StagingTable!B532,"MMM-YYY")</f>
        <v>Jan-2024</v>
      </c>
      <c r="B532" t="str">
        <f>"Q"&amp;ROUNDUP(MONTH([1]StagingTable!B532)/3,0)&amp;"-"&amp;YEAR([1]StagingTable!D531)</f>
        <v>Q1-2023</v>
      </c>
      <c r="C532" t="str">
        <f>[1]StagingTable!F532&amp;"-"&amp;[1]StagingTable!G532&amp;"-"&amp;[1]StagingTable!H532</f>
        <v>Asia-Japan-Osaka</v>
      </c>
      <c r="D532" t="str">
        <f>IF([1]StagingTable!T532&lt;=_xlfn.PERCENTILE.INC([1]StagingTable!T532:T1163,0.33),"LOW",IF([1]StagingTable!T532&lt;=_xlfn.PERCENTILE.INC([1]StagingTable!T532:T1163,0.67),"MEDIUM","HIGH"))</f>
        <v>MEDIUM</v>
      </c>
    </row>
    <row r="533" spans="1:4" x14ac:dyDescent="0.25">
      <c r="A533" t="str">
        <f>TEXT([1]StagingTable!B533,"MMM-YYY")</f>
        <v>Mar-2025</v>
      </c>
      <c r="B533" t="str">
        <f>"Q"&amp;ROUNDUP(MONTH([1]StagingTable!B533)/3,0)&amp;"-"&amp;YEAR([1]StagingTable!D532)</f>
        <v>Q1-2024</v>
      </c>
      <c r="C533" t="str">
        <f>[1]StagingTable!F533&amp;"-"&amp;[1]StagingTable!G533&amp;"-"&amp;[1]StagingTable!H533</f>
        <v>Europe-Germany-Berlin</v>
      </c>
      <c r="D533" t="str">
        <f>IF([1]StagingTable!T533&lt;=_xlfn.PERCENTILE.INC([1]StagingTable!T533:T1164,0.33),"LOW",IF([1]StagingTable!T533&lt;=_xlfn.PERCENTILE.INC([1]StagingTable!T533:T1164,0.67),"MEDIUM","HIGH"))</f>
        <v>LOW</v>
      </c>
    </row>
    <row r="534" spans="1:4" x14ac:dyDescent="0.25">
      <c r="A534" t="str">
        <f>TEXT([1]StagingTable!B534,"MMM-YYY")</f>
        <v>Apr-2025</v>
      </c>
      <c r="B534" t="str">
        <f>"Q"&amp;ROUNDUP(MONTH([1]StagingTable!B534)/3,0)&amp;"-"&amp;YEAR([1]StagingTable!D533)</f>
        <v>Q2-2025</v>
      </c>
      <c r="C534" t="str">
        <f>[1]StagingTable!F534&amp;"-"&amp;[1]StagingTable!G534&amp;"-"&amp;[1]StagingTable!H534</f>
        <v>Europe-France-Lyon</v>
      </c>
      <c r="D534" t="str">
        <f>IF([1]StagingTable!T534&lt;=_xlfn.PERCENTILE.INC([1]StagingTable!T534:T1165,0.33),"LOW",IF([1]StagingTable!T534&lt;=_xlfn.PERCENTILE.INC([1]StagingTable!T534:T1165,0.67),"MEDIUM","HIGH"))</f>
        <v>LOW</v>
      </c>
    </row>
    <row r="535" spans="1:4" x14ac:dyDescent="0.25">
      <c r="A535" t="str">
        <f>TEXT([1]StagingTable!B535,"MMM-YYY")</f>
        <v>Aug-2023</v>
      </c>
      <c r="B535" t="str">
        <f>"Q"&amp;ROUNDUP(MONTH([1]StagingTable!B535)/3,0)&amp;"-"&amp;YEAR([1]StagingTable!D534)</f>
        <v>Q3-2025</v>
      </c>
      <c r="C535" t="str">
        <f>[1]StagingTable!F535&amp;"-"&amp;[1]StagingTable!G535&amp;"-"&amp;[1]StagingTable!H535</f>
        <v>Africa-South Africa-Durban</v>
      </c>
      <c r="D535" t="str">
        <f>IF([1]StagingTable!T535&lt;=_xlfn.PERCENTILE.INC([1]StagingTable!T535:T1166,0.33),"LOW",IF([1]StagingTable!T535&lt;=_xlfn.PERCENTILE.INC([1]StagingTable!T535:T1166,0.67),"MEDIUM","HIGH"))</f>
        <v>MEDIUM</v>
      </c>
    </row>
    <row r="536" spans="1:4" x14ac:dyDescent="0.25">
      <c r="A536" t="str">
        <f>TEXT([1]StagingTable!B536,"MMM-YYY")</f>
        <v>Jun-2025</v>
      </c>
      <c r="B536" t="str">
        <f>"Q"&amp;ROUNDUP(MONTH([1]StagingTable!B536)/3,0)&amp;"-"&amp;YEAR([1]StagingTable!D535)</f>
        <v>Q2-2023</v>
      </c>
      <c r="C536" t="str">
        <f>[1]StagingTable!F536&amp;"-"&amp;[1]StagingTable!G536&amp;"-"&amp;[1]StagingTable!H536</f>
        <v>Africa-South Africa-Johannesburg</v>
      </c>
      <c r="D536" t="str">
        <f>IF([1]StagingTable!T536&lt;=_xlfn.PERCENTILE.INC([1]StagingTable!T536:T1167,0.33),"LOW",IF([1]StagingTable!T536&lt;=_xlfn.PERCENTILE.INC([1]StagingTable!T536:T1167,0.67),"MEDIUM","HIGH"))</f>
        <v>HIGH</v>
      </c>
    </row>
    <row r="537" spans="1:4" x14ac:dyDescent="0.25">
      <c r="A537" t="str">
        <f>TEXT([1]StagingTable!B537,"MMM-YYY")</f>
        <v>Jan-2025</v>
      </c>
      <c r="B537" t="str">
        <f>"Q"&amp;ROUNDUP(MONTH([1]StagingTable!B537)/3,0)&amp;"-"&amp;YEAR([1]StagingTable!D536)</f>
        <v>Q1-2025</v>
      </c>
      <c r="C537" t="str">
        <f>[1]StagingTable!F537&amp;"-"&amp;[1]StagingTable!G537&amp;"-"&amp;[1]StagingTable!H537</f>
        <v>Americas-Brazil-Brasília</v>
      </c>
      <c r="D537" t="str">
        <f>IF([1]StagingTable!T537&lt;=_xlfn.PERCENTILE.INC([1]StagingTable!T537:T1168,0.33),"LOW",IF([1]StagingTable!T537&lt;=_xlfn.PERCENTILE.INC([1]StagingTable!T537:T1168,0.67),"MEDIUM","HIGH"))</f>
        <v>MEDIUM</v>
      </c>
    </row>
    <row r="538" spans="1:4" x14ac:dyDescent="0.25">
      <c r="A538" t="str">
        <f>TEXT([1]StagingTable!B538,"MMM-YYY")</f>
        <v>Jul-2023</v>
      </c>
      <c r="B538" t="str">
        <f>"Q"&amp;ROUNDUP(MONTH([1]StagingTable!B538)/3,0)&amp;"-"&amp;YEAR([1]StagingTable!D537)</f>
        <v>Q3-2025</v>
      </c>
      <c r="C538" t="str">
        <f>[1]StagingTable!F538&amp;"-"&amp;[1]StagingTable!G538&amp;"-"&amp;[1]StagingTable!H538</f>
        <v>Europe-France-Paris</v>
      </c>
      <c r="D538" t="str">
        <f>IF([1]StagingTable!T538&lt;=_xlfn.PERCENTILE.INC([1]StagingTable!T538:T1169,0.33),"LOW",IF([1]StagingTable!T538&lt;=_xlfn.PERCENTILE.INC([1]StagingTable!T538:T1169,0.67),"MEDIUM","HIGH"))</f>
        <v>LOW</v>
      </c>
    </row>
    <row r="539" spans="1:4" x14ac:dyDescent="0.25">
      <c r="A539" t="str">
        <f>TEXT([1]StagingTable!B539,"MMM-YYY")</f>
        <v>Aug-2024</v>
      </c>
      <c r="B539" t="str">
        <f>"Q"&amp;ROUNDUP(MONTH([1]StagingTable!B539)/3,0)&amp;"-"&amp;YEAR([1]StagingTable!D538)</f>
        <v>Q3-2023</v>
      </c>
      <c r="C539" t="str">
        <f>[1]StagingTable!F539&amp;"-"&amp;[1]StagingTable!G539&amp;"-"&amp;[1]StagingTable!H539</f>
        <v>Americas-USA-Chicago</v>
      </c>
      <c r="D539" t="str">
        <f>IF([1]StagingTable!T539&lt;=_xlfn.PERCENTILE.INC([1]StagingTable!T539:T1170,0.33),"LOW",IF([1]StagingTable!T539&lt;=_xlfn.PERCENTILE.INC([1]StagingTable!T539:T1170,0.67),"MEDIUM","HIGH"))</f>
        <v>HIGH</v>
      </c>
    </row>
    <row r="540" spans="1:4" x14ac:dyDescent="0.25">
      <c r="A540" t="str">
        <f>TEXT([1]StagingTable!B540,"MMM-YYY")</f>
        <v>Jul-2023</v>
      </c>
      <c r="B540" t="str">
        <f>"Q"&amp;ROUNDUP(MONTH([1]StagingTable!B540)/3,0)&amp;"-"&amp;YEAR([1]StagingTable!D539)</f>
        <v>Q3-2024</v>
      </c>
      <c r="C540" t="str">
        <f>[1]StagingTable!F540&amp;"-"&amp;[1]StagingTable!G540&amp;"-"&amp;[1]StagingTable!H540</f>
        <v>Africa-South Africa-Cape Town</v>
      </c>
      <c r="D540" t="str">
        <f>IF([1]StagingTable!T540&lt;=_xlfn.PERCENTILE.INC([1]StagingTable!T540:T1171,0.33),"LOW",IF([1]StagingTable!T540&lt;=_xlfn.PERCENTILE.INC([1]StagingTable!T540:T1171,0.67),"MEDIUM","HIGH"))</f>
        <v>MEDIUM</v>
      </c>
    </row>
    <row r="541" spans="1:4" x14ac:dyDescent="0.25">
      <c r="A541" t="str">
        <f>TEXT([1]StagingTable!B541,"MMM-YYY")</f>
        <v>Dec-2023</v>
      </c>
      <c r="B541" t="str">
        <f>"Q"&amp;ROUNDUP(MONTH([1]StagingTable!B541)/3,0)&amp;"-"&amp;YEAR([1]StagingTable!D540)</f>
        <v>Q4-2023</v>
      </c>
      <c r="C541" t="str">
        <f>[1]StagingTable!F541&amp;"-"&amp;[1]StagingTable!G541&amp;"-"&amp;[1]StagingTable!H541</f>
        <v>Africa-South Africa-Cape Town</v>
      </c>
      <c r="D541" t="str">
        <f>IF([1]StagingTable!T541&lt;=_xlfn.PERCENTILE.INC([1]StagingTable!T541:T1172,0.33),"LOW",IF([1]StagingTable!T541&lt;=_xlfn.PERCENTILE.INC([1]StagingTable!T541:T1172,0.67),"MEDIUM","HIGH"))</f>
        <v>HIGH</v>
      </c>
    </row>
    <row r="542" spans="1:4" x14ac:dyDescent="0.25">
      <c r="A542" t="str">
        <f>TEXT([1]StagingTable!B542,"MMM-YYY")</f>
        <v>Jan-2023</v>
      </c>
      <c r="B542" t="str">
        <f>"Q"&amp;ROUNDUP(MONTH([1]StagingTable!B542)/3,0)&amp;"-"&amp;YEAR([1]StagingTable!D541)</f>
        <v>Q1-2024</v>
      </c>
      <c r="C542" t="str">
        <f>[1]StagingTable!F542&amp;"-"&amp;[1]StagingTable!G542&amp;"-"&amp;[1]StagingTable!H542</f>
        <v>Europe-Germany-Berlin</v>
      </c>
      <c r="D542" t="str">
        <f>IF([1]StagingTable!T542&lt;=_xlfn.PERCENTILE.INC([1]StagingTable!T542:T1173,0.33),"LOW",IF([1]StagingTable!T542&lt;=_xlfn.PERCENTILE.INC([1]StagingTable!T542:T1173,0.67),"MEDIUM","HIGH"))</f>
        <v>LOW</v>
      </c>
    </row>
    <row r="543" spans="1:4" x14ac:dyDescent="0.25">
      <c r="A543" t="str">
        <f>TEXT([1]StagingTable!B543,"MMM-YYY")</f>
        <v>Jul-2023</v>
      </c>
      <c r="B543" t="str">
        <f>"Q"&amp;ROUNDUP(MONTH([1]StagingTable!B543)/3,0)&amp;"-"&amp;YEAR([1]StagingTable!D542)</f>
        <v>Q3-2023</v>
      </c>
      <c r="C543" t="str">
        <f>[1]StagingTable!F543&amp;"-"&amp;[1]StagingTable!G543&amp;"-"&amp;[1]StagingTable!H543</f>
        <v>Africa-Kenya-Nairobi</v>
      </c>
      <c r="D543" t="str">
        <f>IF([1]StagingTable!T543&lt;=_xlfn.PERCENTILE.INC([1]StagingTable!T543:T1174,0.33),"LOW",IF([1]StagingTable!T543&lt;=_xlfn.PERCENTILE.INC([1]StagingTable!T543:T1174,0.67),"MEDIUM","HIGH"))</f>
        <v>HIGH</v>
      </c>
    </row>
    <row r="544" spans="1:4" x14ac:dyDescent="0.25">
      <c r="A544" t="str">
        <f>TEXT([1]StagingTable!B544,"MMM-YYY")</f>
        <v>Jun-2024</v>
      </c>
      <c r="B544" t="str">
        <f>"Q"&amp;ROUNDUP(MONTH([1]StagingTable!B544)/3,0)&amp;"-"&amp;YEAR([1]StagingTable!D543)</f>
        <v>Q2-2023</v>
      </c>
      <c r="C544" t="str">
        <f>[1]StagingTable!F544&amp;"-"&amp;[1]StagingTable!G544&amp;"-"&amp;[1]StagingTable!H544</f>
        <v>Asia-China-Shanghai</v>
      </c>
      <c r="D544" t="str">
        <f>IF([1]StagingTable!T544&lt;=_xlfn.PERCENTILE.INC([1]StagingTable!T544:T1175,0.33),"LOW",IF([1]StagingTable!T544&lt;=_xlfn.PERCENTILE.INC([1]StagingTable!T544:T1175,0.67),"MEDIUM","HIGH"))</f>
        <v>HIGH</v>
      </c>
    </row>
    <row r="545" spans="1:4" x14ac:dyDescent="0.25">
      <c r="A545" t="str">
        <f>TEXT([1]StagingTable!B545,"MMM-YYY")</f>
        <v>Feb-2023</v>
      </c>
      <c r="B545" t="str">
        <f>"Q"&amp;ROUNDUP(MONTH([1]StagingTable!B545)/3,0)&amp;"-"&amp;YEAR([1]StagingTable!D544)</f>
        <v>Q1-2024</v>
      </c>
      <c r="C545" t="str">
        <f>[1]StagingTable!F545&amp;"-"&amp;[1]StagingTable!G545&amp;"-"&amp;[1]StagingTable!H545</f>
        <v>Africa-Nigeria-Port Harcourt</v>
      </c>
      <c r="D545" t="str">
        <f>IF([1]StagingTable!T545&lt;=_xlfn.PERCENTILE.INC([1]StagingTable!T545:T1176,0.33),"LOW",IF([1]StagingTable!T545&lt;=_xlfn.PERCENTILE.INC([1]StagingTable!T545:T1176,0.67),"MEDIUM","HIGH"))</f>
        <v>LOW</v>
      </c>
    </row>
    <row r="546" spans="1:4" x14ac:dyDescent="0.25">
      <c r="A546" t="str">
        <f>TEXT([1]StagingTable!B546,"MMM-YYY")</f>
        <v>Jul-2023</v>
      </c>
      <c r="B546" t="str">
        <f>"Q"&amp;ROUNDUP(MONTH([1]StagingTable!B546)/3,0)&amp;"-"&amp;YEAR([1]StagingTable!D545)</f>
        <v>Q3-2023</v>
      </c>
      <c r="C546" t="str">
        <f>[1]StagingTable!F546&amp;"-"&amp;[1]StagingTable!G546&amp;"-"&amp;[1]StagingTable!H546</f>
        <v>Europe-Germany-Frankfurt</v>
      </c>
      <c r="D546" t="str">
        <f>IF([1]StagingTable!T546&lt;=_xlfn.PERCENTILE.INC([1]StagingTable!T546:T1177,0.33),"LOW",IF([1]StagingTable!T546&lt;=_xlfn.PERCENTILE.INC([1]StagingTable!T546:T1177,0.67),"MEDIUM","HIGH"))</f>
        <v>MEDIUM</v>
      </c>
    </row>
    <row r="547" spans="1:4" x14ac:dyDescent="0.25">
      <c r="A547" t="str">
        <f>TEXT([1]StagingTable!B547,"MMM-YYY")</f>
        <v>Aug-2025</v>
      </c>
      <c r="B547" t="str">
        <f>"Q"&amp;ROUNDUP(MONTH([1]StagingTable!B547)/3,0)&amp;"-"&amp;YEAR([1]StagingTable!D546)</f>
        <v>Q3-2023</v>
      </c>
      <c r="C547" t="str">
        <f>[1]StagingTable!F547&amp;"-"&amp;[1]StagingTable!G547&amp;"-"&amp;[1]StagingTable!H547</f>
        <v>Americas-USA-New York</v>
      </c>
      <c r="D547" t="str">
        <f>IF([1]StagingTable!T547&lt;=_xlfn.PERCENTILE.INC([1]StagingTable!T547:T1178,0.33),"LOW",IF([1]StagingTable!T547&lt;=_xlfn.PERCENTILE.INC([1]StagingTable!T547:T1178,0.67),"MEDIUM","HIGH"))</f>
        <v>HIGH</v>
      </c>
    </row>
    <row r="548" spans="1:4" x14ac:dyDescent="0.25">
      <c r="A548" t="str">
        <f>TEXT([1]StagingTable!B548,"MMM-YYY")</f>
        <v>Mar-2024</v>
      </c>
      <c r="B548" t="str">
        <f>"Q"&amp;ROUNDUP(MONTH([1]StagingTable!B548)/3,0)&amp;"-"&amp;YEAR([1]StagingTable!D547)</f>
        <v>Q1-2025</v>
      </c>
      <c r="C548" t="str">
        <f>[1]StagingTable!F548&amp;"-"&amp;[1]StagingTable!G548&amp;"-"&amp;[1]StagingTable!H548</f>
        <v>Africa-South Africa-Johannesburg</v>
      </c>
      <c r="D548" t="str">
        <f>IF([1]StagingTable!T548&lt;=_xlfn.PERCENTILE.INC([1]StagingTable!T548:T1179,0.33),"LOW",IF([1]StagingTable!T548&lt;=_xlfn.PERCENTILE.INC([1]StagingTable!T548:T1179,0.67),"MEDIUM","HIGH"))</f>
        <v>MEDIUM</v>
      </c>
    </row>
    <row r="549" spans="1:4" x14ac:dyDescent="0.25">
      <c r="A549" t="str">
        <f>TEXT([1]StagingTable!B549,"MMM-YYY")</f>
        <v>Sep-2023</v>
      </c>
      <c r="B549" t="str">
        <f>"Q"&amp;ROUNDUP(MONTH([1]StagingTable!B549)/3,0)&amp;"-"&amp;YEAR([1]StagingTable!D548)</f>
        <v>Q3-2024</v>
      </c>
      <c r="C549" t="str">
        <f>[1]StagingTable!F549&amp;"-"&amp;[1]StagingTable!G549&amp;"-"&amp;[1]StagingTable!H549</f>
        <v>Americas-Canada-Toronto</v>
      </c>
      <c r="D549" t="str">
        <f>IF([1]StagingTable!T549&lt;=_xlfn.PERCENTILE.INC([1]StagingTable!T549:T1180,0.33),"LOW",IF([1]StagingTable!T549&lt;=_xlfn.PERCENTILE.INC([1]StagingTable!T549:T1180,0.67),"MEDIUM","HIGH"))</f>
        <v>HIGH</v>
      </c>
    </row>
    <row r="550" spans="1:4" x14ac:dyDescent="0.25">
      <c r="A550" t="str">
        <f>TEXT([1]StagingTable!B550,"MMM-YYY")</f>
        <v>Feb-2023</v>
      </c>
      <c r="B550" t="str">
        <f>"Q"&amp;ROUNDUP(MONTH([1]StagingTable!B550)/3,0)&amp;"-"&amp;YEAR([1]StagingTable!D549)</f>
        <v>Q1-2023</v>
      </c>
      <c r="C550" t="str">
        <f>[1]StagingTable!F550&amp;"-"&amp;[1]StagingTable!G550&amp;"-"&amp;[1]StagingTable!H550</f>
        <v>Europe-Germany-Frankfurt</v>
      </c>
      <c r="D550" t="str">
        <f>IF([1]StagingTable!T550&lt;=_xlfn.PERCENTILE.INC([1]StagingTable!T550:T1181,0.33),"LOW",IF([1]StagingTable!T550&lt;=_xlfn.PERCENTILE.INC([1]StagingTable!T550:T1181,0.67),"MEDIUM","HIGH"))</f>
        <v>MEDIUM</v>
      </c>
    </row>
    <row r="551" spans="1:4" x14ac:dyDescent="0.25">
      <c r="A551" t="str">
        <f>TEXT([1]StagingTable!B551,"MMM-YYY")</f>
        <v>Jul-2024</v>
      </c>
      <c r="B551" t="str">
        <f>"Q"&amp;ROUNDUP(MONTH([1]StagingTable!B551)/3,0)&amp;"-"&amp;YEAR([1]StagingTable!D550)</f>
        <v>Q3-2023</v>
      </c>
      <c r="C551" t="str">
        <f>[1]StagingTable!F551&amp;"-"&amp;[1]StagingTable!G551&amp;"-"&amp;[1]StagingTable!H551</f>
        <v>Americas-Brazil-Rio de Janeiro</v>
      </c>
      <c r="D551" t="str">
        <f>IF([1]StagingTable!T551&lt;=_xlfn.PERCENTILE.INC([1]StagingTable!T551:T1182,0.33),"LOW",IF([1]StagingTable!T551&lt;=_xlfn.PERCENTILE.INC([1]StagingTable!T551:T1182,0.67),"MEDIUM","HIGH"))</f>
        <v>MEDIUM</v>
      </c>
    </row>
    <row r="552" spans="1:4" x14ac:dyDescent="0.25">
      <c r="A552" t="str">
        <f>TEXT([1]StagingTable!B552,"MMM-YYY")</f>
        <v>Dec-2024</v>
      </c>
      <c r="B552" t="str">
        <f>"Q"&amp;ROUNDUP(MONTH([1]StagingTable!B552)/3,0)&amp;"-"&amp;YEAR([1]StagingTable!D551)</f>
        <v>Q4-2024</v>
      </c>
      <c r="C552" t="str">
        <f>[1]StagingTable!F552&amp;"-"&amp;[1]StagingTable!G552&amp;"-"&amp;[1]StagingTable!H552</f>
        <v>Europe-United Kingdom-London</v>
      </c>
      <c r="D552" t="str">
        <f>IF([1]StagingTable!T552&lt;=_xlfn.PERCENTILE.INC([1]StagingTable!T552:T1183,0.33),"LOW",IF([1]StagingTable!T552&lt;=_xlfn.PERCENTILE.INC([1]StagingTable!T552:T1183,0.67),"MEDIUM","HIGH"))</f>
        <v>HIGH</v>
      </c>
    </row>
    <row r="553" spans="1:4" x14ac:dyDescent="0.25">
      <c r="A553" t="str">
        <f>TEXT([1]StagingTable!B553,"MMM-YYY")</f>
        <v>Aug-2025</v>
      </c>
      <c r="B553" t="str">
        <f>"Q"&amp;ROUNDUP(MONTH([1]StagingTable!B553)/3,0)&amp;"-"&amp;YEAR([1]StagingTable!D552)</f>
        <v>Q3-2024</v>
      </c>
      <c r="C553" t="str">
        <f>[1]StagingTable!F553&amp;"-"&amp;[1]StagingTable!G553&amp;"-"&amp;[1]StagingTable!H553</f>
        <v>Americas-Brazil-Brasília</v>
      </c>
      <c r="D553" t="str">
        <f>IF([1]StagingTable!T553&lt;=_xlfn.PERCENTILE.INC([1]StagingTable!T553:T1184,0.33),"LOW",IF([1]StagingTable!T553&lt;=_xlfn.PERCENTILE.INC([1]StagingTable!T553:T1184,0.67),"MEDIUM","HIGH"))</f>
        <v>LOW</v>
      </c>
    </row>
    <row r="554" spans="1:4" x14ac:dyDescent="0.25">
      <c r="A554" t="str">
        <f>TEXT([1]StagingTable!B554,"MMM-YYY")</f>
        <v>Mar-2023</v>
      </c>
      <c r="B554" t="str">
        <f>"Q"&amp;ROUNDUP(MONTH([1]StagingTable!B554)/3,0)&amp;"-"&amp;YEAR([1]StagingTable!D553)</f>
        <v>Q1-2025</v>
      </c>
      <c r="C554" t="str">
        <f>[1]StagingTable!F554&amp;"-"&amp;[1]StagingTable!G554&amp;"-"&amp;[1]StagingTable!H554</f>
        <v>Asia-Japan-Nagoya</v>
      </c>
      <c r="D554" t="str">
        <f>IF([1]StagingTable!T554&lt;=_xlfn.PERCENTILE.INC([1]StagingTable!T554:T1185,0.33),"LOW",IF([1]StagingTable!T554&lt;=_xlfn.PERCENTILE.INC([1]StagingTable!T554:T1185,0.67),"MEDIUM","HIGH"))</f>
        <v>HIGH</v>
      </c>
    </row>
    <row r="555" spans="1:4" x14ac:dyDescent="0.25">
      <c r="A555" t="str">
        <f>TEXT([1]StagingTable!B555,"MMM-YYY")</f>
        <v>Feb-2025</v>
      </c>
      <c r="B555" t="str">
        <f>"Q"&amp;ROUNDUP(MONTH([1]StagingTable!B555)/3,0)&amp;"-"&amp;YEAR([1]StagingTable!D554)</f>
        <v>Q1-2023</v>
      </c>
      <c r="C555" t="str">
        <f>[1]StagingTable!F555&amp;"-"&amp;[1]StagingTable!G555&amp;"-"&amp;[1]StagingTable!H555</f>
        <v>Europe-Germany-Munich</v>
      </c>
      <c r="D555" t="str">
        <f>IF([1]StagingTable!T555&lt;=_xlfn.PERCENTILE.INC([1]StagingTable!T555:T1186,0.33),"LOW",IF([1]StagingTable!T555&lt;=_xlfn.PERCENTILE.INC([1]StagingTable!T555:T1186,0.67),"MEDIUM","HIGH"))</f>
        <v>MEDIUM</v>
      </c>
    </row>
    <row r="556" spans="1:4" x14ac:dyDescent="0.25">
      <c r="A556" t="str">
        <f>TEXT([1]StagingTable!B556,"MMM-YYY")</f>
        <v>Feb-2025</v>
      </c>
      <c r="B556" t="str">
        <f>"Q"&amp;ROUNDUP(MONTH([1]StagingTable!B556)/3,0)&amp;"-"&amp;YEAR([1]StagingTable!D555)</f>
        <v>Q1-2025</v>
      </c>
      <c r="C556" t="str">
        <f>[1]StagingTable!F556&amp;"-"&amp;[1]StagingTable!G556&amp;"-"&amp;[1]StagingTable!H556</f>
        <v>Africa-Kenya-Mombasa</v>
      </c>
      <c r="D556" t="str">
        <f>IF([1]StagingTable!T556&lt;=_xlfn.PERCENTILE.INC([1]StagingTable!T556:T1187,0.33),"LOW",IF([1]StagingTable!T556&lt;=_xlfn.PERCENTILE.INC([1]StagingTable!T556:T1187,0.67),"MEDIUM","HIGH"))</f>
        <v>MEDIUM</v>
      </c>
    </row>
    <row r="557" spans="1:4" x14ac:dyDescent="0.25">
      <c r="A557" t="str">
        <f>TEXT([1]StagingTable!B557,"MMM-YYY")</f>
        <v>Aug-2024</v>
      </c>
      <c r="B557" t="str">
        <f>"Q"&amp;ROUNDUP(MONTH([1]StagingTable!B557)/3,0)&amp;"-"&amp;YEAR([1]StagingTable!D556)</f>
        <v>Q3-2025</v>
      </c>
      <c r="C557" t="str">
        <f>[1]StagingTable!F557&amp;"-"&amp;[1]StagingTable!G557&amp;"-"&amp;[1]StagingTable!H557</f>
        <v>Asia-Japan-Tokyo</v>
      </c>
      <c r="D557" t="str">
        <f>IF([1]StagingTable!T557&lt;=_xlfn.PERCENTILE.INC([1]StagingTable!T557:T1188,0.33),"LOW",IF([1]StagingTable!T557&lt;=_xlfn.PERCENTILE.INC([1]StagingTable!T557:T1188,0.67),"MEDIUM","HIGH"))</f>
        <v>HIGH</v>
      </c>
    </row>
    <row r="558" spans="1:4" x14ac:dyDescent="0.25">
      <c r="A558" t="str">
        <f>TEXT([1]StagingTable!B558,"MMM-YYY")</f>
        <v>May-2023</v>
      </c>
      <c r="B558" t="str">
        <f>"Q"&amp;ROUNDUP(MONTH([1]StagingTable!B558)/3,0)&amp;"-"&amp;YEAR([1]StagingTable!D557)</f>
        <v>Q2-2024</v>
      </c>
      <c r="C558" t="str">
        <f>[1]StagingTable!F558&amp;"-"&amp;[1]StagingTable!G558&amp;"-"&amp;[1]StagingTable!H558</f>
        <v>Asia-India-Mumbai</v>
      </c>
      <c r="D558" t="str">
        <f>IF([1]StagingTable!T558&lt;=_xlfn.PERCENTILE.INC([1]StagingTable!T558:T1189,0.33),"LOW",IF([1]StagingTable!T558&lt;=_xlfn.PERCENTILE.INC([1]StagingTable!T558:T1189,0.67),"MEDIUM","HIGH"))</f>
        <v>HIGH</v>
      </c>
    </row>
    <row r="559" spans="1:4" x14ac:dyDescent="0.25">
      <c r="A559" t="str">
        <f>TEXT([1]StagingTable!B559,"MMM-YYY")</f>
        <v>May-2025</v>
      </c>
      <c r="B559" t="str">
        <f>"Q"&amp;ROUNDUP(MONTH([1]StagingTable!B559)/3,0)&amp;"-"&amp;YEAR([1]StagingTable!D558)</f>
        <v>Q2-2023</v>
      </c>
      <c r="C559" t="str">
        <f>[1]StagingTable!F559&amp;"-"&amp;[1]StagingTable!G559&amp;"-"&amp;[1]StagingTable!H559</f>
        <v>Americas-Canada-Vancouver</v>
      </c>
      <c r="D559" t="str">
        <f>IF([1]StagingTable!T559&lt;=_xlfn.PERCENTILE.INC([1]StagingTable!T559:T1190,0.33),"LOW",IF([1]StagingTable!T559&lt;=_xlfn.PERCENTILE.INC([1]StagingTable!T559:T1190,0.67),"MEDIUM","HIGH"))</f>
        <v>HIGH</v>
      </c>
    </row>
    <row r="560" spans="1:4" x14ac:dyDescent="0.25">
      <c r="A560" t="str">
        <f>TEXT([1]StagingTable!B560,"MMM-YYY")</f>
        <v>Mar-2024</v>
      </c>
      <c r="B560" t="str">
        <f>"Q"&amp;ROUNDUP(MONTH([1]StagingTable!B560)/3,0)&amp;"-"&amp;YEAR([1]StagingTable!D559)</f>
        <v>Q1-2025</v>
      </c>
      <c r="C560" t="str">
        <f>[1]StagingTable!F560&amp;"-"&amp;[1]StagingTable!G560&amp;"-"&amp;[1]StagingTable!H560</f>
        <v>Americas-USA-New York</v>
      </c>
      <c r="D560" t="str">
        <f>IF([1]StagingTable!T560&lt;=_xlfn.PERCENTILE.INC([1]StagingTable!T560:T1191,0.33),"LOW",IF([1]StagingTable!T560&lt;=_xlfn.PERCENTILE.INC([1]StagingTable!T560:T1191,0.67),"MEDIUM","HIGH"))</f>
        <v>MEDIUM</v>
      </c>
    </row>
    <row r="561" spans="1:4" x14ac:dyDescent="0.25">
      <c r="A561" t="str">
        <f>TEXT([1]StagingTable!B561,"MMM-YYY")</f>
        <v>May-2024</v>
      </c>
      <c r="B561" t="str">
        <f>"Q"&amp;ROUNDUP(MONTH([1]StagingTable!B561)/3,0)&amp;"-"&amp;YEAR([1]StagingTable!D560)</f>
        <v>Q2-2024</v>
      </c>
      <c r="C561" t="str">
        <f>[1]StagingTable!F561&amp;"-"&amp;[1]StagingTable!G561&amp;"-"&amp;[1]StagingTable!H561</f>
        <v>Africa-Kenya-Nairobi</v>
      </c>
      <c r="D561" t="str">
        <f>IF([1]StagingTable!T561&lt;=_xlfn.PERCENTILE.INC([1]StagingTable!T561:T1192,0.33),"LOW",IF([1]StagingTable!T561&lt;=_xlfn.PERCENTILE.INC([1]StagingTable!T561:T1192,0.67),"MEDIUM","HIGH"))</f>
        <v>HIGH</v>
      </c>
    </row>
    <row r="562" spans="1:4" x14ac:dyDescent="0.25">
      <c r="A562" t="str">
        <f>TEXT([1]StagingTable!B562,"MMM-YYY")</f>
        <v>Jan-2024</v>
      </c>
      <c r="B562" t="str">
        <f>"Q"&amp;ROUNDUP(MONTH([1]StagingTable!B562)/3,0)&amp;"-"&amp;YEAR([1]StagingTable!D561)</f>
        <v>Q1-2024</v>
      </c>
      <c r="C562" t="str">
        <f>[1]StagingTable!F562&amp;"-"&amp;[1]StagingTable!G562&amp;"-"&amp;[1]StagingTable!H562</f>
        <v>Asia-India-Bengaluru</v>
      </c>
      <c r="D562" t="str">
        <f>IF([1]StagingTable!T562&lt;=_xlfn.PERCENTILE.INC([1]StagingTable!T562:T1193,0.33),"LOW",IF([1]StagingTable!T562&lt;=_xlfn.PERCENTILE.INC([1]StagingTable!T562:T1193,0.67),"MEDIUM","HIGH"))</f>
        <v>LOW</v>
      </c>
    </row>
    <row r="563" spans="1:4" x14ac:dyDescent="0.25">
      <c r="A563" t="str">
        <f>TEXT([1]StagingTable!B563,"MMM-YYY")</f>
        <v>Oct-2024</v>
      </c>
      <c r="B563" t="str">
        <f>"Q"&amp;ROUNDUP(MONTH([1]StagingTable!B563)/3,0)&amp;"-"&amp;YEAR([1]StagingTable!D562)</f>
        <v>Q4-2024</v>
      </c>
      <c r="C563" t="str">
        <f>[1]StagingTable!F563&amp;"-"&amp;[1]StagingTable!G563&amp;"-"&amp;[1]StagingTable!H563</f>
        <v>Americas-USA-New York</v>
      </c>
      <c r="D563" t="str">
        <f>IF([1]StagingTable!T563&lt;=_xlfn.PERCENTILE.INC([1]StagingTable!T563:T1194,0.33),"LOW",IF([1]StagingTable!T563&lt;=_xlfn.PERCENTILE.INC([1]StagingTable!T563:T1194,0.67),"MEDIUM","HIGH"))</f>
        <v>LOW</v>
      </c>
    </row>
    <row r="564" spans="1:4" x14ac:dyDescent="0.25">
      <c r="A564" t="str">
        <f>TEXT([1]StagingTable!B564,"MMM-YYY")</f>
        <v>Nov-2024</v>
      </c>
      <c r="B564" t="str">
        <f>"Q"&amp;ROUNDUP(MONTH([1]StagingTable!B564)/3,0)&amp;"-"&amp;YEAR([1]StagingTable!D563)</f>
        <v>Q4-2024</v>
      </c>
      <c r="C564" t="str">
        <f>[1]StagingTable!F564&amp;"-"&amp;[1]StagingTable!G564&amp;"-"&amp;[1]StagingTable!H564</f>
        <v>Africa-Kenya-Kisumu</v>
      </c>
      <c r="D564" t="str">
        <f>IF([1]StagingTable!T564&lt;=_xlfn.PERCENTILE.INC([1]StagingTable!T564:T1195,0.33),"LOW",IF([1]StagingTable!T564&lt;=_xlfn.PERCENTILE.INC([1]StagingTable!T564:T1195,0.67),"MEDIUM","HIGH"))</f>
        <v>HIGH</v>
      </c>
    </row>
    <row r="565" spans="1:4" x14ac:dyDescent="0.25">
      <c r="A565" t="str">
        <f>TEXT([1]StagingTable!B565,"MMM-YYY")</f>
        <v>Apr-2023</v>
      </c>
      <c r="B565" t="str">
        <f>"Q"&amp;ROUNDUP(MONTH([1]StagingTable!B565)/3,0)&amp;"-"&amp;YEAR([1]StagingTable!D564)</f>
        <v>Q2-2024</v>
      </c>
      <c r="C565" t="str">
        <f>[1]StagingTable!F565&amp;"-"&amp;[1]StagingTable!G565&amp;"-"&amp;[1]StagingTable!H565</f>
        <v>Americas-Canada-Montreal</v>
      </c>
      <c r="D565" t="str">
        <f>IF([1]StagingTable!T565&lt;=_xlfn.PERCENTILE.INC([1]StagingTable!T565:T1196,0.33),"LOW",IF([1]StagingTable!T565&lt;=_xlfn.PERCENTILE.INC([1]StagingTable!T565:T1196,0.67),"MEDIUM","HIGH"))</f>
        <v>HIGH</v>
      </c>
    </row>
    <row r="566" spans="1:4" x14ac:dyDescent="0.25">
      <c r="A566" t="str">
        <f>TEXT([1]StagingTable!B566,"MMM-YYY")</f>
        <v>Feb-2025</v>
      </c>
      <c r="B566" t="str">
        <f>"Q"&amp;ROUNDUP(MONTH([1]StagingTable!B566)/3,0)&amp;"-"&amp;YEAR([1]StagingTable!D565)</f>
        <v>Q1-2023</v>
      </c>
      <c r="C566" t="str">
        <f>[1]StagingTable!F566&amp;"-"&amp;[1]StagingTable!G566&amp;"-"&amp;[1]StagingTable!H566</f>
        <v>Europe-United Kingdom-Manchester</v>
      </c>
      <c r="D566" t="str">
        <f>IF([1]StagingTable!T566&lt;=_xlfn.PERCENTILE.INC([1]StagingTable!T566:T1197,0.33),"LOW",IF([1]StagingTable!T566&lt;=_xlfn.PERCENTILE.INC([1]StagingTable!T566:T1197,0.67),"MEDIUM","HIGH"))</f>
        <v>LOW</v>
      </c>
    </row>
    <row r="567" spans="1:4" x14ac:dyDescent="0.25">
      <c r="A567" t="str">
        <f>TEXT([1]StagingTable!B567,"MMM-YYY")</f>
        <v>Jan-2024</v>
      </c>
      <c r="B567" t="str">
        <f>"Q"&amp;ROUNDUP(MONTH([1]StagingTable!B567)/3,0)&amp;"-"&amp;YEAR([1]StagingTable!D566)</f>
        <v>Q1-2025</v>
      </c>
      <c r="C567" t="str">
        <f>[1]StagingTable!F567&amp;"-"&amp;[1]StagingTable!G567&amp;"-"&amp;[1]StagingTable!H567</f>
        <v>Europe-United Kingdom-Manchester</v>
      </c>
      <c r="D567" t="str">
        <f>IF([1]StagingTable!T567&lt;=_xlfn.PERCENTILE.INC([1]StagingTable!T567:T1198,0.33),"LOW",IF([1]StagingTable!T567&lt;=_xlfn.PERCENTILE.INC([1]StagingTable!T567:T1198,0.67),"MEDIUM","HIGH"))</f>
        <v>MEDIUM</v>
      </c>
    </row>
    <row r="568" spans="1:4" x14ac:dyDescent="0.25">
      <c r="A568" t="str">
        <f>TEXT([1]StagingTable!B568,"MMM-YYY")</f>
        <v>Feb-2024</v>
      </c>
      <c r="B568" t="str">
        <f>"Q"&amp;ROUNDUP(MONTH([1]StagingTable!B568)/3,0)&amp;"-"&amp;YEAR([1]StagingTable!D567)</f>
        <v>Q1-2024</v>
      </c>
      <c r="C568" t="str">
        <f>[1]StagingTable!F568&amp;"-"&amp;[1]StagingTable!G568&amp;"-"&amp;[1]StagingTable!H568</f>
        <v>Africa-Kenya-Mombasa</v>
      </c>
      <c r="D568" t="str">
        <f>IF([1]StagingTable!T568&lt;=_xlfn.PERCENTILE.INC([1]StagingTable!T568:T1199,0.33),"LOW",IF([1]StagingTable!T568&lt;=_xlfn.PERCENTILE.INC([1]StagingTable!T568:T1199,0.67),"MEDIUM","HIGH"))</f>
        <v>MEDIUM</v>
      </c>
    </row>
    <row r="569" spans="1:4" x14ac:dyDescent="0.25">
      <c r="A569" t="str">
        <f>TEXT([1]StagingTable!B569,"MMM-YYY")</f>
        <v>Jun-2025</v>
      </c>
      <c r="B569" t="str">
        <f>"Q"&amp;ROUNDUP(MONTH([1]StagingTable!B569)/3,0)&amp;"-"&amp;YEAR([1]StagingTable!D568)</f>
        <v>Q2-2024</v>
      </c>
      <c r="C569" t="str">
        <f>[1]StagingTable!F569&amp;"-"&amp;[1]StagingTable!G569&amp;"-"&amp;[1]StagingTable!H569</f>
        <v>Africa-Nigeria-Port Harcourt</v>
      </c>
      <c r="D569" t="str">
        <f>IF([1]StagingTable!T569&lt;=_xlfn.PERCENTILE.INC([1]StagingTable!T569:T1200,0.33),"LOW",IF([1]StagingTable!T569&lt;=_xlfn.PERCENTILE.INC([1]StagingTable!T569:T1200,0.67),"MEDIUM","HIGH"))</f>
        <v>HIGH</v>
      </c>
    </row>
    <row r="570" spans="1:4" x14ac:dyDescent="0.25">
      <c r="A570" t="str">
        <f>TEXT([1]StagingTable!B570,"MMM-YYY")</f>
        <v>Nov-2024</v>
      </c>
      <c r="B570" t="str">
        <f>"Q"&amp;ROUNDUP(MONTH([1]StagingTable!B570)/3,0)&amp;"-"&amp;YEAR([1]StagingTable!D569)</f>
        <v>Q4-2025</v>
      </c>
      <c r="C570" t="str">
        <f>[1]StagingTable!F570&amp;"-"&amp;[1]StagingTable!G570&amp;"-"&amp;[1]StagingTable!H570</f>
        <v>Europe-France-Lyon</v>
      </c>
      <c r="D570" t="str">
        <f>IF([1]StagingTable!T570&lt;=_xlfn.PERCENTILE.INC([1]StagingTable!T570:T1201,0.33),"LOW",IF([1]StagingTable!T570&lt;=_xlfn.PERCENTILE.INC([1]StagingTable!T570:T1201,0.67),"MEDIUM","HIGH"))</f>
        <v>HIGH</v>
      </c>
    </row>
    <row r="571" spans="1:4" x14ac:dyDescent="0.25">
      <c r="A571" t="str">
        <f>TEXT([1]StagingTable!B571,"MMM-YYY")</f>
        <v>Feb-2024</v>
      </c>
      <c r="B571" t="str">
        <f>"Q"&amp;ROUNDUP(MONTH([1]StagingTable!B571)/3,0)&amp;"-"&amp;YEAR([1]StagingTable!D570)</f>
        <v>Q1-2024</v>
      </c>
      <c r="C571" t="str">
        <f>[1]StagingTable!F571&amp;"-"&amp;[1]StagingTable!G571&amp;"-"&amp;[1]StagingTable!H571</f>
        <v>Americas-USA-New York</v>
      </c>
      <c r="D571" t="str">
        <f>IF([1]StagingTable!T571&lt;=_xlfn.PERCENTILE.INC([1]StagingTable!T571:T1202,0.33),"LOW",IF([1]StagingTable!T571&lt;=_xlfn.PERCENTILE.INC([1]StagingTable!T571:T1202,0.67),"MEDIUM","HIGH"))</f>
        <v>HIGH</v>
      </c>
    </row>
    <row r="572" spans="1:4" x14ac:dyDescent="0.25">
      <c r="A572" t="str">
        <f>TEXT([1]StagingTable!B572,"MMM-YYY")</f>
        <v>Apr-2025</v>
      </c>
      <c r="B572" t="str">
        <f>"Q"&amp;ROUNDUP(MONTH([1]StagingTable!B572)/3,0)&amp;"-"&amp;YEAR([1]StagingTable!D571)</f>
        <v>Q2-2024</v>
      </c>
      <c r="C572" t="str">
        <f>[1]StagingTable!F572&amp;"-"&amp;[1]StagingTable!G572&amp;"-"&amp;[1]StagingTable!H572</f>
        <v>Asia-Japan-Osaka</v>
      </c>
      <c r="D572" t="str">
        <f>IF([1]StagingTable!T572&lt;=_xlfn.PERCENTILE.INC([1]StagingTable!T572:T1203,0.33),"LOW",IF([1]StagingTable!T572&lt;=_xlfn.PERCENTILE.INC([1]StagingTable!T572:T1203,0.67),"MEDIUM","HIGH"))</f>
        <v>LOW</v>
      </c>
    </row>
    <row r="573" spans="1:4" x14ac:dyDescent="0.25">
      <c r="A573" t="str">
        <f>TEXT([1]StagingTable!B573,"MMM-YYY")</f>
        <v>Jun-2023</v>
      </c>
      <c r="B573" t="str">
        <f>"Q"&amp;ROUNDUP(MONTH([1]StagingTable!B573)/3,0)&amp;"-"&amp;YEAR([1]StagingTable!D572)</f>
        <v>Q2-2025</v>
      </c>
      <c r="C573" t="str">
        <f>[1]StagingTable!F573&amp;"-"&amp;[1]StagingTable!G573&amp;"-"&amp;[1]StagingTable!H573</f>
        <v>Asia-India-Bengaluru</v>
      </c>
      <c r="D573" t="str">
        <f>IF([1]StagingTable!T573&lt;=_xlfn.PERCENTILE.INC([1]StagingTable!T573:T1204,0.33),"LOW",IF([1]StagingTable!T573&lt;=_xlfn.PERCENTILE.INC([1]StagingTable!T573:T1204,0.67),"MEDIUM","HIGH"))</f>
        <v>MEDIUM</v>
      </c>
    </row>
    <row r="574" spans="1:4" x14ac:dyDescent="0.25">
      <c r="A574" t="str">
        <f>TEXT([1]StagingTable!B574,"MMM-YYY")</f>
        <v>Mar-2025</v>
      </c>
      <c r="B574" t="str">
        <f>"Q"&amp;ROUNDUP(MONTH([1]StagingTable!B574)/3,0)&amp;"-"&amp;YEAR([1]StagingTable!D573)</f>
        <v>Q1-2023</v>
      </c>
      <c r="C574" t="str">
        <f>[1]StagingTable!F574&amp;"-"&amp;[1]StagingTable!G574&amp;"-"&amp;[1]StagingTable!H574</f>
        <v>Asia-India-Mumbai</v>
      </c>
      <c r="D574" t="str">
        <f>IF([1]StagingTable!T574&lt;=_xlfn.PERCENTILE.INC([1]StagingTable!T574:T1205,0.33),"LOW",IF([1]StagingTable!T574&lt;=_xlfn.PERCENTILE.INC([1]StagingTable!T574:T1205,0.67),"MEDIUM","HIGH"))</f>
        <v>LOW</v>
      </c>
    </row>
    <row r="575" spans="1:4" x14ac:dyDescent="0.25">
      <c r="A575" t="str">
        <f>TEXT([1]StagingTable!B575,"MMM-YYY")</f>
        <v>Jan-2024</v>
      </c>
      <c r="B575" t="str">
        <f>"Q"&amp;ROUNDUP(MONTH([1]StagingTable!B575)/3,0)&amp;"-"&amp;YEAR([1]StagingTable!D574)</f>
        <v>Q1-2025</v>
      </c>
      <c r="C575" t="str">
        <f>[1]StagingTable!F575&amp;"-"&amp;[1]StagingTable!G575&amp;"-"&amp;[1]StagingTable!H575</f>
        <v>Americas-Canada-Vancouver</v>
      </c>
      <c r="D575" t="str">
        <f>IF([1]StagingTable!T575&lt;=_xlfn.PERCENTILE.INC([1]StagingTable!T575:T1206,0.33),"LOW",IF([1]StagingTable!T575&lt;=_xlfn.PERCENTILE.INC([1]StagingTable!T575:T1206,0.67),"MEDIUM","HIGH"))</f>
        <v>LOW</v>
      </c>
    </row>
    <row r="576" spans="1:4" x14ac:dyDescent="0.25">
      <c r="A576" t="str">
        <f>TEXT([1]StagingTable!B576,"MMM-YYY")</f>
        <v>Dec-2023</v>
      </c>
      <c r="B576" t="str">
        <f>"Q"&amp;ROUNDUP(MONTH([1]StagingTable!B576)/3,0)&amp;"-"&amp;YEAR([1]StagingTable!D575)</f>
        <v>Q4-2024</v>
      </c>
      <c r="C576" t="str">
        <f>[1]StagingTable!F576&amp;"-"&amp;[1]StagingTable!G576&amp;"-"&amp;[1]StagingTable!H576</f>
        <v>Americas-Canada-Toronto</v>
      </c>
      <c r="D576" t="str">
        <f>IF([1]StagingTable!T576&lt;=_xlfn.PERCENTILE.INC([1]StagingTable!T576:T1207,0.33),"LOW",IF([1]StagingTable!T576&lt;=_xlfn.PERCENTILE.INC([1]StagingTable!T576:T1207,0.67),"MEDIUM","HIGH"))</f>
        <v>MEDIUM</v>
      </c>
    </row>
    <row r="577" spans="1:4" x14ac:dyDescent="0.25">
      <c r="A577" t="str">
        <f>TEXT([1]StagingTable!B577,"MMM-YYY")</f>
        <v>Apr-2023</v>
      </c>
      <c r="B577" t="str">
        <f>"Q"&amp;ROUNDUP(MONTH([1]StagingTable!B577)/3,0)&amp;"-"&amp;YEAR([1]StagingTable!D576)</f>
        <v>Q2-2024</v>
      </c>
      <c r="C577" t="str">
        <f>[1]StagingTable!F577&amp;"-"&amp;[1]StagingTable!G577&amp;"-"&amp;[1]StagingTable!H577</f>
        <v>Europe-France-Marseille</v>
      </c>
      <c r="D577" t="str">
        <f>IF([1]StagingTable!T577&lt;=_xlfn.PERCENTILE.INC([1]StagingTable!T577:T1208,0.33),"LOW",IF([1]StagingTable!T577&lt;=_xlfn.PERCENTILE.INC([1]StagingTable!T577:T1208,0.67),"MEDIUM","HIGH"))</f>
        <v>LOW</v>
      </c>
    </row>
    <row r="578" spans="1:4" x14ac:dyDescent="0.25">
      <c r="A578" t="str">
        <f>TEXT([1]StagingTable!B578,"MMM-YYY")</f>
        <v>Aug-2025</v>
      </c>
      <c r="B578" t="str">
        <f>"Q"&amp;ROUNDUP(MONTH([1]StagingTable!B578)/3,0)&amp;"-"&amp;YEAR([1]StagingTable!D577)</f>
        <v>Q3-2023</v>
      </c>
      <c r="C578" t="str">
        <f>[1]StagingTable!F578&amp;"-"&amp;[1]StagingTable!G578&amp;"-"&amp;[1]StagingTable!H578</f>
        <v>Americas-Canada-Montreal</v>
      </c>
      <c r="D578" t="str">
        <f>IF([1]StagingTable!T578&lt;=_xlfn.PERCENTILE.INC([1]StagingTable!T578:T1209,0.33),"LOW",IF([1]StagingTable!T578&lt;=_xlfn.PERCENTILE.INC([1]StagingTable!T578:T1209,0.67),"MEDIUM","HIGH"))</f>
        <v>MEDIUM</v>
      </c>
    </row>
    <row r="579" spans="1:4" x14ac:dyDescent="0.25">
      <c r="A579" t="str">
        <f>TEXT([1]StagingTable!B579,"MMM-YYY")</f>
        <v>Aug-2023</v>
      </c>
      <c r="B579" t="str">
        <f>"Q"&amp;ROUNDUP(MONTH([1]StagingTable!B579)/3,0)&amp;"-"&amp;YEAR([1]StagingTable!D578)</f>
        <v>Q3-2025</v>
      </c>
      <c r="C579" t="str">
        <f>[1]StagingTable!F579&amp;"-"&amp;[1]StagingTable!G579&amp;"-"&amp;[1]StagingTable!H579</f>
        <v>Americas-Canada-Vancouver</v>
      </c>
      <c r="D579" t="str">
        <f>IF([1]StagingTable!T579&lt;=_xlfn.PERCENTILE.INC([1]StagingTable!T579:T1210,0.33),"LOW",IF([1]StagingTable!T579&lt;=_xlfn.PERCENTILE.INC([1]StagingTable!T579:T1210,0.67),"MEDIUM","HIGH"))</f>
        <v>LOW</v>
      </c>
    </row>
    <row r="580" spans="1:4" x14ac:dyDescent="0.25">
      <c r="A580" t="str">
        <f>TEXT([1]StagingTable!B580,"MMM-YYY")</f>
        <v>Jun-2023</v>
      </c>
      <c r="B580" t="str">
        <f>"Q"&amp;ROUNDUP(MONTH([1]StagingTable!B580)/3,0)&amp;"-"&amp;YEAR([1]StagingTable!D579)</f>
        <v>Q2-2023</v>
      </c>
      <c r="C580" t="str">
        <f>[1]StagingTable!F580&amp;"-"&amp;[1]StagingTable!G580&amp;"-"&amp;[1]StagingTable!H580</f>
        <v>Europe-United Kingdom-Manchester</v>
      </c>
      <c r="D580" t="str">
        <f>IF([1]StagingTable!T580&lt;=_xlfn.PERCENTILE.INC([1]StagingTable!T580:T1211,0.33),"LOW",IF([1]StagingTable!T580&lt;=_xlfn.PERCENTILE.INC([1]StagingTable!T580:T1211,0.67),"MEDIUM","HIGH"))</f>
        <v>MEDIUM</v>
      </c>
    </row>
    <row r="581" spans="1:4" x14ac:dyDescent="0.25">
      <c r="A581" t="str">
        <f>TEXT([1]StagingTable!B581,"MMM-YYY")</f>
        <v>Nov-2024</v>
      </c>
      <c r="B581" t="str">
        <f>"Q"&amp;ROUNDUP(MONTH([1]StagingTable!B581)/3,0)&amp;"-"&amp;YEAR([1]StagingTable!D580)</f>
        <v>Q4-2023</v>
      </c>
      <c r="C581" t="str">
        <f>[1]StagingTable!F581&amp;"-"&amp;[1]StagingTable!G581&amp;"-"&amp;[1]StagingTable!H581</f>
        <v>Europe-United Kingdom-London</v>
      </c>
      <c r="D581" t="str">
        <f>IF([1]StagingTable!T581&lt;=_xlfn.PERCENTILE.INC([1]StagingTable!T581:T1212,0.33),"LOW",IF([1]StagingTable!T581&lt;=_xlfn.PERCENTILE.INC([1]StagingTable!T581:T1212,0.67),"MEDIUM","HIGH"))</f>
        <v>LOW</v>
      </c>
    </row>
    <row r="582" spans="1:4" x14ac:dyDescent="0.25">
      <c r="A582" t="str">
        <f>TEXT([1]StagingTable!B582,"MMM-YYY")</f>
        <v>Jul-2025</v>
      </c>
      <c r="B582" t="str">
        <f>"Q"&amp;ROUNDUP(MONTH([1]StagingTable!B582)/3,0)&amp;"-"&amp;YEAR([1]StagingTable!D581)</f>
        <v>Q3-2024</v>
      </c>
      <c r="C582" t="str">
        <f>[1]StagingTable!F582&amp;"-"&amp;[1]StagingTable!G582&amp;"-"&amp;[1]StagingTable!H582</f>
        <v>Africa-Kenya-Nakuru</v>
      </c>
      <c r="D582" t="str">
        <f>IF([1]StagingTable!T582&lt;=_xlfn.PERCENTILE.INC([1]StagingTable!T582:T1213,0.33),"LOW",IF([1]StagingTable!T582&lt;=_xlfn.PERCENTILE.INC([1]StagingTable!T582:T1213,0.67),"MEDIUM","HIGH"))</f>
        <v>LOW</v>
      </c>
    </row>
    <row r="583" spans="1:4" x14ac:dyDescent="0.25">
      <c r="A583" t="str">
        <f>TEXT([1]StagingTable!B583,"MMM-YYY")</f>
        <v>Jun-2023</v>
      </c>
      <c r="B583" t="str">
        <f>"Q"&amp;ROUNDUP(MONTH([1]StagingTable!B583)/3,0)&amp;"-"&amp;YEAR([1]StagingTable!D582)</f>
        <v>Q2-2025</v>
      </c>
      <c r="C583" t="str">
        <f>[1]StagingTable!F583&amp;"-"&amp;[1]StagingTable!G583&amp;"-"&amp;[1]StagingTable!H583</f>
        <v>Americas-Brazil-Brasília</v>
      </c>
      <c r="D583" t="str">
        <f>IF([1]StagingTable!T583&lt;=_xlfn.PERCENTILE.INC([1]StagingTable!T583:T1214,0.33),"LOW",IF([1]StagingTable!T583&lt;=_xlfn.PERCENTILE.INC([1]StagingTable!T583:T1214,0.67),"MEDIUM","HIGH"))</f>
        <v>HIGH</v>
      </c>
    </row>
    <row r="584" spans="1:4" x14ac:dyDescent="0.25">
      <c r="A584" t="str">
        <f>TEXT([1]StagingTable!B584,"MMM-YYY")</f>
        <v>Jan-2023</v>
      </c>
      <c r="B584" t="str">
        <f>"Q"&amp;ROUNDUP(MONTH([1]StagingTable!B584)/3,0)&amp;"-"&amp;YEAR([1]StagingTable!D583)</f>
        <v>Q1-2023</v>
      </c>
      <c r="C584" t="str">
        <f>[1]StagingTable!F584&amp;"-"&amp;[1]StagingTable!G584&amp;"-"&amp;[1]StagingTable!H584</f>
        <v>Americas-Brazil-Brasília</v>
      </c>
      <c r="D584" t="str">
        <f>IF([1]StagingTable!T584&lt;=_xlfn.PERCENTILE.INC([1]StagingTable!T584:T1215,0.33),"LOW",IF([1]StagingTable!T584&lt;=_xlfn.PERCENTILE.INC([1]StagingTable!T584:T1215,0.67),"MEDIUM","HIGH"))</f>
        <v>LOW</v>
      </c>
    </row>
    <row r="585" spans="1:4" x14ac:dyDescent="0.25">
      <c r="A585" t="str">
        <f>TEXT([1]StagingTable!B585,"MMM-YYY")</f>
        <v>Sep-2024</v>
      </c>
      <c r="B585" t="str">
        <f>"Q"&amp;ROUNDUP(MONTH([1]StagingTable!B585)/3,0)&amp;"-"&amp;YEAR([1]StagingTable!D584)</f>
        <v>Q3-2023</v>
      </c>
      <c r="C585" t="str">
        <f>[1]StagingTable!F585&amp;"-"&amp;[1]StagingTable!G585&amp;"-"&amp;[1]StagingTable!H585</f>
        <v>Asia-Japan-Osaka</v>
      </c>
      <c r="D585" t="str">
        <f>IF([1]StagingTable!T585&lt;=_xlfn.PERCENTILE.INC([1]StagingTable!T585:T1216,0.33),"LOW",IF([1]StagingTable!T585&lt;=_xlfn.PERCENTILE.INC([1]StagingTable!T585:T1216,0.67),"MEDIUM","HIGH"))</f>
        <v>HIGH</v>
      </c>
    </row>
    <row r="586" spans="1:4" x14ac:dyDescent="0.25">
      <c r="A586" t="str">
        <f>TEXT([1]StagingTable!B586,"MMM-YYY")</f>
        <v>Aug-2024</v>
      </c>
      <c r="B586" t="str">
        <f>"Q"&amp;ROUNDUP(MONTH([1]StagingTable!B586)/3,0)&amp;"-"&amp;YEAR([1]StagingTable!D585)</f>
        <v>Q3-2024</v>
      </c>
      <c r="C586" t="str">
        <f>[1]StagingTable!F586&amp;"-"&amp;[1]StagingTable!G586&amp;"-"&amp;[1]StagingTable!H586</f>
        <v>Africa-Kenya-Mombasa</v>
      </c>
      <c r="D586" t="str">
        <f>IF([1]StagingTable!T586&lt;=_xlfn.PERCENTILE.INC([1]StagingTable!T586:T1217,0.33),"LOW",IF([1]StagingTable!T586&lt;=_xlfn.PERCENTILE.INC([1]StagingTable!T586:T1217,0.67),"MEDIUM","HIGH"))</f>
        <v>MEDIUM</v>
      </c>
    </row>
    <row r="587" spans="1:4" x14ac:dyDescent="0.25">
      <c r="A587" t="str">
        <f>TEXT([1]StagingTable!B587,"MMM-YYY")</f>
        <v>Apr-2025</v>
      </c>
      <c r="B587" t="str">
        <f>"Q"&amp;ROUNDUP(MONTH([1]StagingTable!B587)/3,0)&amp;"-"&amp;YEAR([1]StagingTable!D586)</f>
        <v>Q2-2024</v>
      </c>
      <c r="C587" t="str">
        <f>[1]StagingTable!F587&amp;"-"&amp;[1]StagingTable!G587&amp;"-"&amp;[1]StagingTable!H587</f>
        <v>Americas-Brazil-São Paulo</v>
      </c>
      <c r="D587" t="str">
        <f>IF([1]StagingTable!T587&lt;=_xlfn.PERCENTILE.INC([1]StagingTable!T587:T1218,0.33),"LOW",IF([1]StagingTable!T587&lt;=_xlfn.PERCENTILE.INC([1]StagingTable!T587:T1218,0.67),"MEDIUM","HIGH"))</f>
        <v>MEDIUM</v>
      </c>
    </row>
    <row r="588" spans="1:4" x14ac:dyDescent="0.25">
      <c r="A588" t="str">
        <f>TEXT([1]StagingTable!B588,"MMM-YYY")</f>
        <v>May-2023</v>
      </c>
      <c r="B588" t="str">
        <f>"Q"&amp;ROUNDUP(MONTH([1]StagingTable!B588)/3,0)&amp;"-"&amp;YEAR([1]StagingTable!D587)</f>
        <v>Q2-2025</v>
      </c>
      <c r="C588" t="str">
        <f>[1]StagingTable!F588&amp;"-"&amp;[1]StagingTable!G588&amp;"-"&amp;[1]StagingTable!H588</f>
        <v>Americas-USA-New York</v>
      </c>
      <c r="D588" t="str">
        <f>IF([1]StagingTable!T588&lt;=_xlfn.PERCENTILE.INC([1]StagingTable!T588:T1219,0.33),"LOW",IF([1]StagingTable!T588&lt;=_xlfn.PERCENTILE.INC([1]StagingTable!T588:T1219,0.67),"MEDIUM","HIGH"))</f>
        <v>LOW</v>
      </c>
    </row>
    <row r="589" spans="1:4" x14ac:dyDescent="0.25">
      <c r="A589" t="str">
        <f>TEXT([1]StagingTable!B589,"MMM-YYY")</f>
        <v>Mar-2024</v>
      </c>
      <c r="B589" t="str">
        <f>"Q"&amp;ROUNDUP(MONTH([1]StagingTable!B589)/3,0)&amp;"-"&amp;YEAR([1]StagingTable!D588)</f>
        <v>Q1-2023</v>
      </c>
      <c r="C589" t="str">
        <f>[1]StagingTable!F589&amp;"-"&amp;[1]StagingTable!G589&amp;"-"&amp;[1]StagingTable!H589</f>
        <v>Africa-Nigeria-Abuja</v>
      </c>
      <c r="D589" t="str">
        <f>IF([1]StagingTable!T589&lt;=_xlfn.PERCENTILE.INC([1]StagingTable!T589:T1220,0.33),"LOW",IF([1]StagingTable!T589&lt;=_xlfn.PERCENTILE.INC([1]StagingTable!T589:T1220,0.67),"MEDIUM","HIGH"))</f>
        <v>HIGH</v>
      </c>
    </row>
    <row r="590" spans="1:4" x14ac:dyDescent="0.25">
      <c r="A590" t="str">
        <f>TEXT([1]StagingTable!B590,"MMM-YYY")</f>
        <v>Jun-2024</v>
      </c>
      <c r="B590" t="str">
        <f>"Q"&amp;ROUNDUP(MONTH([1]StagingTable!B590)/3,0)&amp;"-"&amp;YEAR([1]StagingTable!D589)</f>
        <v>Q2-2024</v>
      </c>
      <c r="C590" t="str">
        <f>[1]StagingTable!F590&amp;"-"&amp;[1]StagingTable!G590&amp;"-"&amp;[1]StagingTable!H590</f>
        <v>Asia-Japan-Tokyo</v>
      </c>
      <c r="D590" t="str">
        <f>IF([1]StagingTable!T590&lt;=_xlfn.PERCENTILE.INC([1]StagingTable!T590:T1221,0.33),"LOW",IF([1]StagingTable!T590&lt;=_xlfn.PERCENTILE.INC([1]StagingTable!T590:T1221,0.67),"MEDIUM","HIGH"))</f>
        <v>HIGH</v>
      </c>
    </row>
    <row r="591" spans="1:4" x14ac:dyDescent="0.25">
      <c r="A591" t="str">
        <f>TEXT([1]StagingTable!B591,"MMM-YYY")</f>
        <v>Feb-2025</v>
      </c>
      <c r="B591" t="str">
        <f>"Q"&amp;ROUNDUP(MONTH([1]StagingTable!B591)/3,0)&amp;"-"&amp;YEAR([1]StagingTable!D590)</f>
        <v>Q1-2024</v>
      </c>
      <c r="C591" t="str">
        <f>[1]StagingTable!F591&amp;"-"&amp;[1]StagingTable!G591&amp;"-"&amp;[1]StagingTable!H591</f>
        <v>Europe-France-Lyon</v>
      </c>
      <c r="D591" t="str">
        <f>IF([1]StagingTable!T591&lt;=_xlfn.PERCENTILE.INC([1]StagingTable!T591:T1222,0.33),"LOW",IF([1]StagingTable!T591&lt;=_xlfn.PERCENTILE.INC([1]StagingTable!T591:T1222,0.67),"MEDIUM","HIGH"))</f>
        <v>HIGH</v>
      </c>
    </row>
    <row r="592" spans="1:4" x14ac:dyDescent="0.25">
      <c r="A592" t="str">
        <f>TEXT([1]StagingTable!B592,"MMM-YYY")</f>
        <v>Apr-2023</v>
      </c>
      <c r="B592" t="str">
        <f>"Q"&amp;ROUNDUP(MONTH([1]StagingTable!B592)/3,0)&amp;"-"&amp;YEAR([1]StagingTable!D591)</f>
        <v>Q2-2025</v>
      </c>
      <c r="C592" t="str">
        <f>[1]StagingTable!F592&amp;"-"&amp;[1]StagingTable!G592&amp;"-"&amp;[1]StagingTable!H592</f>
        <v>Europe-France-Marseille</v>
      </c>
      <c r="D592" t="str">
        <f>IF([1]StagingTable!T592&lt;=_xlfn.PERCENTILE.INC([1]StagingTable!T592:T1223,0.33),"LOW",IF([1]StagingTable!T592&lt;=_xlfn.PERCENTILE.INC([1]StagingTable!T592:T1223,0.67),"MEDIUM","HIGH"))</f>
        <v>LOW</v>
      </c>
    </row>
    <row r="593" spans="1:4" x14ac:dyDescent="0.25">
      <c r="A593" t="str">
        <f>TEXT([1]StagingTable!B593,"MMM-YYY")</f>
        <v>Aug-2025</v>
      </c>
      <c r="B593" t="str">
        <f>"Q"&amp;ROUNDUP(MONTH([1]StagingTable!B593)/3,0)&amp;"-"&amp;YEAR([1]StagingTable!D592)</f>
        <v>Q3-2023</v>
      </c>
      <c r="C593" t="str">
        <f>[1]StagingTable!F593&amp;"-"&amp;[1]StagingTable!G593&amp;"-"&amp;[1]StagingTable!H593</f>
        <v>Europe-France-Marseille</v>
      </c>
      <c r="D593" t="str">
        <f>IF([1]StagingTable!T593&lt;=_xlfn.PERCENTILE.INC([1]StagingTable!T593:T1224,0.33),"LOW",IF([1]StagingTable!T593&lt;=_xlfn.PERCENTILE.INC([1]StagingTable!T593:T1224,0.67),"MEDIUM","HIGH"))</f>
        <v>MEDIUM</v>
      </c>
    </row>
    <row r="594" spans="1:4" x14ac:dyDescent="0.25">
      <c r="A594" t="str">
        <f>TEXT([1]StagingTable!B594,"MMM-YYY")</f>
        <v>Feb-2023</v>
      </c>
      <c r="B594" t="str">
        <f>"Q"&amp;ROUNDUP(MONTH([1]StagingTable!B594)/3,0)&amp;"-"&amp;YEAR([1]StagingTable!D593)</f>
        <v>Q1-2025</v>
      </c>
      <c r="C594" t="str">
        <f>[1]StagingTable!F594&amp;"-"&amp;[1]StagingTable!G594&amp;"-"&amp;[1]StagingTable!H594</f>
        <v>Americas-USA-San Francisco</v>
      </c>
      <c r="D594" t="str">
        <f>IF([1]StagingTable!T594&lt;=_xlfn.PERCENTILE.INC([1]StagingTable!T594:T1225,0.33),"LOW",IF([1]StagingTable!T594&lt;=_xlfn.PERCENTILE.INC([1]StagingTable!T594:T1225,0.67),"MEDIUM","HIGH"))</f>
        <v>HIGH</v>
      </c>
    </row>
    <row r="595" spans="1:4" x14ac:dyDescent="0.25">
      <c r="A595" t="str">
        <f>TEXT([1]StagingTable!B595,"MMM-YYY")</f>
        <v>Jul-2024</v>
      </c>
      <c r="B595" t="str">
        <f>"Q"&amp;ROUNDUP(MONTH([1]StagingTable!B595)/3,0)&amp;"-"&amp;YEAR([1]StagingTable!D594)</f>
        <v>Q3-2023</v>
      </c>
      <c r="C595" t="str">
        <f>[1]StagingTable!F595&amp;"-"&amp;[1]StagingTable!G595&amp;"-"&amp;[1]StagingTable!H595</f>
        <v>Asia-Japan-Tokyo</v>
      </c>
      <c r="D595" t="str">
        <f>IF([1]StagingTable!T595&lt;=_xlfn.PERCENTILE.INC([1]StagingTable!T595:T1226,0.33),"LOW",IF([1]StagingTable!T595&lt;=_xlfn.PERCENTILE.INC([1]StagingTable!T595:T1226,0.67),"MEDIUM","HIGH"))</f>
        <v>MEDIUM</v>
      </c>
    </row>
    <row r="596" spans="1:4" x14ac:dyDescent="0.25">
      <c r="A596" t="str">
        <f>TEXT([1]StagingTable!B596,"MMM-YYY")</f>
        <v>Jun-2025</v>
      </c>
      <c r="B596" t="str">
        <f>"Q"&amp;ROUNDUP(MONTH([1]StagingTable!B596)/3,0)&amp;"-"&amp;YEAR([1]StagingTable!D595)</f>
        <v>Q2-2024</v>
      </c>
      <c r="C596" t="str">
        <f>[1]StagingTable!F596&amp;"-"&amp;[1]StagingTable!G596&amp;"-"&amp;[1]StagingTable!H596</f>
        <v>Europe-France-Marseille</v>
      </c>
      <c r="D596" t="str">
        <f>IF([1]StagingTable!T596&lt;=_xlfn.PERCENTILE.INC([1]StagingTable!T596:T1227,0.33),"LOW",IF([1]StagingTable!T596&lt;=_xlfn.PERCENTILE.INC([1]StagingTable!T596:T1227,0.67),"MEDIUM","HIGH"))</f>
        <v>LOW</v>
      </c>
    </row>
    <row r="597" spans="1:4" x14ac:dyDescent="0.25">
      <c r="A597" t="str">
        <f>TEXT([1]StagingTable!B597,"MMM-YYY")</f>
        <v>Jun-2024</v>
      </c>
      <c r="B597" t="str">
        <f>"Q"&amp;ROUNDUP(MONTH([1]StagingTable!B597)/3,0)&amp;"-"&amp;YEAR([1]StagingTable!D596)</f>
        <v>Q2-2025</v>
      </c>
      <c r="C597" t="str">
        <f>[1]StagingTable!F597&amp;"-"&amp;[1]StagingTable!G597&amp;"-"&amp;[1]StagingTable!H597</f>
        <v>Africa-Kenya-Kisumu</v>
      </c>
      <c r="D597" t="str">
        <f>IF([1]StagingTable!T597&lt;=_xlfn.PERCENTILE.INC([1]StagingTable!T597:T1228,0.33),"LOW",IF([1]StagingTable!T597&lt;=_xlfn.PERCENTILE.INC([1]StagingTable!T597:T1228,0.67),"MEDIUM","HIGH"))</f>
        <v>HIGH</v>
      </c>
    </row>
    <row r="598" spans="1:4" x14ac:dyDescent="0.25">
      <c r="A598" t="str">
        <f>TEXT([1]StagingTable!B598,"MMM-YYY")</f>
        <v>Feb-2025</v>
      </c>
      <c r="B598" t="str">
        <f>"Q"&amp;ROUNDUP(MONTH([1]StagingTable!B598)/3,0)&amp;"-"&amp;YEAR([1]StagingTable!D597)</f>
        <v>Q1-2024</v>
      </c>
      <c r="C598" t="str">
        <f>[1]StagingTable!F598&amp;"-"&amp;[1]StagingTable!G598&amp;"-"&amp;[1]StagingTable!H598</f>
        <v>Americas-Canada-Toronto</v>
      </c>
      <c r="D598" t="str">
        <f>IF([1]StagingTable!T598&lt;=_xlfn.PERCENTILE.INC([1]StagingTable!T598:T1229,0.33),"LOW",IF([1]StagingTable!T598&lt;=_xlfn.PERCENTILE.INC([1]StagingTable!T598:T1229,0.67),"MEDIUM","HIGH"))</f>
        <v>HIGH</v>
      </c>
    </row>
    <row r="599" spans="1:4" x14ac:dyDescent="0.25">
      <c r="A599" t="str">
        <f>TEXT([1]StagingTable!B599,"MMM-YYY")</f>
        <v>Jan-2023</v>
      </c>
      <c r="B599" t="str">
        <f>"Q"&amp;ROUNDUP(MONTH([1]StagingTable!B599)/3,0)&amp;"-"&amp;YEAR([1]StagingTable!D598)</f>
        <v>Q1-2025</v>
      </c>
      <c r="C599" t="str">
        <f>[1]StagingTable!F599&amp;"-"&amp;[1]StagingTable!G599&amp;"-"&amp;[1]StagingTable!H599</f>
        <v>Africa-South Africa-Cape Town</v>
      </c>
      <c r="D599" t="str">
        <f>IF([1]StagingTable!T599&lt;=_xlfn.PERCENTILE.INC([1]StagingTable!T599:T1230,0.33),"LOW",IF([1]StagingTable!T599&lt;=_xlfn.PERCENTILE.INC([1]StagingTable!T599:T1230,0.67),"MEDIUM","HIGH"))</f>
        <v>LOW</v>
      </c>
    </row>
    <row r="600" spans="1:4" x14ac:dyDescent="0.25">
      <c r="A600" t="str">
        <f>TEXT([1]StagingTable!B600,"MMM-YYY")</f>
        <v>Mar-2025</v>
      </c>
      <c r="B600" t="str">
        <f>"Q"&amp;ROUNDUP(MONTH([1]StagingTable!B600)/3,0)&amp;"-"&amp;YEAR([1]StagingTable!D599)</f>
        <v>Q1-2023</v>
      </c>
      <c r="C600" t="str">
        <f>[1]StagingTable!F600&amp;"-"&amp;[1]StagingTable!G600&amp;"-"&amp;[1]StagingTable!H600</f>
        <v>Asia-Japan-Osaka</v>
      </c>
      <c r="D600" t="str">
        <f>IF([1]StagingTable!T600&lt;=_xlfn.PERCENTILE.INC([1]StagingTable!T600:T1231,0.33),"LOW",IF([1]StagingTable!T600&lt;=_xlfn.PERCENTILE.INC([1]StagingTable!T600:T1231,0.67),"MEDIUM","HIGH"))</f>
        <v>MEDIUM</v>
      </c>
    </row>
    <row r="601" spans="1:4" x14ac:dyDescent="0.25">
      <c r="A601" t="str">
        <f>TEXT([1]StagingTable!B601,"MMM-YYY")</f>
        <v>Aug-2024</v>
      </c>
      <c r="B601" t="str">
        <f>"Q"&amp;ROUNDUP(MONTH([1]StagingTable!B601)/3,0)&amp;"-"&amp;YEAR([1]StagingTable!D600)</f>
        <v>Q3-2025</v>
      </c>
      <c r="C601" t="str">
        <f>[1]StagingTable!F601&amp;"-"&amp;[1]StagingTable!G601&amp;"-"&amp;[1]StagingTable!H601</f>
        <v>Americas-Brazil-Rio de Janeiro</v>
      </c>
      <c r="D601" t="str">
        <f>IF([1]StagingTable!T601&lt;=_xlfn.PERCENTILE.INC([1]StagingTable!T601:T1232,0.33),"LOW",IF([1]StagingTable!T601&lt;=_xlfn.PERCENTILE.INC([1]StagingTable!T601:T1232,0.67),"MEDIUM","HIGH"))</f>
        <v>LOW</v>
      </c>
    </row>
    <row r="602" spans="1:4" x14ac:dyDescent="0.25">
      <c r="A602" t="str">
        <f>TEXT([1]StagingTable!B602,"MMM-YYY")</f>
        <v>Mar-2024</v>
      </c>
      <c r="B602" t="str">
        <f>"Q"&amp;ROUNDUP(MONTH([1]StagingTable!B602)/3,0)&amp;"-"&amp;YEAR([1]StagingTable!D601)</f>
        <v>Q1-2024</v>
      </c>
      <c r="C602" t="str">
        <f>[1]StagingTable!F602&amp;"-"&amp;[1]StagingTable!G602&amp;"-"&amp;[1]StagingTable!H602</f>
        <v>Europe-United Kingdom-Manchester</v>
      </c>
      <c r="D602" t="str">
        <f>IF([1]StagingTable!T602&lt;=_xlfn.PERCENTILE.INC([1]StagingTable!T602:T1233,0.33),"LOW",IF([1]StagingTable!T602&lt;=_xlfn.PERCENTILE.INC([1]StagingTable!T602:T1233,0.67),"MEDIUM","HIGH"))</f>
        <v>HIGH</v>
      </c>
    </row>
    <row r="603" spans="1:4" x14ac:dyDescent="0.25">
      <c r="A603" t="str">
        <f>TEXT([1]StagingTable!B603,"MMM-YYY")</f>
        <v>Aug-2024</v>
      </c>
      <c r="B603" t="str">
        <f>"Q"&amp;ROUNDUP(MONTH([1]StagingTable!B603)/3,0)&amp;"-"&amp;YEAR([1]StagingTable!D602)</f>
        <v>Q3-2024</v>
      </c>
      <c r="C603" t="str">
        <f>[1]StagingTable!F603&amp;"-"&amp;[1]StagingTable!G603&amp;"-"&amp;[1]StagingTable!H603</f>
        <v>Americas-Canada-Toronto</v>
      </c>
      <c r="D603" t="str">
        <f>IF([1]StagingTable!T603&lt;=_xlfn.PERCENTILE.INC([1]StagingTable!T603:T1234,0.33),"LOW",IF([1]StagingTable!T603&lt;=_xlfn.PERCENTILE.INC([1]StagingTable!T603:T1234,0.67),"MEDIUM","HIGH"))</f>
        <v>MEDIUM</v>
      </c>
    </row>
    <row r="604" spans="1:4" x14ac:dyDescent="0.25">
      <c r="A604" t="str">
        <f>TEXT([1]StagingTable!B604,"MMM-YYY")</f>
        <v>Aug-2025</v>
      </c>
      <c r="B604" t="str">
        <f>"Q"&amp;ROUNDUP(MONTH([1]StagingTable!B604)/3,0)&amp;"-"&amp;YEAR([1]StagingTable!D603)</f>
        <v>Q3-2024</v>
      </c>
      <c r="C604" t="str">
        <f>[1]StagingTable!F604&amp;"-"&amp;[1]StagingTable!G604&amp;"-"&amp;[1]StagingTable!H604</f>
        <v>Europe-France-Paris</v>
      </c>
      <c r="D604" t="str">
        <f>IF([1]StagingTable!T604&lt;=_xlfn.PERCENTILE.INC([1]StagingTable!T604:T1235,0.33),"LOW",IF([1]StagingTable!T604&lt;=_xlfn.PERCENTILE.INC([1]StagingTable!T604:T1235,0.67),"MEDIUM","HIGH"))</f>
        <v>LOW</v>
      </c>
    </row>
    <row r="605" spans="1:4" x14ac:dyDescent="0.25">
      <c r="A605" t="str">
        <f>TEXT([1]StagingTable!B605,"MMM-YYY")</f>
        <v>May-2025</v>
      </c>
      <c r="B605" t="str">
        <f>"Q"&amp;ROUNDUP(MONTH([1]StagingTable!B605)/3,0)&amp;"-"&amp;YEAR([1]StagingTable!D604)</f>
        <v>Q2-2025</v>
      </c>
      <c r="C605" t="str">
        <f>[1]StagingTable!F605&amp;"-"&amp;[1]StagingTable!G605&amp;"-"&amp;[1]StagingTable!H605</f>
        <v>Asia-Japan-Tokyo</v>
      </c>
      <c r="D605" t="str">
        <f>IF([1]StagingTable!T605&lt;=_xlfn.PERCENTILE.INC([1]StagingTable!T605:T1236,0.33),"LOW",IF([1]StagingTable!T605&lt;=_xlfn.PERCENTILE.INC([1]StagingTable!T605:T1236,0.67),"MEDIUM","HIGH"))</f>
        <v>HIGH</v>
      </c>
    </row>
    <row r="606" spans="1:4" x14ac:dyDescent="0.25">
      <c r="A606" t="str">
        <f>TEXT([1]StagingTable!B606,"MMM-YYY")</f>
        <v>Apr-2023</v>
      </c>
      <c r="B606" t="str">
        <f>"Q"&amp;ROUNDUP(MONTH([1]StagingTable!B606)/3,0)&amp;"-"&amp;YEAR([1]StagingTable!D605)</f>
        <v>Q2-2025</v>
      </c>
      <c r="C606" t="str">
        <f>[1]StagingTable!F606&amp;"-"&amp;[1]StagingTable!G606&amp;"-"&amp;[1]StagingTable!H606</f>
        <v>Europe-United Kingdom-London</v>
      </c>
      <c r="D606" t="str">
        <f>IF([1]StagingTable!T606&lt;=_xlfn.PERCENTILE.INC([1]StagingTable!T606:T1237,0.33),"LOW",IF([1]StagingTable!T606&lt;=_xlfn.PERCENTILE.INC([1]StagingTable!T606:T1237,0.67),"MEDIUM","HIGH"))</f>
        <v>MEDIUM</v>
      </c>
    </row>
    <row r="607" spans="1:4" x14ac:dyDescent="0.25">
      <c r="A607" t="str">
        <f>TEXT([1]StagingTable!B607,"MMM-YYY")</f>
        <v>Sep-2023</v>
      </c>
      <c r="B607" t="str">
        <f>"Q"&amp;ROUNDUP(MONTH([1]StagingTable!B607)/3,0)&amp;"-"&amp;YEAR([1]StagingTable!D606)</f>
        <v>Q3-2023</v>
      </c>
      <c r="C607" t="str">
        <f>[1]StagingTable!F607&amp;"-"&amp;[1]StagingTable!G607&amp;"-"&amp;[1]StagingTable!H607</f>
        <v>Americas-Brazil-Rio de Janeiro</v>
      </c>
      <c r="D607" t="str">
        <f>IF([1]StagingTable!T607&lt;=_xlfn.PERCENTILE.INC([1]StagingTable!T607:T1238,0.33),"LOW",IF([1]StagingTable!T607&lt;=_xlfn.PERCENTILE.INC([1]StagingTable!T607:T1238,0.67),"MEDIUM","HIGH"))</f>
        <v>LOW</v>
      </c>
    </row>
    <row r="608" spans="1:4" x14ac:dyDescent="0.25">
      <c r="A608" t="str">
        <f>TEXT([1]StagingTable!B608,"MMM-YYY")</f>
        <v>Apr-2023</v>
      </c>
      <c r="B608" t="str">
        <f>"Q"&amp;ROUNDUP(MONTH([1]StagingTable!B608)/3,0)&amp;"-"&amp;YEAR([1]StagingTable!D607)</f>
        <v>Q2-2023</v>
      </c>
      <c r="C608" t="str">
        <f>[1]StagingTable!F608&amp;"-"&amp;[1]StagingTable!G608&amp;"-"&amp;[1]StagingTable!H608</f>
        <v>Asia-Japan-Nagoya</v>
      </c>
      <c r="D608" t="str">
        <f>IF([1]StagingTable!T608&lt;=_xlfn.PERCENTILE.INC([1]StagingTable!T608:T1239,0.33),"LOW",IF([1]StagingTable!T608&lt;=_xlfn.PERCENTILE.INC([1]StagingTable!T608:T1239,0.67),"MEDIUM","HIGH"))</f>
        <v>MEDIUM</v>
      </c>
    </row>
    <row r="609" spans="1:4" x14ac:dyDescent="0.25">
      <c r="A609" t="str">
        <f>TEXT([1]StagingTable!B609,"MMM-YYY")</f>
        <v>Jun-2025</v>
      </c>
      <c r="B609" t="str">
        <f>"Q"&amp;ROUNDUP(MONTH([1]StagingTable!B609)/3,0)&amp;"-"&amp;YEAR([1]StagingTable!D608)</f>
        <v>Q2-2023</v>
      </c>
      <c r="C609" t="str">
        <f>[1]StagingTable!F609&amp;"-"&amp;[1]StagingTable!G609&amp;"-"&amp;[1]StagingTable!H609</f>
        <v>Africa-South Africa-Johannesburg</v>
      </c>
      <c r="D609" t="str">
        <f>IF([1]StagingTable!T609&lt;=_xlfn.PERCENTILE.INC([1]StagingTable!T609:T1240,0.33),"LOW",IF([1]StagingTable!T609&lt;=_xlfn.PERCENTILE.INC([1]StagingTable!T609:T1240,0.67),"MEDIUM","HIGH"))</f>
        <v>HIGH</v>
      </c>
    </row>
    <row r="610" spans="1:4" x14ac:dyDescent="0.25">
      <c r="A610" t="str">
        <f>TEXT([1]StagingTable!B610,"MMM-YYY")</f>
        <v>Nov-2024</v>
      </c>
      <c r="B610" t="str">
        <f>"Q"&amp;ROUNDUP(MONTH([1]StagingTable!B610)/3,0)&amp;"-"&amp;YEAR([1]StagingTable!D609)</f>
        <v>Q4-2025</v>
      </c>
      <c r="C610" t="str">
        <f>[1]StagingTable!F610&amp;"-"&amp;[1]StagingTable!G610&amp;"-"&amp;[1]StagingTable!H610</f>
        <v>Africa-Kenya-Mombasa</v>
      </c>
      <c r="D610" t="str">
        <f>IF([1]StagingTable!T610&lt;=_xlfn.PERCENTILE.INC([1]StagingTable!T610:T1241,0.33),"LOW",IF([1]StagingTable!T610&lt;=_xlfn.PERCENTILE.INC([1]StagingTable!T610:T1241,0.67),"MEDIUM","HIGH"))</f>
        <v>LOW</v>
      </c>
    </row>
    <row r="611" spans="1:4" x14ac:dyDescent="0.25">
      <c r="A611" t="str">
        <f>TEXT([1]StagingTable!B611,"MMM-YYY")</f>
        <v>Jan-2024</v>
      </c>
      <c r="B611" t="str">
        <f>"Q"&amp;ROUNDUP(MONTH([1]StagingTable!B611)/3,0)&amp;"-"&amp;YEAR([1]StagingTable!D610)</f>
        <v>Q1-2024</v>
      </c>
      <c r="C611" t="str">
        <f>[1]StagingTable!F611&amp;"-"&amp;[1]StagingTable!G611&amp;"-"&amp;[1]StagingTable!H611</f>
        <v>Africa-South Africa-Cape Town</v>
      </c>
      <c r="D611" t="str">
        <f>IF([1]StagingTable!T611&lt;=_xlfn.PERCENTILE.INC([1]StagingTable!T611:T1242,0.33),"LOW",IF([1]StagingTable!T611&lt;=_xlfn.PERCENTILE.INC([1]StagingTable!T611:T1242,0.67),"MEDIUM","HIGH"))</f>
        <v>LOW</v>
      </c>
    </row>
    <row r="612" spans="1:4" x14ac:dyDescent="0.25">
      <c r="A612" t="str">
        <f>TEXT([1]StagingTable!B612,"MMM-YYY")</f>
        <v>Apr-2023</v>
      </c>
      <c r="B612" t="str">
        <f>"Q"&amp;ROUNDUP(MONTH([1]StagingTable!B612)/3,0)&amp;"-"&amp;YEAR([1]StagingTable!D611)</f>
        <v>Q2-2024</v>
      </c>
      <c r="C612" t="str">
        <f>[1]StagingTable!F612&amp;"-"&amp;[1]StagingTable!G612&amp;"-"&amp;[1]StagingTable!H612</f>
        <v>Americas-USA-Austin</v>
      </c>
      <c r="D612" t="str">
        <f>IF([1]StagingTable!T612&lt;=_xlfn.PERCENTILE.INC([1]StagingTable!T612:T1243,0.33),"LOW",IF([1]StagingTable!T612&lt;=_xlfn.PERCENTILE.INC([1]StagingTable!T612:T1243,0.67),"MEDIUM","HIGH"))</f>
        <v>MEDIUM</v>
      </c>
    </row>
    <row r="613" spans="1:4" x14ac:dyDescent="0.25">
      <c r="A613" t="str">
        <f>TEXT([1]StagingTable!B613,"MMM-YYY")</f>
        <v>Feb-2024</v>
      </c>
      <c r="B613" t="str">
        <f>"Q"&amp;ROUNDUP(MONTH([1]StagingTable!B613)/3,0)&amp;"-"&amp;YEAR([1]StagingTable!D612)</f>
        <v>Q1-2023</v>
      </c>
      <c r="C613" t="str">
        <f>[1]StagingTable!F613&amp;"-"&amp;[1]StagingTable!G613&amp;"-"&amp;[1]StagingTable!H613</f>
        <v>Americas-USA-Austin</v>
      </c>
      <c r="D613" t="str">
        <f>IF([1]StagingTable!T613&lt;=_xlfn.PERCENTILE.INC([1]StagingTable!T613:T1244,0.33),"LOW",IF([1]StagingTable!T613&lt;=_xlfn.PERCENTILE.INC([1]StagingTable!T613:T1244,0.67),"MEDIUM","HIGH"))</f>
        <v>MEDIUM</v>
      </c>
    </row>
    <row r="614" spans="1:4" x14ac:dyDescent="0.25">
      <c r="A614" t="str">
        <f>TEXT([1]StagingTable!B614,"MMM-YYY")</f>
        <v>Oct-2024</v>
      </c>
      <c r="B614" t="str">
        <f>"Q"&amp;ROUNDUP(MONTH([1]StagingTable!B614)/3,0)&amp;"-"&amp;YEAR([1]StagingTable!D613)</f>
        <v>Q4-2024</v>
      </c>
      <c r="C614" t="str">
        <f>[1]StagingTable!F614&amp;"-"&amp;[1]StagingTable!G614&amp;"-"&amp;[1]StagingTable!H614</f>
        <v>Americas-USA-Chicago</v>
      </c>
      <c r="D614" t="str">
        <f>IF([1]StagingTable!T614&lt;=_xlfn.PERCENTILE.INC([1]StagingTable!T614:T1245,0.33),"LOW",IF([1]StagingTable!T614&lt;=_xlfn.PERCENTILE.INC([1]StagingTable!T614:T1245,0.67),"MEDIUM","HIGH"))</f>
        <v>MEDIUM</v>
      </c>
    </row>
    <row r="615" spans="1:4" x14ac:dyDescent="0.25">
      <c r="A615" t="str">
        <f>TEXT([1]StagingTable!B615,"MMM-YYY")</f>
        <v>Jun-2024</v>
      </c>
      <c r="B615" t="str">
        <f>"Q"&amp;ROUNDUP(MONTH([1]StagingTable!B615)/3,0)&amp;"-"&amp;YEAR([1]StagingTable!D614)</f>
        <v>Q2-2024</v>
      </c>
      <c r="C615" t="str">
        <f>[1]StagingTable!F615&amp;"-"&amp;[1]StagingTable!G615&amp;"-"&amp;[1]StagingTable!H615</f>
        <v>Africa-Kenya-Kisumu</v>
      </c>
      <c r="D615" t="str">
        <f>IF([1]StagingTable!T615&lt;=_xlfn.PERCENTILE.INC([1]StagingTable!T615:T1246,0.33),"LOW",IF([1]StagingTable!T615&lt;=_xlfn.PERCENTILE.INC([1]StagingTable!T615:T1246,0.67),"MEDIUM","HIGH"))</f>
        <v>HIGH</v>
      </c>
    </row>
    <row r="616" spans="1:4" x14ac:dyDescent="0.25">
      <c r="A616" t="str">
        <f>TEXT([1]StagingTable!B616,"MMM-YYY")</f>
        <v>Jul-2023</v>
      </c>
      <c r="B616" t="str">
        <f>"Q"&amp;ROUNDUP(MONTH([1]StagingTable!B616)/3,0)&amp;"-"&amp;YEAR([1]StagingTable!D615)</f>
        <v>Q3-2024</v>
      </c>
      <c r="C616" t="str">
        <f>[1]StagingTable!F616&amp;"-"&amp;[1]StagingTable!G616&amp;"-"&amp;[1]StagingTable!H616</f>
        <v>Europe-France-Paris</v>
      </c>
      <c r="D616" t="str">
        <f>IF([1]StagingTable!T616&lt;=_xlfn.PERCENTILE.INC([1]StagingTable!T616:T1247,0.33),"LOW",IF([1]StagingTable!T616&lt;=_xlfn.PERCENTILE.INC([1]StagingTable!T616:T1247,0.67),"MEDIUM","HIGH"))</f>
        <v>HIGH</v>
      </c>
    </row>
    <row r="617" spans="1:4" x14ac:dyDescent="0.25">
      <c r="A617" t="str">
        <f>TEXT([1]StagingTable!B617,"MMM-YYY")</f>
        <v>Mar-2025</v>
      </c>
      <c r="B617" t="str">
        <f>"Q"&amp;ROUNDUP(MONTH([1]StagingTable!B617)/3,0)&amp;"-"&amp;YEAR([1]StagingTable!D616)</f>
        <v>Q1-2023</v>
      </c>
      <c r="C617" t="str">
        <f>[1]StagingTable!F617&amp;"-"&amp;[1]StagingTable!G617&amp;"-"&amp;[1]StagingTable!H617</f>
        <v>Asia-Japan-Tokyo</v>
      </c>
      <c r="D617" t="str">
        <f>IF([1]StagingTable!T617&lt;=_xlfn.PERCENTILE.INC([1]StagingTable!T617:T1248,0.33),"LOW",IF([1]StagingTable!T617&lt;=_xlfn.PERCENTILE.INC([1]StagingTable!T617:T1248,0.67),"MEDIUM","HIGH"))</f>
        <v>HIGH</v>
      </c>
    </row>
    <row r="618" spans="1:4" x14ac:dyDescent="0.25">
      <c r="A618" t="str">
        <f>TEXT([1]StagingTable!B618,"MMM-YYY")</f>
        <v>Oct-2023</v>
      </c>
      <c r="B618" t="str">
        <f>"Q"&amp;ROUNDUP(MONTH([1]StagingTable!B618)/3,0)&amp;"-"&amp;YEAR([1]StagingTable!D617)</f>
        <v>Q4-2025</v>
      </c>
      <c r="C618" t="str">
        <f>[1]StagingTable!F618&amp;"-"&amp;[1]StagingTable!G618&amp;"-"&amp;[1]StagingTable!H618</f>
        <v>Africa-Nigeria-Port Harcourt</v>
      </c>
      <c r="D618" t="str">
        <f>IF([1]StagingTable!T618&lt;=_xlfn.PERCENTILE.INC([1]StagingTable!T618:T1249,0.33),"LOW",IF([1]StagingTable!T618&lt;=_xlfn.PERCENTILE.INC([1]StagingTable!T618:T1249,0.67),"MEDIUM","HIGH"))</f>
        <v>MEDIUM</v>
      </c>
    </row>
    <row r="619" spans="1:4" x14ac:dyDescent="0.25">
      <c r="A619" t="str">
        <f>TEXT([1]StagingTable!B619,"MMM-YYY")</f>
        <v>Dec-2024</v>
      </c>
      <c r="B619" t="str">
        <f>"Q"&amp;ROUNDUP(MONTH([1]StagingTable!B619)/3,0)&amp;"-"&amp;YEAR([1]StagingTable!D618)</f>
        <v>Q4-2023</v>
      </c>
      <c r="C619" t="str">
        <f>[1]StagingTable!F619&amp;"-"&amp;[1]StagingTable!G619&amp;"-"&amp;[1]StagingTable!H619</f>
        <v>Europe-United Kingdom-Manchester</v>
      </c>
      <c r="D619" t="str">
        <f>IF([1]StagingTable!T619&lt;=_xlfn.PERCENTILE.INC([1]StagingTable!T619:T1250,0.33),"LOW",IF([1]StagingTable!T619&lt;=_xlfn.PERCENTILE.INC([1]StagingTable!T619:T1250,0.67),"MEDIUM","HIGH"))</f>
        <v>HIGH</v>
      </c>
    </row>
    <row r="620" spans="1:4" x14ac:dyDescent="0.25">
      <c r="A620" t="str">
        <f>TEXT([1]StagingTable!B620,"MMM-YYY")</f>
        <v>Jul-2025</v>
      </c>
      <c r="B620" t="str">
        <f>"Q"&amp;ROUNDUP(MONTH([1]StagingTable!B620)/3,0)&amp;"-"&amp;YEAR([1]StagingTable!D619)</f>
        <v>Q3-2025</v>
      </c>
      <c r="C620" t="str">
        <f>[1]StagingTable!F620&amp;"-"&amp;[1]StagingTable!G620&amp;"-"&amp;[1]StagingTable!H620</f>
        <v>Europe-United Kingdom-London</v>
      </c>
      <c r="D620" t="str">
        <f>IF([1]StagingTable!T620&lt;=_xlfn.PERCENTILE.INC([1]StagingTable!T620:T1251,0.33),"LOW",IF([1]StagingTable!T620&lt;=_xlfn.PERCENTILE.INC([1]StagingTable!T620:T1251,0.67),"MEDIUM","HIGH"))</f>
        <v>MEDIUM</v>
      </c>
    </row>
    <row r="621" spans="1:4" x14ac:dyDescent="0.25">
      <c r="A621" t="str">
        <f>TEXT([1]StagingTable!B621,"MMM-YYY")</f>
        <v>Oct-2024</v>
      </c>
      <c r="B621" t="str">
        <f>"Q"&amp;ROUNDUP(MONTH([1]StagingTable!B621)/3,0)&amp;"-"&amp;YEAR([1]StagingTable!D620)</f>
        <v>Q4-2025</v>
      </c>
      <c r="C621" t="str">
        <f>[1]StagingTable!F621&amp;"-"&amp;[1]StagingTable!G621&amp;"-"&amp;[1]StagingTable!H621</f>
        <v>Europe-France-Paris</v>
      </c>
      <c r="D621" t="str">
        <f>IF([1]StagingTable!T621&lt;=_xlfn.PERCENTILE.INC([1]StagingTable!T621:T1252,0.33),"LOW",IF([1]StagingTable!T621&lt;=_xlfn.PERCENTILE.INC([1]StagingTable!T621:T1252,0.67),"MEDIUM","HIGH"))</f>
        <v>MEDIUM</v>
      </c>
    </row>
    <row r="622" spans="1:4" x14ac:dyDescent="0.25">
      <c r="A622" t="str">
        <f>TEXT([1]StagingTable!B622,"MMM-YYY")</f>
        <v>Sep-2023</v>
      </c>
      <c r="B622" t="str">
        <f>"Q"&amp;ROUNDUP(MONTH([1]StagingTable!B622)/3,0)&amp;"-"&amp;YEAR([1]StagingTable!D621)</f>
        <v>Q3-2024</v>
      </c>
      <c r="C622" t="str">
        <f>[1]StagingTable!F622&amp;"-"&amp;[1]StagingTable!G622&amp;"-"&amp;[1]StagingTable!H622</f>
        <v>Africa-Kenya-Nakuru</v>
      </c>
      <c r="D622" t="str">
        <f>IF([1]StagingTable!T622&lt;=_xlfn.PERCENTILE.INC([1]StagingTable!T622:T1253,0.33),"LOW",IF([1]StagingTable!T622&lt;=_xlfn.PERCENTILE.INC([1]StagingTable!T622:T1253,0.67),"MEDIUM","HIGH"))</f>
        <v>LOW</v>
      </c>
    </row>
    <row r="623" spans="1:4" x14ac:dyDescent="0.25">
      <c r="A623" t="str">
        <f>TEXT([1]StagingTable!B623,"MMM-YYY")</f>
        <v>Apr-2025</v>
      </c>
      <c r="B623" t="str">
        <f>"Q"&amp;ROUNDUP(MONTH([1]StagingTable!B623)/3,0)&amp;"-"&amp;YEAR([1]StagingTable!D622)</f>
        <v>Q2-2023</v>
      </c>
      <c r="C623" t="str">
        <f>[1]StagingTable!F623&amp;"-"&amp;[1]StagingTable!G623&amp;"-"&amp;[1]StagingTable!H623</f>
        <v>Americas-Brazil-Rio de Janeiro</v>
      </c>
      <c r="D623" t="str">
        <f>IF([1]StagingTable!T623&lt;=_xlfn.PERCENTILE.INC([1]StagingTable!T623:T1254,0.33),"LOW",IF([1]StagingTable!T623&lt;=_xlfn.PERCENTILE.INC([1]StagingTable!T623:T1254,0.67),"MEDIUM","HIGH"))</f>
        <v>LOW</v>
      </c>
    </row>
    <row r="624" spans="1:4" x14ac:dyDescent="0.25">
      <c r="A624" t="str">
        <f>TEXT([1]StagingTable!B624,"MMM-YYY")</f>
        <v>Jul-2024</v>
      </c>
      <c r="B624" t="str">
        <f>"Q"&amp;ROUNDUP(MONTH([1]StagingTable!B624)/3,0)&amp;"-"&amp;YEAR([1]StagingTable!D623)</f>
        <v>Q3-2025</v>
      </c>
      <c r="C624" t="str">
        <f>[1]StagingTable!F624&amp;"-"&amp;[1]StagingTable!G624&amp;"-"&amp;[1]StagingTable!H624</f>
        <v>Asia-India-Hyderabad</v>
      </c>
      <c r="D624" t="str">
        <f>IF([1]StagingTable!T624&lt;=_xlfn.PERCENTILE.INC([1]StagingTable!T624:T1255,0.33),"LOW",IF([1]StagingTable!T624&lt;=_xlfn.PERCENTILE.INC([1]StagingTable!T624:T1255,0.67),"MEDIUM","HIGH"))</f>
        <v>MEDIUM</v>
      </c>
    </row>
    <row r="625" spans="1:4" x14ac:dyDescent="0.25">
      <c r="A625" t="str">
        <f>TEXT([1]StagingTable!B625,"MMM-YYY")</f>
        <v>Jul-2025</v>
      </c>
      <c r="B625" t="str">
        <f>"Q"&amp;ROUNDUP(MONTH([1]StagingTable!B625)/3,0)&amp;"-"&amp;YEAR([1]StagingTable!D624)</f>
        <v>Q3-2024</v>
      </c>
      <c r="C625" t="str">
        <f>[1]StagingTable!F625&amp;"-"&amp;[1]StagingTable!G625&amp;"-"&amp;[1]StagingTable!H625</f>
        <v>Africa-Kenya-Nairobi</v>
      </c>
      <c r="D625" t="str">
        <f>IF([1]StagingTable!T625&lt;=_xlfn.PERCENTILE.INC([1]StagingTable!T625:T1256,0.33),"LOW",IF([1]StagingTable!T625&lt;=_xlfn.PERCENTILE.INC([1]StagingTable!T625:T1256,0.67),"MEDIUM","HIGH"))</f>
        <v>LOW</v>
      </c>
    </row>
    <row r="626" spans="1:4" x14ac:dyDescent="0.25">
      <c r="A626" t="str">
        <f>TEXT([1]StagingTable!B626,"MMM-YYY")</f>
        <v>Aug-2023</v>
      </c>
      <c r="B626" t="str">
        <f>"Q"&amp;ROUNDUP(MONTH([1]StagingTable!B626)/3,0)&amp;"-"&amp;YEAR([1]StagingTable!D625)</f>
        <v>Q3-2025</v>
      </c>
      <c r="C626" t="str">
        <f>[1]StagingTable!F626&amp;"-"&amp;[1]StagingTable!G626&amp;"-"&amp;[1]StagingTable!H626</f>
        <v>Asia-China-Shanghai</v>
      </c>
      <c r="D626" t="str">
        <f>IF([1]StagingTable!T626&lt;=_xlfn.PERCENTILE.INC([1]StagingTable!T626:T1257,0.33),"LOW",IF([1]StagingTable!T626&lt;=_xlfn.PERCENTILE.INC([1]StagingTable!T626:T1257,0.67),"MEDIUM","HIGH"))</f>
        <v>HIGH</v>
      </c>
    </row>
    <row r="627" spans="1:4" x14ac:dyDescent="0.25">
      <c r="A627" t="str">
        <f>TEXT([1]StagingTable!B627,"MMM-YYY")</f>
        <v>Nov-2023</v>
      </c>
      <c r="B627" t="str">
        <f>"Q"&amp;ROUNDUP(MONTH([1]StagingTable!B627)/3,0)&amp;"-"&amp;YEAR([1]StagingTable!D626)</f>
        <v>Q4-2023</v>
      </c>
      <c r="C627" t="str">
        <f>[1]StagingTable!F627&amp;"-"&amp;[1]StagingTable!G627&amp;"-"&amp;[1]StagingTable!H627</f>
        <v>Asia-India-Delhi</v>
      </c>
      <c r="D627" t="str">
        <f>IF([1]StagingTable!T627&lt;=_xlfn.PERCENTILE.INC([1]StagingTable!T627:T1258,0.33),"LOW",IF([1]StagingTable!T627&lt;=_xlfn.PERCENTILE.INC([1]StagingTable!T627:T1258,0.67),"MEDIUM","HIGH"))</f>
        <v>HIGH</v>
      </c>
    </row>
    <row r="628" spans="1:4" x14ac:dyDescent="0.25">
      <c r="A628" t="str">
        <f>TEXT([1]StagingTable!B628,"MMM-YYY")</f>
        <v>Dec-2023</v>
      </c>
      <c r="B628" t="str">
        <f>"Q"&amp;ROUNDUP(MONTH([1]StagingTable!B628)/3,0)&amp;"-"&amp;YEAR([1]StagingTable!D627)</f>
        <v>Q4-2023</v>
      </c>
      <c r="C628" t="str">
        <f>[1]StagingTable!F628&amp;"-"&amp;[1]StagingTable!G628&amp;"-"&amp;[1]StagingTable!H628</f>
        <v>Asia-India-Hyderabad</v>
      </c>
      <c r="D628" t="str">
        <f>IF([1]StagingTable!T628&lt;=_xlfn.PERCENTILE.INC([1]StagingTable!T628:T1259,0.33),"LOW",IF([1]StagingTable!T628&lt;=_xlfn.PERCENTILE.INC([1]StagingTable!T628:T1259,0.67),"MEDIUM","HIGH"))</f>
        <v>MEDIUM</v>
      </c>
    </row>
    <row r="629" spans="1:4" x14ac:dyDescent="0.25">
      <c r="A629" t="str">
        <f>TEXT([1]StagingTable!B629,"MMM-YYY")</f>
        <v>Aug-2023</v>
      </c>
      <c r="B629" t="str">
        <f>"Q"&amp;ROUNDUP(MONTH([1]StagingTable!B629)/3,0)&amp;"-"&amp;YEAR([1]StagingTable!D628)</f>
        <v>Q3-2024</v>
      </c>
      <c r="C629" t="str">
        <f>[1]StagingTable!F629&amp;"-"&amp;[1]StagingTable!G629&amp;"-"&amp;[1]StagingTable!H629</f>
        <v>Asia-China-Shanghai</v>
      </c>
      <c r="D629" t="str">
        <f>IF([1]StagingTable!T629&lt;=_xlfn.PERCENTILE.INC([1]StagingTable!T629:T1260,0.33),"LOW",IF([1]StagingTable!T629&lt;=_xlfn.PERCENTILE.INC([1]StagingTable!T629:T1260,0.67),"MEDIUM","HIGH"))</f>
        <v>LOW</v>
      </c>
    </row>
    <row r="630" spans="1:4" x14ac:dyDescent="0.25">
      <c r="A630" t="str">
        <f>TEXT([1]StagingTable!B630,"MMM-YYY")</f>
        <v>Jun-2023</v>
      </c>
      <c r="B630" t="str">
        <f>"Q"&amp;ROUNDUP(MONTH([1]StagingTable!B630)/3,0)&amp;"-"&amp;YEAR([1]StagingTable!D629)</f>
        <v>Q2-2023</v>
      </c>
      <c r="C630" t="str">
        <f>[1]StagingTable!F630&amp;"-"&amp;[1]StagingTable!G630&amp;"-"&amp;[1]StagingTable!H630</f>
        <v>Americas-Canada-Vancouver</v>
      </c>
      <c r="D630" t="str">
        <f>IF([1]StagingTable!T630&lt;=_xlfn.PERCENTILE.INC([1]StagingTable!T630:T1261,0.33),"LOW",IF([1]StagingTable!T630&lt;=_xlfn.PERCENTILE.INC([1]StagingTable!T630:T1261,0.67),"MEDIUM","HIGH"))</f>
        <v>MEDIUM</v>
      </c>
    </row>
    <row r="631" spans="1:4" x14ac:dyDescent="0.25">
      <c r="A631" t="str">
        <f>TEXT([1]StagingTable!B631,"MMM-YYY")</f>
        <v>Dec-2023</v>
      </c>
      <c r="B631" t="str">
        <f>"Q"&amp;ROUNDUP(MONTH([1]StagingTable!B631)/3,0)&amp;"-"&amp;YEAR([1]StagingTable!D630)</f>
        <v>Q4-2023</v>
      </c>
      <c r="C631" t="str">
        <f>[1]StagingTable!F631&amp;"-"&amp;[1]StagingTable!G631&amp;"-"&amp;[1]StagingTable!H631</f>
        <v>Europe-Germany-Frankfurt</v>
      </c>
      <c r="D631" t="str">
        <f>IF([1]StagingTable!T631&lt;=_xlfn.PERCENTILE.INC([1]StagingTable!T631:T1262,0.33),"LOW",IF([1]StagingTable!T631&lt;=_xlfn.PERCENTILE.INC([1]StagingTable!T631:T1262,0.67),"MEDIUM","HIGH"))</f>
        <v>HIGH</v>
      </c>
    </row>
    <row r="632" spans="1:4" x14ac:dyDescent="0.25">
      <c r="A632" t="str">
        <f>TEXT([1]StagingTable!B632,"MMM-YYY")</f>
        <v>Nov-2023</v>
      </c>
      <c r="B632" t="str">
        <f>"Q"&amp;ROUNDUP(MONTH([1]StagingTable!B632)/3,0)&amp;"-"&amp;YEAR([1]StagingTable!D631)</f>
        <v>Q4-2024</v>
      </c>
      <c r="C632" t="str">
        <f>[1]StagingTable!F632&amp;"-"&amp;[1]StagingTable!G632&amp;"-"&amp;[1]StagingTable!H632</f>
        <v>Asia-Japan-Nagoya</v>
      </c>
      <c r="D632" t="str">
        <f>IF([1]StagingTable!T632&lt;=_xlfn.PERCENTILE.INC([1]StagingTable!T632:T1263,0.33),"LOW",IF([1]StagingTable!T632&lt;=_xlfn.PERCENTILE.INC([1]StagingTable!T632:T1263,0.67),"MEDIUM","HIGH"))</f>
        <v>HIGH</v>
      </c>
    </row>
    <row r="633" spans="1:4" x14ac:dyDescent="0.25">
      <c r="A633" t="str">
        <f>TEXT([1]StagingTable!B633,"MMM-YYY")</f>
        <v>Feb-2025</v>
      </c>
      <c r="B633" t="str">
        <f>"Q"&amp;ROUNDUP(MONTH([1]StagingTable!B633)/3,0)&amp;"-"&amp;YEAR([1]StagingTable!D632)</f>
        <v>Q1-2023</v>
      </c>
      <c r="C633" t="str">
        <f>[1]StagingTable!F633&amp;"-"&amp;[1]StagingTable!G633&amp;"-"&amp;[1]StagingTable!H633</f>
        <v>Asia-Japan-Osaka</v>
      </c>
      <c r="D633" t="str">
        <f>IF([1]StagingTable!T633&lt;=_xlfn.PERCENTILE.INC([1]StagingTable!T633:T1264,0.33),"LOW",IF([1]StagingTable!T633&lt;=_xlfn.PERCENTILE.INC([1]StagingTable!T633:T1264,0.67),"MEDIUM","HIGH"))</f>
        <v>LOW</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0"/>
  <sheetViews>
    <sheetView workbookViewId="0">
      <selection activeCell="B8" sqref="B8"/>
    </sheetView>
  </sheetViews>
  <sheetFormatPr defaultRowHeight="15" x14ac:dyDescent="0.25"/>
  <cols>
    <col min="1" max="1" width="17.42578125" bestFit="1" customWidth="1"/>
    <col min="2" max="2" width="21.140625" customWidth="1"/>
  </cols>
  <sheetData>
    <row r="3" spans="1:2" x14ac:dyDescent="0.25">
      <c r="A3" s="10" t="s">
        <v>1431</v>
      </c>
      <c r="B3" t="s">
        <v>1440</v>
      </c>
    </row>
    <row r="4" spans="1:2" x14ac:dyDescent="0.25">
      <c r="A4" s="11" t="s">
        <v>655</v>
      </c>
      <c r="B4" s="6">
        <v>1037432.45522</v>
      </c>
    </row>
    <row r="5" spans="1:2" x14ac:dyDescent="0.25">
      <c r="A5" s="14" t="s">
        <v>1433</v>
      </c>
      <c r="B5" s="6"/>
    </row>
    <row r="6" spans="1:2" x14ac:dyDescent="0.25">
      <c r="A6" s="15" t="s">
        <v>1434</v>
      </c>
      <c r="B6" s="6">
        <v>51218.844879999997</v>
      </c>
    </row>
    <row r="7" spans="1:2" x14ac:dyDescent="0.25">
      <c r="A7" s="15" t="s">
        <v>1435</v>
      </c>
      <c r="B7" s="6">
        <v>86434.575240000006</v>
      </c>
    </row>
    <row r="8" spans="1:2" x14ac:dyDescent="0.25">
      <c r="A8" s="15" t="s">
        <v>1436</v>
      </c>
      <c r="B8" s="6">
        <v>137832.37129000001</v>
      </c>
    </row>
    <row r="9" spans="1:2" x14ac:dyDescent="0.25">
      <c r="A9" s="15" t="s">
        <v>1437</v>
      </c>
      <c r="B9" s="6">
        <v>101846.59276999999</v>
      </c>
    </row>
    <row r="10" spans="1:2" x14ac:dyDescent="0.25">
      <c r="A10" s="14" t="s">
        <v>1438</v>
      </c>
      <c r="B10" s="6">
        <v>306190.48611</v>
      </c>
    </row>
    <row r="11" spans="1:2" x14ac:dyDescent="0.25">
      <c r="A11" s="14" t="s">
        <v>1439</v>
      </c>
      <c r="B11" s="6">
        <v>353909.58493000001</v>
      </c>
    </row>
    <row r="12" spans="1:2" x14ac:dyDescent="0.25">
      <c r="A12" s="11" t="s">
        <v>653</v>
      </c>
      <c r="B12" s="6">
        <v>882622.97854000004</v>
      </c>
    </row>
    <row r="13" spans="1:2" x14ac:dyDescent="0.25">
      <c r="A13" s="14" t="s">
        <v>1433</v>
      </c>
      <c r="B13" s="6"/>
    </row>
    <row r="14" spans="1:2" x14ac:dyDescent="0.25">
      <c r="A14" s="15" t="s">
        <v>1434</v>
      </c>
      <c r="B14" s="6">
        <v>47745.467919999996</v>
      </c>
    </row>
    <row r="15" spans="1:2" x14ac:dyDescent="0.25">
      <c r="A15" s="15" t="s">
        <v>1435</v>
      </c>
      <c r="B15" s="6">
        <v>61844.964559999993</v>
      </c>
    </row>
    <row r="16" spans="1:2" x14ac:dyDescent="0.25">
      <c r="A16" s="15" t="s">
        <v>1436</v>
      </c>
      <c r="B16" s="6">
        <v>97693.450079999995</v>
      </c>
    </row>
    <row r="17" spans="1:2" x14ac:dyDescent="0.25">
      <c r="A17" s="15" t="s">
        <v>1437</v>
      </c>
      <c r="B17" s="6">
        <v>42223.383040000001</v>
      </c>
    </row>
    <row r="18" spans="1:2" x14ac:dyDescent="0.25">
      <c r="A18" s="14" t="s">
        <v>1438</v>
      </c>
      <c r="B18" s="6">
        <v>356412.15492999996</v>
      </c>
    </row>
    <row r="19" spans="1:2" x14ac:dyDescent="0.25">
      <c r="A19" s="14" t="s">
        <v>1439</v>
      </c>
      <c r="B19" s="6">
        <v>276703.55801000004</v>
      </c>
    </row>
    <row r="20" spans="1:2" x14ac:dyDescent="0.25">
      <c r="A20" s="11" t="s">
        <v>659</v>
      </c>
      <c r="B20" s="6">
        <v>894790.37817000004</v>
      </c>
    </row>
    <row r="21" spans="1:2" x14ac:dyDescent="0.25">
      <c r="A21" s="14" t="s">
        <v>1433</v>
      </c>
      <c r="B21" s="6"/>
    </row>
    <row r="22" spans="1:2" x14ac:dyDescent="0.25">
      <c r="A22" s="15" t="s">
        <v>1434</v>
      </c>
      <c r="B22" s="6">
        <v>35713.443180000002</v>
      </c>
    </row>
    <row r="23" spans="1:2" x14ac:dyDescent="0.25">
      <c r="A23" s="15" t="s">
        <v>1435</v>
      </c>
      <c r="B23" s="6">
        <v>78246.004239999995</v>
      </c>
    </row>
    <row r="24" spans="1:2" x14ac:dyDescent="0.25">
      <c r="A24" s="15" t="s">
        <v>1436</v>
      </c>
      <c r="B24" s="6">
        <v>78204.903210000004</v>
      </c>
    </row>
    <row r="25" spans="1:2" x14ac:dyDescent="0.25">
      <c r="A25" s="15" t="s">
        <v>1437</v>
      </c>
      <c r="B25" s="6">
        <v>86034.898010000004</v>
      </c>
    </row>
    <row r="26" spans="1:2" x14ac:dyDescent="0.25">
      <c r="A26" s="14" t="s">
        <v>1438</v>
      </c>
      <c r="B26" s="6">
        <v>431317.10412000003</v>
      </c>
    </row>
    <row r="27" spans="1:2" x14ac:dyDescent="0.25">
      <c r="A27" s="14" t="s">
        <v>1439</v>
      </c>
      <c r="B27" s="6">
        <v>185274.02541</v>
      </c>
    </row>
    <row r="28" spans="1:2" x14ac:dyDescent="0.25">
      <c r="A28" s="11" t="s">
        <v>657</v>
      </c>
      <c r="B28" s="6">
        <v>758280.91688999999</v>
      </c>
    </row>
    <row r="29" spans="1:2" x14ac:dyDescent="0.25">
      <c r="A29" s="14" t="s">
        <v>1433</v>
      </c>
      <c r="B29" s="6"/>
    </row>
    <row r="30" spans="1:2" x14ac:dyDescent="0.25">
      <c r="A30" s="15" t="s">
        <v>1434</v>
      </c>
      <c r="B30" s="6">
        <v>49394.010399999999</v>
      </c>
    </row>
    <row r="31" spans="1:2" x14ac:dyDescent="0.25">
      <c r="A31" s="15" t="s">
        <v>1435</v>
      </c>
      <c r="B31" s="6">
        <v>51199.481859999993</v>
      </c>
    </row>
    <row r="32" spans="1:2" x14ac:dyDescent="0.25">
      <c r="A32" s="15" t="s">
        <v>1436</v>
      </c>
      <c r="B32" s="6">
        <v>112195.49638</v>
      </c>
    </row>
    <row r="33" spans="1:2" x14ac:dyDescent="0.25">
      <c r="A33" s="15" t="s">
        <v>1437</v>
      </c>
      <c r="B33" s="6">
        <v>56555.235350000003</v>
      </c>
    </row>
    <row r="34" spans="1:2" x14ac:dyDescent="0.25">
      <c r="A34" s="14" t="s">
        <v>1438</v>
      </c>
      <c r="B34" s="6">
        <v>332686.45244000002</v>
      </c>
    </row>
    <row r="35" spans="1:2" x14ac:dyDescent="0.25">
      <c r="A35" s="14" t="s">
        <v>1439</v>
      </c>
      <c r="B35" s="6">
        <v>156250.24046000003</v>
      </c>
    </row>
    <row r="36" spans="1:2" x14ac:dyDescent="0.25">
      <c r="A36" s="11" t="s">
        <v>656</v>
      </c>
      <c r="B36" s="6">
        <v>929424.8882200002</v>
      </c>
    </row>
    <row r="37" spans="1:2" x14ac:dyDescent="0.25">
      <c r="A37" s="14" t="s">
        <v>1433</v>
      </c>
      <c r="B37" s="6"/>
    </row>
    <row r="38" spans="1:2" x14ac:dyDescent="0.25">
      <c r="A38" s="15" t="s">
        <v>1434</v>
      </c>
      <c r="B38" s="6">
        <v>163155.56107</v>
      </c>
    </row>
    <row r="39" spans="1:2" x14ac:dyDescent="0.25">
      <c r="A39" s="15" t="s">
        <v>1435</v>
      </c>
      <c r="B39" s="6">
        <v>127787.33831000001</v>
      </c>
    </row>
    <row r="40" spans="1:2" x14ac:dyDescent="0.25">
      <c r="A40" s="15" t="s">
        <v>1436</v>
      </c>
      <c r="B40" s="6">
        <v>14329.266900000001</v>
      </c>
    </row>
    <row r="41" spans="1:2" x14ac:dyDescent="0.25">
      <c r="A41" s="15" t="s">
        <v>1437</v>
      </c>
      <c r="B41" s="6">
        <v>64606.506009999997</v>
      </c>
    </row>
    <row r="42" spans="1:2" x14ac:dyDescent="0.25">
      <c r="A42" s="14" t="s">
        <v>1438</v>
      </c>
      <c r="B42" s="6">
        <v>383309.25282000011</v>
      </c>
    </row>
    <row r="43" spans="1:2" x14ac:dyDescent="0.25">
      <c r="A43" s="14" t="s">
        <v>1439</v>
      </c>
      <c r="B43" s="6">
        <v>176236.96311000001</v>
      </c>
    </row>
    <row r="44" spans="1:2" x14ac:dyDescent="0.25">
      <c r="A44" s="11" t="s">
        <v>654</v>
      </c>
      <c r="B44" s="6">
        <v>1091932.6467799998</v>
      </c>
    </row>
    <row r="45" spans="1:2" x14ac:dyDescent="0.25">
      <c r="A45" s="14" t="s">
        <v>1433</v>
      </c>
      <c r="B45" s="6"/>
    </row>
    <row r="46" spans="1:2" x14ac:dyDescent="0.25">
      <c r="A46" s="15" t="s">
        <v>1434</v>
      </c>
      <c r="B46" s="6">
        <v>55435.80356</v>
      </c>
    </row>
    <row r="47" spans="1:2" x14ac:dyDescent="0.25">
      <c r="A47" s="15" t="s">
        <v>1435</v>
      </c>
      <c r="B47" s="6">
        <v>286761.84321999998</v>
      </c>
    </row>
    <row r="48" spans="1:2" x14ac:dyDescent="0.25">
      <c r="A48" s="15" t="s">
        <v>1436</v>
      </c>
      <c r="B48" s="6">
        <v>62392.200340000003</v>
      </c>
    </row>
    <row r="49" spans="1:2" x14ac:dyDescent="0.25">
      <c r="A49" s="15" t="s">
        <v>1437</v>
      </c>
      <c r="B49" s="6">
        <v>110178.25126</v>
      </c>
    </row>
    <row r="50" spans="1:2" x14ac:dyDescent="0.25">
      <c r="A50" s="14" t="s">
        <v>1438</v>
      </c>
      <c r="B50" s="6">
        <v>365031.56606999994</v>
      </c>
    </row>
    <row r="51" spans="1:2" x14ac:dyDescent="0.25">
      <c r="A51" s="14" t="s">
        <v>1439</v>
      </c>
      <c r="B51" s="6">
        <v>212132.98233000003</v>
      </c>
    </row>
    <row r="52" spans="1:2" x14ac:dyDescent="0.25">
      <c r="A52" s="11" t="s">
        <v>652</v>
      </c>
      <c r="B52" s="6">
        <v>854748.89269999985</v>
      </c>
    </row>
    <row r="53" spans="1:2" x14ac:dyDescent="0.25">
      <c r="A53" s="14" t="s">
        <v>1433</v>
      </c>
      <c r="B53" s="6"/>
    </row>
    <row r="54" spans="1:2" x14ac:dyDescent="0.25">
      <c r="A54" s="15" t="s">
        <v>1434</v>
      </c>
      <c r="B54" s="6">
        <v>31024.83872</v>
      </c>
    </row>
    <row r="55" spans="1:2" x14ac:dyDescent="0.25">
      <c r="A55" s="15" t="s">
        <v>1435</v>
      </c>
      <c r="B55" s="6">
        <v>34862.34261</v>
      </c>
    </row>
    <row r="56" spans="1:2" x14ac:dyDescent="0.25">
      <c r="A56" s="15" t="s">
        <v>1436</v>
      </c>
      <c r="B56" s="6">
        <v>63272.855360000001</v>
      </c>
    </row>
    <row r="57" spans="1:2" x14ac:dyDescent="0.25">
      <c r="A57" s="15" t="s">
        <v>1437</v>
      </c>
      <c r="B57" s="6">
        <v>67302.884900000005</v>
      </c>
    </row>
    <row r="58" spans="1:2" x14ac:dyDescent="0.25">
      <c r="A58" s="14" t="s">
        <v>1438</v>
      </c>
      <c r="B58" s="6">
        <v>370401.94354999997</v>
      </c>
    </row>
    <row r="59" spans="1:2" x14ac:dyDescent="0.25">
      <c r="A59" s="14" t="s">
        <v>1439</v>
      </c>
      <c r="B59" s="6">
        <v>287884.02755999996</v>
      </c>
    </row>
    <row r="60" spans="1:2" x14ac:dyDescent="0.25">
      <c r="A60" s="11" t="s">
        <v>650</v>
      </c>
      <c r="B60" s="6">
        <v>936159.62260999996</v>
      </c>
    </row>
    <row r="61" spans="1:2" x14ac:dyDescent="0.25">
      <c r="A61" s="14" t="s">
        <v>1433</v>
      </c>
      <c r="B61" s="6"/>
    </row>
    <row r="62" spans="1:2" x14ac:dyDescent="0.25">
      <c r="A62" s="15" t="s">
        <v>1434</v>
      </c>
      <c r="B62" s="6">
        <v>121681.00628999999</v>
      </c>
    </row>
    <row r="63" spans="1:2" x14ac:dyDescent="0.25">
      <c r="A63" s="15" t="s">
        <v>1435</v>
      </c>
      <c r="B63" s="6">
        <v>25750.282080000001</v>
      </c>
    </row>
    <row r="64" spans="1:2" x14ac:dyDescent="0.25">
      <c r="A64" s="15" t="s">
        <v>1436</v>
      </c>
      <c r="B64" s="6">
        <v>38348.305800000002</v>
      </c>
    </row>
    <row r="65" spans="1:2" x14ac:dyDescent="0.25">
      <c r="A65" s="15" t="s">
        <v>1437</v>
      </c>
      <c r="B65" s="6">
        <v>54326.48328</v>
      </c>
    </row>
    <row r="66" spans="1:2" x14ac:dyDescent="0.25">
      <c r="A66" s="14" t="s">
        <v>1438</v>
      </c>
      <c r="B66" s="6">
        <v>549520.26327999996</v>
      </c>
    </row>
    <row r="67" spans="1:2" x14ac:dyDescent="0.25">
      <c r="A67" s="14" t="s">
        <v>1439</v>
      </c>
      <c r="B67" s="6">
        <v>146533.28188000002</v>
      </c>
    </row>
    <row r="68" spans="1:2" x14ac:dyDescent="0.25">
      <c r="A68" s="11" t="s">
        <v>651</v>
      </c>
      <c r="B68" s="6">
        <v>881838.67690999992</v>
      </c>
    </row>
    <row r="69" spans="1:2" x14ac:dyDescent="0.25">
      <c r="A69" s="14" t="s">
        <v>1433</v>
      </c>
      <c r="B69" s="6"/>
    </row>
    <row r="70" spans="1:2" x14ac:dyDescent="0.25">
      <c r="A70" s="15" t="s">
        <v>1434</v>
      </c>
      <c r="B70" s="6">
        <v>5422.2875999999997</v>
      </c>
    </row>
    <row r="71" spans="1:2" x14ac:dyDescent="0.25">
      <c r="A71" s="15" t="s">
        <v>1435</v>
      </c>
      <c r="B71" s="6">
        <v>82955.127880000015</v>
      </c>
    </row>
    <row r="72" spans="1:2" x14ac:dyDescent="0.25">
      <c r="A72" s="15" t="s">
        <v>1436</v>
      </c>
      <c r="B72" s="6">
        <v>136921.91361999998</v>
      </c>
    </row>
    <row r="73" spans="1:2" x14ac:dyDescent="0.25">
      <c r="A73" s="15" t="s">
        <v>1437</v>
      </c>
      <c r="B73" s="6">
        <v>37945.215519999998</v>
      </c>
    </row>
    <row r="74" spans="1:2" x14ac:dyDescent="0.25">
      <c r="A74" s="14" t="s">
        <v>1438</v>
      </c>
      <c r="B74" s="6">
        <v>276445.19975999999</v>
      </c>
    </row>
    <row r="75" spans="1:2" x14ac:dyDescent="0.25">
      <c r="A75" s="14" t="s">
        <v>1439</v>
      </c>
      <c r="B75" s="6">
        <v>342148.93253000005</v>
      </c>
    </row>
    <row r="76" spans="1:2" x14ac:dyDescent="0.25">
      <c r="A76" s="11" t="s">
        <v>661</v>
      </c>
      <c r="B76" s="6">
        <v>779637.54197999998</v>
      </c>
    </row>
    <row r="77" spans="1:2" x14ac:dyDescent="0.25">
      <c r="A77" s="14" t="s">
        <v>1433</v>
      </c>
      <c r="B77" s="6"/>
    </row>
    <row r="78" spans="1:2" x14ac:dyDescent="0.25">
      <c r="A78" s="15" t="s">
        <v>1434</v>
      </c>
      <c r="B78" s="6">
        <v>119331.8425</v>
      </c>
    </row>
    <row r="79" spans="1:2" x14ac:dyDescent="0.25">
      <c r="A79" s="15" t="s">
        <v>1435</v>
      </c>
      <c r="B79" s="6">
        <v>15187.141260000002</v>
      </c>
    </row>
    <row r="80" spans="1:2" x14ac:dyDescent="0.25">
      <c r="A80" s="15" t="s">
        <v>1436</v>
      </c>
      <c r="B80" s="6">
        <v>137086.76258000001</v>
      </c>
    </row>
    <row r="81" spans="1:2" x14ac:dyDescent="0.25">
      <c r="A81" s="15" t="s">
        <v>1437</v>
      </c>
      <c r="B81" s="6">
        <v>92795.595499999996</v>
      </c>
    </row>
    <row r="82" spans="1:2" x14ac:dyDescent="0.25">
      <c r="A82" s="14" t="s">
        <v>1438</v>
      </c>
      <c r="B82" s="6">
        <v>191518.50866999998</v>
      </c>
    </row>
    <row r="83" spans="1:2" x14ac:dyDescent="0.25">
      <c r="A83" s="14" t="s">
        <v>1439</v>
      </c>
      <c r="B83" s="6">
        <v>223717.69146999999</v>
      </c>
    </row>
    <row r="84" spans="1:2" x14ac:dyDescent="0.25">
      <c r="A84" s="11" t="s">
        <v>658</v>
      </c>
      <c r="B84" s="6">
        <v>1113282.1309</v>
      </c>
    </row>
    <row r="85" spans="1:2" x14ac:dyDescent="0.25">
      <c r="A85" s="14" t="s">
        <v>1433</v>
      </c>
      <c r="B85" s="6"/>
    </row>
    <row r="86" spans="1:2" x14ac:dyDescent="0.25">
      <c r="A86" s="15" t="s">
        <v>1434</v>
      </c>
      <c r="B86" s="6">
        <v>48111.080719999998</v>
      </c>
    </row>
    <row r="87" spans="1:2" x14ac:dyDescent="0.25">
      <c r="A87" s="15" t="s">
        <v>1435</v>
      </c>
      <c r="B87" s="6">
        <v>116257.55197999999</v>
      </c>
    </row>
    <row r="88" spans="1:2" x14ac:dyDescent="0.25">
      <c r="A88" s="15" t="s">
        <v>1436</v>
      </c>
      <c r="B88" s="6">
        <v>80418.4666</v>
      </c>
    </row>
    <row r="89" spans="1:2" x14ac:dyDescent="0.25">
      <c r="A89" s="15" t="s">
        <v>1437</v>
      </c>
      <c r="B89" s="6">
        <v>31613.310460000004</v>
      </c>
    </row>
    <row r="90" spans="1:2" x14ac:dyDescent="0.25">
      <c r="A90" s="14" t="s">
        <v>1438</v>
      </c>
      <c r="B90" s="6">
        <v>507901.41704000003</v>
      </c>
    </row>
    <row r="91" spans="1:2" x14ac:dyDescent="0.25">
      <c r="A91" s="14" t="s">
        <v>1439</v>
      </c>
      <c r="B91" s="6">
        <v>328980.30410000001</v>
      </c>
    </row>
    <row r="92" spans="1:2" x14ac:dyDescent="0.25">
      <c r="A92" s="11" t="s">
        <v>660</v>
      </c>
      <c r="B92" s="6">
        <v>768694.58757999993</v>
      </c>
    </row>
    <row r="93" spans="1:2" x14ac:dyDescent="0.25">
      <c r="A93" s="14" t="s">
        <v>1433</v>
      </c>
      <c r="B93" s="6"/>
    </row>
    <row r="94" spans="1:2" x14ac:dyDescent="0.25">
      <c r="A94" s="15" t="s">
        <v>1434</v>
      </c>
      <c r="B94" s="6">
        <v>99773.865180000008</v>
      </c>
    </row>
    <row r="95" spans="1:2" x14ac:dyDescent="0.25">
      <c r="A95" s="15" t="s">
        <v>1435</v>
      </c>
      <c r="B95" s="6">
        <v>110694.36008999999</v>
      </c>
    </row>
    <row r="96" spans="1:2" x14ac:dyDescent="0.25">
      <c r="A96" s="15" t="s">
        <v>1436</v>
      </c>
      <c r="B96" s="6">
        <v>72078.038860000001</v>
      </c>
    </row>
    <row r="97" spans="1:2" x14ac:dyDescent="0.25">
      <c r="A97" s="15" t="s">
        <v>1437</v>
      </c>
      <c r="B97" s="6">
        <v>5533.6230000000005</v>
      </c>
    </row>
    <row r="98" spans="1:2" x14ac:dyDescent="0.25">
      <c r="A98" s="14" t="s">
        <v>1438</v>
      </c>
      <c r="B98" s="6">
        <v>396688.46359</v>
      </c>
    </row>
    <row r="99" spans="1:2" x14ac:dyDescent="0.25">
      <c r="A99" s="14" t="s">
        <v>1439</v>
      </c>
      <c r="B99" s="6">
        <v>83926.23685999999</v>
      </c>
    </row>
    <row r="100" spans="1:2" x14ac:dyDescent="0.25">
      <c r="A100" s="11" t="s">
        <v>1432</v>
      </c>
      <c r="B100" s="6">
        <v>10928845.716500005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7"/>
  <sheetViews>
    <sheetView workbookViewId="0">
      <selection activeCell="A4" sqref="A4"/>
    </sheetView>
  </sheetViews>
  <sheetFormatPr defaultRowHeight="15" x14ac:dyDescent="0.25"/>
  <cols>
    <col min="1" max="1" width="14.140625" customWidth="1"/>
    <col min="2" max="2" width="21.140625" customWidth="1"/>
  </cols>
  <sheetData>
    <row r="3" spans="1:3" x14ac:dyDescent="0.25">
      <c r="A3" s="10" t="s">
        <v>1431</v>
      </c>
      <c r="B3" t="s">
        <v>1440</v>
      </c>
    </row>
    <row r="4" spans="1:3" x14ac:dyDescent="0.25">
      <c r="A4" s="11" t="s">
        <v>729</v>
      </c>
      <c r="B4" s="17">
        <v>0.16235553702996591</v>
      </c>
    </row>
    <row r="5" spans="1:3" x14ac:dyDescent="0.25">
      <c r="A5" s="14" t="s">
        <v>781</v>
      </c>
      <c r="B5" s="18">
        <v>9.9959321262141267E-3</v>
      </c>
      <c r="C5" s="16"/>
    </row>
    <row r="6" spans="1:3" x14ac:dyDescent="0.25">
      <c r="A6" s="14" t="s">
        <v>1345</v>
      </c>
      <c r="B6" s="18">
        <v>7.5160123887544478E-3</v>
      </c>
    </row>
    <row r="7" spans="1:3" x14ac:dyDescent="0.25">
      <c r="A7" s="14" t="s">
        <v>1010</v>
      </c>
      <c r="B7" s="18">
        <v>7.2787884524620908E-3</v>
      </c>
    </row>
    <row r="8" spans="1:3" x14ac:dyDescent="0.25">
      <c r="A8" s="14" t="s">
        <v>957</v>
      </c>
      <c r="B8" s="18">
        <v>6.1295376417349005E-3</v>
      </c>
    </row>
    <row r="9" spans="1:3" x14ac:dyDescent="0.25">
      <c r="A9" s="14" t="s">
        <v>814</v>
      </c>
      <c r="B9" s="18">
        <v>5.5168502570195456E-3</v>
      </c>
    </row>
    <row r="10" spans="1:3" x14ac:dyDescent="0.25">
      <c r="A10" s="14" t="s">
        <v>1324</v>
      </c>
      <c r="B10" s="18">
        <v>4.7368389364159614E-3</v>
      </c>
    </row>
    <row r="11" spans="1:3" x14ac:dyDescent="0.25">
      <c r="A11" s="14" t="s">
        <v>1356</v>
      </c>
      <c r="B11" s="18">
        <v>4.5833200320849268E-3</v>
      </c>
    </row>
    <row r="12" spans="1:3" x14ac:dyDescent="0.25">
      <c r="A12" s="14" t="s">
        <v>1091</v>
      </c>
      <c r="B12" s="18">
        <v>4.5143387215644745E-3</v>
      </c>
    </row>
    <row r="13" spans="1:3" x14ac:dyDescent="0.25">
      <c r="A13" s="14" t="s">
        <v>937</v>
      </c>
      <c r="B13" s="18">
        <v>4.3886352524482534E-3</v>
      </c>
    </row>
    <row r="14" spans="1:3" x14ac:dyDescent="0.25">
      <c r="A14" s="14" t="s">
        <v>1116</v>
      </c>
      <c r="B14" s="18">
        <v>4.3639899617206749E-3</v>
      </c>
    </row>
    <row r="15" spans="1:3" x14ac:dyDescent="0.25">
      <c r="A15" s="14" t="s">
        <v>1110</v>
      </c>
      <c r="B15" s="18">
        <v>3.9851869254814726E-3</v>
      </c>
    </row>
    <row r="16" spans="1:3" x14ac:dyDescent="0.25">
      <c r="A16" s="14" t="s">
        <v>1213</v>
      </c>
      <c r="B16" s="18">
        <v>3.7047638890968511E-3</v>
      </c>
    </row>
    <row r="17" spans="1:2" x14ac:dyDescent="0.25">
      <c r="A17" s="14" t="s">
        <v>1036</v>
      </c>
      <c r="B17" s="18">
        <v>3.6313458190815879E-3</v>
      </c>
    </row>
    <row r="18" spans="1:2" x14ac:dyDescent="0.25">
      <c r="A18" s="14" t="s">
        <v>1056</v>
      </c>
      <c r="B18" s="18">
        <v>3.6185682885333096E-3</v>
      </c>
    </row>
    <row r="19" spans="1:2" x14ac:dyDescent="0.25">
      <c r="A19" s="14" t="s">
        <v>854</v>
      </c>
      <c r="B19" s="18">
        <v>3.6158259906934969E-3</v>
      </c>
    </row>
    <row r="20" spans="1:2" x14ac:dyDescent="0.25">
      <c r="A20" s="14" t="s">
        <v>782</v>
      </c>
      <c r="B20" s="18">
        <v>3.259383766962705E-3</v>
      </c>
    </row>
    <row r="21" spans="1:2" x14ac:dyDescent="0.25">
      <c r="A21" s="14" t="s">
        <v>1087</v>
      </c>
      <c r="B21" s="18">
        <v>3.1857863953038078E-3</v>
      </c>
    </row>
    <row r="22" spans="1:2" x14ac:dyDescent="0.25">
      <c r="A22" s="14" t="s">
        <v>1301</v>
      </c>
      <c r="B22" s="18">
        <v>3.1391384680455512E-3</v>
      </c>
    </row>
    <row r="23" spans="1:2" x14ac:dyDescent="0.25">
      <c r="A23" s="14" t="s">
        <v>1113</v>
      </c>
      <c r="B23" s="18">
        <v>3.037835736840507E-3</v>
      </c>
    </row>
    <row r="24" spans="1:2" x14ac:dyDescent="0.25">
      <c r="A24" s="14" t="s">
        <v>1357</v>
      </c>
      <c r="B24" s="18">
        <v>2.9924831266145546E-3</v>
      </c>
    </row>
    <row r="25" spans="1:2" x14ac:dyDescent="0.25">
      <c r="A25" s="14" t="s">
        <v>779</v>
      </c>
      <c r="B25" s="18">
        <v>2.974381763933468E-3</v>
      </c>
    </row>
    <row r="26" spans="1:2" x14ac:dyDescent="0.25">
      <c r="A26" s="14" t="s">
        <v>1147</v>
      </c>
      <c r="B26" s="18">
        <v>2.8835088222008754E-3</v>
      </c>
    </row>
    <row r="27" spans="1:2" x14ac:dyDescent="0.25">
      <c r="A27" s="14" t="s">
        <v>1229</v>
      </c>
      <c r="B27" s="18">
        <v>2.8083916413662547E-3</v>
      </c>
    </row>
    <row r="28" spans="1:2" x14ac:dyDescent="0.25">
      <c r="A28" s="14" t="s">
        <v>960</v>
      </c>
      <c r="B28" s="18">
        <v>2.7888964453019233E-3</v>
      </c>
    </row>
    <row r="29" spans="1:2" x14ac:dyDescent="0.25">
      <c r="A29" s="14" t="s">
        <v>1354</v>
      </c>
      <c r="B29" s="18">
        <v>2.7660738987613101E-3</v>
      </c>
    </row>
    <row r="30" spans="1:2" x14ac:dyDescent="0.25">
      <c r="A30" s="14" t="s">
        <v>1282</v>
      </c>
      <c r="B30" s="18">
        <v>2.7151499133343986E-3</v>
      </c>
    </row>
    <row r="31" spans="1:2" x14ac:dyDescent="0.25">
      <c r="A31" s="14" t="s">
        <v>878</v>
      </c>
      <c r="B31" s="18">
        <v>2.3490245636134375E-3</v>
      </c>
    </row>
    <row r="32" spans="1:2" x14ac:dyDescent="0.25">
      <c r="A32" s="14" t="s">
        <v>1230</v>
      </c>
      <c r="B32" s="18">
        <v>2.3103641386280154E-3</v>
      </c>
    </row>
    <row r="33" spans="1:2" x14ac:dyDescent="0.25">
      <c r="A33" s="14" t="s">
        <v>1217</v>
      </c>
      <c r="B33" s="18">
        <v>2.0046702294390468E-3</v>
      </c>
    </row>
    <row r="34" spans="1:2" x14ac:dyDescent="0.25">
      <c r="A34" s="14" t="s">
        <v>818</v>
      </c>
      <c r="B34" s="18">
        <v>1.9272495034128245E-3</v>
      </c>
    </row>
    <row r="35" spans="1:2" x14ac:dyDescent="0.25">
      <c r="A35" s="14" t="s">
        <v>763</v>
      </c>
      <c r="B35" s="18">
        <v>1.837717746319509E-3</v>
      </c>
    </row>
    <row r="36" spans="1:2" x14ac:dyDescent="0.25">
      <c r="A36" s="14" t="s">
        <v>1021</v>
      </c>
      <c r="B36" s="18">
        <v>1.8326535024427344E-3</v>
      </c>
    </row>
    <row r="37" spans="1:2" x14ac:dyDescent="0.25">
      <c r="A37" s="14" t="s">
        <v>755</v>
      </c>
      <c r="B37" s="18">
        <v>1.8211973667036257E-3</v>
      </c>
    </row>
    <row r="38" spans="1:2" x14ac:dyDescent="0.25">
      <c r="A38" s="14" t="s">
        <v>1284</v>
      </c>
      <c r="B38" s="18">
        <v>1.7229747045994909E-3</v>
      </c>
    </row>
    <row r="39" spans="1:2" x14ac:dyDescent="0.25">
      <c r="A39" s="14" t="s">
        <v>1346</v>
      </c>
      <c r="B39" s="18">
        <v>1.6928314297701432E-3</v>
      </c>
    </row>
    <row r="40" spans="1:2" x14ac:dyDescent="0.25">
      <c r="A40" s="14" t="s">
        <v>1133</v>
      </c>
      <c r="B40" s="18">
        <v>1.6224607300686289E-3</v>
      </c>
    </row>
    <row r="41" spans="1:2" x14ac:dyDescent="0.25">
      <c r="A41" s="14" t="s">
        <v>1051</v>
      </c>
      <c r="B41" s="18">
        <v>1.4920691693342196E-3</v>
      </c>
    </row>
    <row r="42" spans="1:2" x14ac:dyDescent="0.25">
      <c r="A42" s="14" t="s">
        <v>863</v>
      </c>
      <c r="B42" s="18">
        <v>1.4705531669951082E-3</v>
      </c>
    </row>
    <row r="43" spans="1:2" x14ac:dyDescent="0.25">
      <c r="A43" s="14" t="s">
        <v>1240</v>
      </c>
      <c r="B43" s="18">
        <v>1.4021541887872435E-3</v>
      </c>
    </row>
    <row r="44" spans="1:2" x14ac:dyDescent="0.25">
      <c r="A44" s="14" t="s">
        <v>949</v>
      </c>
      <c r="B44" s="18">
        <v>1.3956707044524776E-3</v>
      </c>
    </row>
    <row r="45" spans="1:2" x14ac:dyDescent="0.25">
      <c r="A45" s="14" t="s">
        <v>1200</v>
      </c>
      <c r="B45" s="18">
        <v>1.3049799365790139E-3</v>
      </c>
    </row>
    <row r="46" spans="1:2" x14ac:dyDescent="0.25">
      <c r="A46" s="14" t="s">
        <v>1309</v>
      </c>
      <c r="B46" s="18">
        <v>1.2702715327969649E-3</v>
      </c>
    </row>
    <row r="47" spans="1:2" x14ac:dyDescent="0.25">
      <c r="A47" s="14" t="s">
        <v>1015</v>
      </c>
      <c r="B47" s="18">
        <v>1.192803939058151E-3</v>
      </c>
    </row>
    <row r="48" spans="1:2" x14ac:dyDescent="0.25">
      <c r="A48" s="14" t="s">
        <v>1114</v>
      </c>
      <c r="B48" s="18">
        <v>1.1786329438755415E-3</v>
      </c>
    </row>
    <row r="49" spans="1:2" x14ac:dyDescent="0.25">
      <c r="A49" s="14" t="s">
        <v>1308</v>
      </c>
      <c r="B49" s="18">
        <v>1.1063556677120192E-3</v>
      </c>
    </row>
    <row r="50" spans="1:2" x14ac:dyDescent="0.25">
      <c r="A50" s="14" t="s">
        <v>857</v>
      </c>
      <c r="B50" s="18">
        <v>9.897972650184223E-4</v>
      </c>
    </row>
    <row r="51" spans="1:2" x14ac:dyDescent="0.25">
      <c r="A51" s="14" t="s">
        <v>1277</v>
      </c>
      <c r="B51" s="18">
        <v>9.8753678109899951E-4</v>
      </c>
    </row>
    <row r="52" spans="1:2" x14ac:dyDescent="0.25">
      <c r="A52" s="14" t="s">
        <v>1348</v>
      </c>
      <c r="B52" s="18">
        <v>9.8695889024356682E-4</v>
      </c>
    </row>
    <row r="53" spans="1:2" x14ac:dyDescent="0.25">
      <c r="A53" s="14" t="s">
        <v>775</v>
      </c>
      <c r="B53" s="18">
        <v>9.6613496739722223E-4</v>
      </c>
    </row>
    <row r="54" spans="1:2" x14ac:dyDescent="0.25">
      <c r="A54" s="14" t="s">
        <v>1237</v>
      </c>
      <c r="B54" s="18">
        <v>9.3238475172319896E-4</v>
      </c>
    </row>
    <row r="55" spans="1:2" x14ac:dyDescent="0.25">
      <c r="A55" s="14" t="s">
        <v>1296</v>
      </c>
      <c r="B55" s="18">
        <v>9.3024788378619986E-4</v>
      </c>
    </row>
    <row r="56" spans="1:2" x14ac:dyDescent="0.25">
      <c r="A56" s="14" t="s">
        <v>1251</v>
      </c>
      <c r="B56" s="18">
        <v>8.97421789493518E-4</v>
      </c>
    </row>
    <row r="57" spans="1:2" x14ac:dyDescent="0.25">
      <c r="A57" s="14" t="s">
        <v>766</v>
      </c>
      <c r="B57" s="18">
        <v>8.8274512517224984E-4</v>
      </c>
    </row>
    <row r="58" spans="1:2" x14ac:dyDescent="0.25">
      <c r="A58" s="14" t="s">
        <v>807</v>
      </c>
      <c r="B58" s="18">
        <v>8.5768071607491593E-4</v>
      </c>
    </row>
    <row r="59" spans="1:2" x14ac:dyDescent="0.25">
      <c r="A59" s="14" t="s">
        <v>1263</v>
      </c>
      <c r="B59" s="18">
        <v>8.474882801224326E-4</v>
      </c>
    </row>
    <row r="60" spans="1:2" x14ac:dyDescent="0.25">
      <c r="A60" s="14" t="s">
        <v>889</v>
      </c>
      <c r="B60" s="18">
        <v>8.152429736059401E-4</v>
      </c>
    </row>
    <row r="61" spans="1:2" x14ac:dyDescent="0.25">
      <c r="A61" s="14" t="s">
        <v>1065</v>
      </c>
      <c r="B61" s="18">
        <v>8.0195171451343623E-4</v>
      </c>
    </row>
    <row r="62" spans="1:2" x14ac:dyDescent="0.25">
      <c r="A62" s="14" t="s">
        <v>1236</v>
      </c>
      <c r="B62" s="18">
        <v>7.9031104236011555E-4</v>
      </c>
    </row>
    <row r="63" spans="1:2" x14ac:dyDescent="0.25">
      <c r="A63" s="14" t="s">
        <v>932</v>
      </c>
      <c r="B63" s="18">
        <v>7.6396196236850765E-4</v>
      </c>
    </row>
    <row r="64" spans="1:2" x14ac:dyDescent="0.25">
      <c r="A64" s="14" t="s">
        <v>824</v>
      </c>
      <c r="B64" s="18">
        <v>7.6173027014476481E-4</v>
      </c>
    </row>
    <row r="65" spans="1:2" x14ac:dyDescent="0.25">
      <c r="A65" s="14" t="s">
        <v>996</v>
      </c>
      <c r="B65" s="18">
        <v>7.4903222283035514E-4</v>
      </c>
    </row>
    <row r="66" spans="1:2" x14ac:dyDescent="0.25">
      <c r="A66" s="14" t="s">
        <v>1269</v>
      </c>
      <c r="B66" s="18">
        <v>7.1585302262876889E-4</v>
      </c>
    </row>
    <row r="67" spans="1:2" x14ac:dyDescent="0.25">
      <c r="A67" s="14" t="s">
        <v>1055</v>
      </c>
      <c r="B67" s="18">
        <v>6.8562662465690785E-4</v>
      </c>
    </row>
    <row r="68" spans="1:2" x14ac:dyDescent="0.25">
      <c r="A68" s="14" t="s">
        <v>890</v>
      </c>
      <c r="B68" s="18">
        <v>6.5915512826061223E-4</v>
      </c>
    </row>
    <row r="69" spans="1:2" x14ac:dyDescent="0.25">
      <c r="A69" s="14" t="s">
        <v>1112</v>
      </c>
      <c r="B69" s="18">
        <v>6.017377434536685E-4</v>
      </c>
    </row>
    <row r="70" spans="1:2" x14ac:dyDescent="0.25">
      <c r="A70" s="14" t="s">
        <v>1169</v>
      </c>
      <c r="B70" s="18">
        <v>5.0750686430005472E-4</v>
      </c>
    </row>
    <row r="71" spans="1:2" x14ac:dyDescent="0.25">
      <c r="A71" s="14" t="s">
        <v>832</v>
      </c>
      <c r="B71" s="18">
        <v>4.8756192357581079E-4</v>
      </c>
    </row>
    <row r="72" spans="1:2" x14ac:dyDescent="0.25">
      <c r="A72" s="14" t="s">
        <v>1311</v>
      </c>
      <c r="B72" s="18">
        <v>3.9168625406955617E-4</v>
      </c>
    </row>
    <row r="73" spans="1:2" x14ac:dyDescent="0.25">
      <c r="A73" s="14" t="s">
        <v>928</v>
      </c>
      <c r="B73" s="18">
        <v>3.5945056430516405E-4</v>
      </c>
    </row>
    <row r="74" spans="1:2" x14ac:dyDescent="0.25">
      <c r="A74" s="14" t="s">
        <v>1041</v>
      </c>
      <c r="B74" s="19">
        <v>3.3345893743361458E-4</v>
      </c>
    </row>
    <row r="75" spans="1:2" x14ac:dyDescent="0.25">
      <c r="A75" s="14" t="s">
        <v>982</v>
      </c>
      <c r="B75" s="19">
        <v>3.2867514952442415E-4</v>
      </c>
    </row>
    <row r="76" spans="1:2" x14ac:dyDescent="0.25">
      <c r="A76" s="14" t="s">
        <v>1272</v>
      </c>
      <c r="B76" s="19">
        <v>3.0567153079637857E-4</v>
      </c>
    </row>
    <row r="77" spans="1:2" x14ac:dyDescent="0.25">
      <c r="A77" s="14" t="s">
        <v>1078</v>
      </c>
      <c r="B77" s="19">
        <v>2.9052974690696372E-4</v>
      </c>
    </row>
    <row r="78" spans="1:2" x14ac:dyDescent="0.25">
      <c r="A78" s="14" t="s">
        <v>1172</v>
      </c>
      <c r="B78" s="19">
        <v>2.5580363311188841E-4</v>
      </c>
    </row>
    <row r="79" spans="1:2" x14ac:dyDescent="0.25">
      <c r="A79" s="14" t="s">
        <v>991</v>
      </c>
      <c r="B79" s="19">
        <v>2.190680170720479E-4</v>
      </c>
    </row>
    <row r="80" spans="1:2" x14ac:dyDescent="0.25">
      <c r="A80" s="14" t="s">
        <v>1353</v>
      </c>
      <c r="B80" s="19">
        <v>2.155041237744057E-4</v>
      </c>
    </row>
    <row r="81" spans="1:2" x14ac:dyDescent="0.25">
      <c r="A81" s="14" t="s">
        <v>1167</v>
      </c>
      <c r="B81" s="19">
        <v>1.7842717983070723E-4</v>
      </c>
    </row>
    <row r="82" spans="1:2" x14ac:dyDescent="0.25">
      <c r="A82" s="14" t="s">
        <v>1196</v>
      </c>
      <c r="B82" s="19">
        <v>1.7266156453751413E-4</v>
      </c>
    </row>
    <row r="83" spans="1:2" x14ac:dyDescent="0.25">
      <c r="A83" s="14" t="s">
        <v>842</v>
      </c>
      <c r="B83" s="19">
        <v>1.5192821301275982E-4</v>
      </c>
    </row>
    <row r="84" spans="1:2" x14ac:dyDescent="0.25">
      <c r="A84" s="14" t="s">
        <v>848</v>
      </c>
      <c r="B84" s="19">
        <v>1.3718008643278114E-4</v>
      </c>
    </row>
    <row r="85" spans="1:2" x14ac:dyDescent="0.25">
      <c r="A85" s="14" t="s">
        <v>1075</v>
      </c>
      <c r="B85" s="19">
        <v>1.0204166377024723E-4</v>
      </c>
    </row>
    <row r="86" spans="1:2" x14ac:dyDescent="0.25">
      <c r="A86" s="14" t="s">
        <v>1334</v>
      </c>
      <c r="B86" s="19">
        <v>9.7228035564244215E-5</v>
      </c>
    </row>
    <row r="87" spans="1:2" x14ac:dyDescent="0.25">
      <c r="A87" s="14" t="s">
        <v>1045</v>
      </c>
      <c r="B87" s="20">
        <v>8.0434697570378125E-5</v>
      </c>
    </row>
    <row r="88" spans="1:2" x14ac:dyDescent="0.25">
      <c r="A88" s="14" t="s">
        <v>736</v>
      </c>
      <c r="B88" s="20">
        <v>2.9254917517711304E-5</v>
      </c>
    </row>
    <row r="89" spans="1:2" x14ac:dyDescent="0.25">
      <c r="A89" s="14" t="s">
        <v>788</v>
      </c>
      <c r="B89" s="20">
        <v>1.9690862656712292E-5</v>
      </c>
    </row>
    <row r="90" spans="1:2" x14ac:dyDescent="0.25">
      <c r="A90" s="14" t="s">
        <v>846</v>
      </c>
      <c r="B90" s="20">
        <v>3.1740826890462578E-6</v>
      </c>
    </row>
    <row r="91" spans="1:2" x14ac:dyDescent="0.25">
      <c r="A91" s="11" t="s">
        <v>731</v>
      </c>
      <c r="B91" s="17">
        <v>0.1565667978107374</v>
      </c>
    </row>
    <row r="92" spans="1:2" x14ac:dyDescent="0.25">
      <c r="A92" s="11" t="s">
        <v>728</v>
      </c>
      <c r="B92" s="17">
        <v>0.14787496288103538</v>
      </c>
    </row>
    <row r="93" spans="1:2" x14ac:dyDescent="0.25">
      <c r="A93" s="11" t="s">
        <v>732</v>
      </c>
      <c r="B93" s="17">
        <v>0.14193197910444669</v>
      </c>
    </row>
    <row r="94" spans="1:2" x14ac:dyDescent="0.25">
      <c r="A94" s="11" t="s">
        <v>727</v>
      </c>
      <c r="B94" s="17">
        <v>0.14142820181333834</v>
      </c>
    </row>
    <row r="95" spans="1:2" x14ac:dyDescent="0.25">
      <c r="A95" s="11" t="s">
        <v>730</v>
      </c>
      <c r="B95" s="17">
        <v>0.12799535189595346</v>
      </c>
    </row>
    <row r="96" spans="1:2" x14ac:dyDescent="0.25">
      <c r="A96" s="11" t="s">
        <v>733</v>
      </c>
      <c r="B96" s="17">
        <v>0.12184716946452283</v>
      </c>
    </row>
    <row r="97" spans="1:2" x14ac:dyDescent="0.25">
      <c r="A97" s="11" t="s">
        <v>1432</v>
      </c>
      <c r="B97" s="17">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workbookViewId="0">
      <selection activeCell="A2" sqref="A2"/>
    </sheetView>
  </sheetViews>
  <sheetFormatPr defaultRowHeight="15" x14ac:dyDescent="0.25"/>
  <cols>
    <col min="1" max="1" width="17.42578125" customWidth="1"/>
    <col min="2" max="2" width="21.140625" customWidth="1"/>
  </cols>
  <sheetData>
    <row r="1" spans="1:2" x14ac:dyDescent="0.25">
      <c r="A1" s="10" t="s">
        <v>1431</v>
      </c>
      <c r="B1" t="s">
        <v>1440</v>
      </c>
    </row>
    <row r="2" spans="1:2" x14ac:dyDescent="0.25">
      <c r="A2" s="11" t="s">
        <v>655</v>
      </c>
      <c r="B2" s="6">
        <v>1037432.45522</v>
      </c>
    </row>
    <row r="3" spans="1:2" x14ac:dyDescent="0.25">
      <c r="A3" s="14" t="s">
        <v>1433</v>
      </c>
      <c r="B3" s="6">
        <v>377332.38418000005</v>
      </c>
    </row>
    <row r="4" spans="1:2" x14ac:dyDescent="0.25">
      <c r="A4" s="14" t="s">
        <v>1438</v>
      </c>
      <c r="B4" s="6">
        <v>306190.48611</v>
      </c>
    </row>
    <row r="5" spans="1:2" x14ac:dyDescent="0.25">
      <c r="A5" s="14" t="s">
        <v>1439</v>
      </c>
      <c r="B5" s="6">
        <v>353909.58493000001</v>
      </c>
    </row>
    <row r="6" spans="1:2" x14ac:dyDescent="0.25">
      <c r="A6" s="11" t="s">
        <v>653</v>
      </c>
      <c r="B6" s="6">
        <v>882622.97853999992</v>
      </c>
    </row>
    <row r="7" spans="1:2" x14ac:dyDescent="0.25">
      <c r="A7" s="14" t="s">
        <v>1433</v>
      </c>
      <c r="B7" s="6">
        <v>249507.26559999993</v>
      </c>
    </row>
    <row r="8" spans="1:2" x14ac:dyDescent="0.25">
      <c r="A8" s="14" t="s">
        <v>1438</v>
      </c>
      <c r="B8" s="6">
        <v>356412.15492999996</v>
      </c>
    </row>
    <row r="9" spans="1:2" x14ac:dyDescent="0.25">
      <c r="A9" s="14" t="s">
        <v>1439</v>
      </c>
      <c r="B9" s="6">
        <v>276703.55801000004</v>
      </c>
    </row>
    <row r="10" spans="1:2" x14ac:dyDescent="0.25">
      <c r="A10" s="11" t="s">
        <v>659</v>
      </c>
      <c r="B10" s="6">
        <v>894790.37817000004</v>
      </c>
    </row>
    <row r="11" spans="1:2" x14ac:dyDescent="0.25">
      <c r="A11" s="14" t="s">
        <v>1433</v>
      </c>
      <c r="B11" s="6">
        <v>278199.24864000001</v>
      </c>
    </row>
    <row r="12" spans="1:2" x14ac:dyDescent="0.25">
      <c r="A12" s="14" t="s">
        <v>1438</v>
      </c>
      <c r="B12" s="6">
        <v>431317.10412000003</v>
      </c>
    </row>
    <row r="13" spans="1:2" x14ac:dyDescent="0.25">
      <c r="A13" s="14" t="s">
        <v>1439</v>
      </c>
      <c r="B13" s="6">
        <v>185274.02541</v>
      </c>
    </row>
    <row r="14" spans="1:2" x14ac:dyDescent="0.25">
      <c r="A14" s="11" t="s">
        <v>657</v>
      </c>
      <c r="B14" s="6">
        <v>758280.91688999999</v>
      </c>
    </row>
    <row r="15" spans="1:2" x14ac:dyDescent="0.25">
      <c r="A15" s="14" t="s">
        <v>1433</v>
      </c>
      <c r="B15" s="6">
        <v>269344.22398999997</v>
      </c>
    </row>
    <row r="16" spans="1:2" x14ac:dyDescent="0.25">
      <c r="A16" s="14" t="s">
        <v>1438</v>
      </c>
      <c r="B16" s="6">
        <v>332686.45244000002</v>
      </c>
    </row>
    <row r="17" spans="1:2" x14ac:dyDescent="0.25">
      <c r="A17" s="14" t="s">
        <v>1439</v>
      </c>
      <c r="B17" s="6">
        <v>156250.24046000003</v>
      </c>
    </row>
    <row r="18" spans="1:2" x14ac:dyDescent="0.25">
      <c r="A18" s="11" t="s">
        <v>656</v>
      </c>
      <c r="B18" s="6">
        <v>929424.8882200002</v>
      </c>
    </row>
    <row r="19" spans="1:2" x14ac:dyDescent="0.25">
      <c r="A19" s="14" t="s">
        <v>1433</v>
      </c>
      <c r="B19" s="6">
        <v>369878.67229000002</v>
      </c>
    </row>
    <row r="20" spans="1:2" x14ac:dyDescent="0.25">
      <c r="A20" s="14" t="s">
        <v>1438</v>
      </c>
      <c r="B20" s="6">
        <v>383309.25282000011</v>
      </c>
    </row>
    <row r="21" spans="1:2" x14ac:dyDescent="0.25">
      <c r="A21" s="14" t="s">
        <v>1439</v>
      </c>
      <c r="B21" s="6">
        <v>176236.96311000001</v>
      </c>
    </row>
    <row r="22" spans="1:2" x14ac:dyDescent="0.25">
      <c r="A22" s="11" t="s">
        <v>654</v>
      </c>
      <c r="B22" s="6">
        <v>1091932.6467800001</v>
      </c>
    </row>
    <row r="23" spans="1:2" x14ac:dyDescent="0.25">
      <c r="A23" s="14" t="s">
        <v>1433</v>
      </c>
      <c r="B23" s="6">
        <v>514768.09837999998</v>
      </c>
    </row>
    <row r="24" spans="1:2" x14ac:dyDescent="0.25">
      <c r="A24" s="14" t="s">
        <v>1438</v>
      </c>
      <c r="B24" s="6">
        <v>365031.56606999994</v>
      </c>
    </row>
    <row r="25" spans="1:2" x14ac:dyDescent="0.25">
      <c r="A25" s="14" t="s">
        <v>1439</v>
      </c>
      <c r="B25" s="6">
        <v>212132.98233000003</v>
      </c>
    </row>
    <row r="26" spans="1:2" x14ac:dyDescent="0.25">
      <c r="A26" s="11" t="s">
        <v>652</v>
      </c>
      <c r="B26" s="6">
        <v>854748.89269999985</v>
      </c>
    </row>
    <row r="27" spans="1:2" x14ac:dyDescent="0.25">
      <c r="A27" s="14" t="s">
        <v>1433</v>
      </c>
      <c r="B27" s="6">
        <v>196462.92158999998</v>
      </c>
    </row>
    <row r="28" spans="1:2" x14ac:dyDescent="0.25">
      <c r="A28" s="14" t="s">
        <v>1438</v>
      </c>
      <c r="B28" s="6">
        <v>370401.94354999997</v>
      </c>
    </row>
    <row r="29" spans="1:2" x14ac:dyDescent="0.25">
      <c r="A29" s="14" t="s">
        <v>1439</v>
      </c>
      <c r="B29" s="6">
        <v>287884.02755999996</v>
      </c>
    </row>
    <row r="30" spans="1:2" x14ac:dyDescent="0.25">
      <c r="A30" s="11" t="s">
        <v>650</v>
      </c>
      <c r="B30" s="6">
        <v>936159.62260999996</v>
      </c>
    </row>
    <row r="31" spans="1:2" x14ac:dyDescent="0.25">
      <c r="A31" s="14" t="s">
        <v>1433</v>
      </c>
      <c r="B31" s="6">
        <v>240106.07745000001</v>
      </c>
    </row>
    <row r="32" spans="1:2" x14ac:dyDescent="0.25">
      <c r="A32" s="14" t="s">
        <v>1438</v>
      </c>
      <c r="B32" s="6">
        <v>549520.26327999996</v>
      </c>
    </row>
    <row r="33" spans="1:2" x14ac:dyDescent="0.25">
      <c r="A33" s="14" t="s">
        <v>1439</v>
      </c>
      <c r="B33" s="6">
        <v>146533.28188000002</v>
      </c>
    </row>
    <row r="34" spans="1:2" x14ac:dyDescent="0.25">
      <c r="A34" s="11" t="s">
        <v>651</v>
      </c>
      <c r="B34" s="6">
        <v>881838.67690999992</v>
      </c>
    </row>
    <row r="35" spans="1:2" x14ac:dyDescent="0.25">
      <c r="A35" s="14" t="s">
        <v>1433</v>
      </c>
      <c r="B35" s="6">
        <v>263244.54461999994</v>
      </c>
    </row>
    <row r="36" spans="1:2" x14ac:dyDescent="0.25">
      <c r="A36" s="14" t="s">
        <v>1438</v>
      </c>
      <c r="B36" s="6">
        <v>276445.19975999999</v>
      </c>
    </row>
    <row r="37" spans="1:2" x14ac:dyDescent="0.25">
      <c r="A37" s="14" t="s">
        <v>1439</v>
      </c>
      <c r="B37" s="6">
        <v>342148.93253000005</v>
      </c>
    </row>
    <row r="38" spans="1:2" x14ac:dyDescent="0.25">
      <c r="A38" s="11" t="s">
        <v>661</v>
      </c>
      <c r="B38" s="6">
        <v>779637.54197999998</v>
      </c>
    </row>
    <row r="39" spans="1:2" x14ac:dyDescent="0.25">
      <c r="A39" s="14" t="s">
        <v>1433</v>
      </c>
      <c r="B39" s="6">
        <v>364401.34184000001</v>
      </c>
    </row>
    <row r="40" spans="1:2" x14ac:dyDescent="0.25">
      <c r="A40" s="14" t="s">
        <v>1438</v>
      </c>
      <c r="B40" s="6">
        <v>191518.50866999998</v>
      </c>
    </row>
    <row r="41" spans="1:2" x14ac:dyDescent="0.25">
      <c r="A41" s="14" t="s">
        <v>1439</v>
      </c>
      <c r="B41" s="6">
        <v>223717.69146999999</v>
      </c>
    </row>
    <row r="42" spans="1:2" x14ac:dyDescent="0.25">
      <c r="A42" s="11" t="s">
        <v>658</v>
      </c>
      <c r="B42" s="6">
        <v>1113282.1309</v>
      </c>
    </row>
    <row r="43" spans="1:2" x14ac:dyDescent="0.25">
      <c r="A43" s="14" t="s">
        <v>1433</v>
      </c>
      <c r="B43" s="6">
        <v>276400.40976000001</v>
      </c>
    </row>
    <row r="44" spans="1:2" x14ac:dyDescent="0.25">
      <c r="A44" s="14" t="s">
        <v>1438</v>
      </c>
      <c r="B44" s="6">
        <v>507901.41704000003</v>
      </c>
    </row>
    <row r="45" spans="1:2" x14ac:dyDescent="0.25">
      <c r="A45" s="14" t="s">
        <v>1439</v>
      </c>
      <c r="B45" s="6">
        <v>328980.30410000001</v>
      </c>
    </row>
    <row r="46" spans="1:2" x14ac:dyDescent="0.25">
      <c r="A46" s="11" t="s">
        <v>660</v>
      </c>
      <c r="B46" s="6">
        <v>768694.58757999993</v>
      </c>
    </row>
    <row r="47" spans="1:2" x14ac:dyDescent="0.25">
      <c r="A47" s="14" t="s">
        <v>1433</v>
      </c>
      <c r="B47" s="6">
        <v>288079.88713000005</v>
      </c>
    </row>
    <row r="48" spans="1:2" x14ac:dyDescent="0.25">
      <c r="A48" s="14" t="s">
        <v>1438</v>
      </c>
      <c r="B48" s="6">
        <v>396688.46359</v>
      </c>
    </row>
    <row r="49" spans="1:2" x14ac:dyDescent="0.25">
      <c r="A49" s="14" t="s">
        <v>1439</v>
      </c>
      <c r="B49" s="6">
        <v>83926.23685999999</v>
      </c>
    </row>
    <row r="50" spans="1:2" x14ac:dyDescent="0.25">
      <c r="A50" s="11" t="s">
        <v>1432</v>
      </c>
      <c r="B50" s="6">
        <v>10928845.716499999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3" sqref="B3"/>
    </sheetView>
  </sheetViews>
  <sheetFormatPr defaultRowHeight="15" x14ac:dyDescent="0.25"/>
  <cols>
    <col min="1" max="1" width="13.140625" customWidth="1"/>
    <col min="2" max="2" width="21.140625" customWidth="1"/>
  </cols>
  <sheetData>
    <row r="3" spans="1:2" x14ac:dyDescent="0.25">
      <c r="A3" s="10" t="s">
        <v>1431</v>
      </c>
      <c r="B3" t="s">
        <v>1440</v>
      </c>
    </row>
    <row r="4" spans="1:2" x14ac:dyDescent="0.25">
      <c r="A4" s="11" t="s">
        <v>646</v>
      </c>
      <c r="B4" s="21">
        <v>2597635.8415000006</v>
      </c>
    </row>
    <row r="5" spans="1:2" x14ac:dyDescent="0.25">
      <c r="A5" s="11" t="s">
        <v>648</v>
      </c>
      <c r="B5" s="21">
        <v>2688750.0213399995</v>
      </c>
    </row>
    <row r="6" spans="1:2" x14ac:dyDescent="0.25">
      <c r="A6" s="11" t="s">
        <v>647</v>
      </c>
      <c r="B6" s="21">
        <v>2841471.9176500016</v>
      </c>
    </row>
    <row r="7" spans="1:2" x14ac:dyDescent="0.25">
      <c r="A7" s="11" t="s">
        <v>649</v>
      </c>
      <c r="B7" s="21">
        <v>2800987.9360100003</v>
      </c>
    </row>
    <row r="8" spans="1:2" x14ac:dyDescent="0.25">
      <c r="A8" s="11" t="s">
        <v>1432</v>
      </c>
      <c r="B8" s="21">
        <v>10928845.716500003</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V635"/>
  <sheetViews>
    <sheetView workbookViewId="0">
      <selection activeCell="I13" sqref="I13:V13"/>
      <pivotSelection pane="bottomRight" showHeader="1" extendable="1" axis="axisRow" start="1" max="17" activeRow="12" activeCol="8" previousRow="12" previousCol="8" click="1" r:id="rId3">
        <pivotArea dataOnly="0" fieldPosition="0">
          <references count="1">
            <reference field="9" count="1">
              <x v="1"/>
            </reference>
          </references>
        </pivotArea>
      </pivotSelection>
    </sheetView>
  </sheetViews>
  <sheetFormatPr defaultRowHeight="15" x14ac:dyDescent="0.25"/>
  <cols>
    <col min="1" max="1" width="13.140625" customWidth="1"/>
    <col min="2" max="2" width="17.85546875" customWidth="1"/>
    <col min="3" max="3" width="16.140625" bestFit="1" customWidth="1"/>
    <col min="5" max="5" width="16.42578125" customWidth="1"/>
    <col min="6" max="6" width="19.5703125" bestFit="1" customWidth="1"/>
    <col min="9" max="9" width="16.140625" customWidth="1"/>
    <col min="10" max="10" width="16.28515625" customWidth="1"/>
    <col min="11" max="11" width="4.28515625" customWidth="1"/>
    <col min="12" max="12" width="4.5703125" customWidth="1"/>
    <col min="13" max="13" width="4.140625" customWidth="1"/>
    <col min="14" max="14" width="4.85546875" customWidth="1"/>
    <col min="15" max="15" width="4" customWidth="1"/>
    <col min="16" max="16" width="3.42578125" customWidth="1"/>
    <col min="17" max="17" width="4.42578125" customWidth="1"/>
    <col min="18" max="18" width="4.28515625" customWidth="1"/>
    <col min="19" max="19" width="4" customWidth="1"/>
    <col min="20" max="20" width="4.5703125" customWidth="1"/>
    <col min="21" max="21" width="4.28515625" customWidth="1"/>
    <col min="22" max="22" width="11.28515625" bestFit="1" customWidth="1"/>
  </cols>
  <sheetData>
    <row r="3" spans="1:22" x14ac:dyDescent="0.25">
      <c r="A3" s="10" t="s">
        <v>1431</v>
      </c>
      <c r="B3" s="10" t="s">
        <v>1443</v>
      </c>
      <c r="C3" t="s">
        <v>1442</v>
      </c>
      <c r="E3" s="10" t="s">
        <v>1431</v>
      </c>
      <c r="F3" t="s">
        <v>1444</v>
      </c>
    </row>
    <row r="4" spans="1:22" x14ac:dyDescent="0.25">
      <c r="A4" s="11" t="s">
        <v>720</v>
      </c>
      <c r="B4" s="6">
        <v>282234.27373000002</v>
      </c>
      <c r="C4" s="6">
        <v>46</v>
      </c>
      <c r="E4" s="11" t="s">
        <v>620</v>
      </c>
      <c r="F4" s="6">
        <v>13856.52411</v>
      </c>
    </row>
    <row r="5" spans="1:22" x14ac:dyDescent="0.25">
      <c r="A5" s="11" t="s">
        <v>717</v>
      </c>
      <c r="B5" s="6">
        <v>315969.97084999998</v>
      </c>
      <c r="C5" s="6">
        <v>48</v>
      </c>
      <c r="E5" s="11" t="s">
        <v>464</v>
      </c>
      <c r="F5" s="6">
        <v>12462.65055</v>
      </c>
    </row>
    <row r="6" spans="1:22" x14ac:dyDescent="0.25">
      <c r="A6" s="11" t="s">
        <v>712</v>
      </c>
      <c r="B6" s="6">
        <v>230359.52458999999</v>
      </c>
      <c r="C6" s="6">
        <v>37</v>
      </c>
      <c r="E6" s="11" t="s">
        <v>22</v>
      </c>
      <c r="F6" s="6">
        <v>685.06776000000002</v>
      </c>
    </row>
    <row r="7" spans="1:22" x14ac:dyDescent="0.25">
      <c r="A7" s="11" t="s">
        <v>726</v>
      </c>
      <c r="B7" s="6">
        <v>180249.25115000005</v>
      </c>
      <c r="C7" s="6">
        <v>38</v>
      </c>
      <c r="E7" s="11" t="s">
        <v>533</v>
      </c>
      <c r="F7" s="6">
        <v>855.72881999999993</v>
      </c>
    </row>
    <row r="8" spans="1:22" x14ac:dyDescent="0.25">
      <c r="A8" s="11" t="s">
        <v>718</v>
      </c>
      <c r="B8" s="6">
        <v>204981.34053000004</v>
      </c>
      <c r="C8" s="6">
        <v>34</v>
      </c>
      <c r="E8" s="11" t="s">
        <v>588</v>
      </c>
      <c r="F8" s="6">
        <v>14466.95104</v>
      </c>
    </row>
    <row r="9" spans="1:22" x14ac:dyDescent="0.25">
      <c r="A9" s="11" t="s">
        <v>721</v>
      </c>
      <c r="B9" s="6">
        <v>251733.01232000004</v>
      </c>
      <c r="C9" s="6">
        <v>51</v>
      </c>
      <c r="E9" s="11" t="s">
        <v>61</v>
      </c>
      <c r="F9" s="6">
        <v>7135.57</v>
      </c>
    </row>
    <row r="10" spans="1:22" x14ac:dyDescent="0.25">
      <c r="A10" s="11" t="s">
        <v>715</v>
      </c>
      <c r="B10" s="6">
        <v>172441.87305000005</v>
      </c>
      <c r="C10" s="6">
        <v>30</v>
      </c>
      <c r="E10" s="11" t="s">
        <v>382</v>
      </c>
      <c r="F10" s="6">
        <v>13784.586000000001</v>
      </c>
      <c r="I10" s="10" t="s">
        <v>1442</v>
      </c>
      <c r="J10" s="10" t="s">
        <v>1445</v>
      </c>
    </row>
    <row r="11" spans="1:22" x14ac:dyDescent="0.25">
      <c r="A11" s="11" t="s">
        <v>722</v>
      </c>
      <c r="B11" s="6">
        <v>199722.29030999995</v>
      </c>
      <c r="C11" s="6">
        <v>45</v>
      </c>
      <c r="E11" s="11" t="s">
        <v>216</v>
      </c>
      <c r="F11" s="6">
        <v>25299.040000000001</v>
      </c>
      <c r="I11" s="10" t="s">
        <v>1446</v>
      </c>
      <c r="J11" s="22" t="s">
        <v>1447</v>
      </c>
      <c r="K11" s="22" t="s">
        <v>1448</v>
      </c>
      <c r="L11" s="22" t="s">
        <v>1449</v>
      </c>
      <c r="M11" s="22" t="s">
        <v>1450</v>
      </c>
      <c r="N11" s="22" t="s">
        <v>1451</v>
      </c>
      <c r="O11" s="22" t="s">
        <v>1452</v>
      </c>
      <c r="P11" s="22" t="s">
        <v>1453</v>
      </c>
      <c r="Q11" s="22" t="s">
        <v>1454</v>
      </c>
      <c r="R11" s="22" t="s">
        <v>1455</v>
      </c>
      <c r="S11" s="22" t="s">
        <v>1456</v>
      </c>
      <c r="T11" s="22" t="s">
        <v>1457</v>
      </c>
      <c r="U11" s="22" t="s">
        <v>1458</v>
      </c>
      <c r="V11" s="22" t="s">
        <v>1432</v>
      </c>
    </row>
    <row r="12" spans="1:22" x14ac:dyDescent="0.25">
      <c r="A12" s="11" t="s">
        <v>714</v>
      </c>
      <c r="B12" s="6">
        <v>152151.64569999996</v>
      </c>
      <c r="C12" s="6">
        <v>38</v>
      </c>
      <c r="E12" s="11" t="s">
        <v>566</v>
      </c>
      <c r="F12" s="6">
        <v>18830.12472</v>
      </c>
      <c r="I12" s="11" t="s">
        <v>720</v>
      </c>
      <c r="J12" s="6">
        <v>5</v>
      </c>
      <c r="K12" s="6">
        <v>3</v>
      </c>
      <c r="L12" s="6">
        <v>2</v>
      </c>
      <c r="M12" s="6">
        <v>7</v>
      </c>
      <c r="N12" s="6">
        <v>6</v>
      </c>
      <c r="O12" s="6">
        <v>6</v>
      </c>
      <c r="P12" s="6">
        <v>3</v>
      </c>
      <c r="Q12" s="6">
        <v>4</v>
      </c>
      <c r="R12" s="6">
        <v>3</v>
      </c>
      <c r="S12" s="6">
        <v>2</v>
      </c>
      <c r="T12" s="6">
        <v>2</v>
      </c>
      <c r="U12" s="6">
        <v>3</v>
      </c>
      <c r="V12" s="6">
        <v>46</v>
      </c>
    </row>
    <row r="13" spans="1:22" x14ac:dyDescent="0.25">
      <c r="A13" s="11" t="s">
        <v>713</v>
      </c>
      <c r="B13" s="6">
        <v>273113.11228</v>
      </c>
      <c r="C13" s="6">
        <v>50</v>
      </c>
      <c r="E13" s="11" t="s">
        <v>339</v>
      </c>
      <c r="F13" s="6">
        <v>9829.0483199999999</v>
      </c>
      <c r="I13" s="11" t="s">
        <v>717</v>
      </c>
      <c r="J13" s="6">
        <v>9</v>
      </c>
      <c r="K13" s="6">
        <v>3</v>
      </c>
      <c r="L13" s="6">
        <v>3</v>
      </c>
      <c r="M13" s="6">
        <v>3</v>
      </c>
      <c r="N13" s="6">
        <v>4</v>
      </c>
      <c r="O13" s="6">
        <v>2</v>
      </c>
      <c r="P13" s="6">
        <v>6</v>
      </c>
      <c r="Q13" s="6">
        <v>5</v>
      </c>
      <c r="R13" s="6">
        <v>5</v>
      </c>
      <c r="S13" s="6">
        <v>2</v>
      </c>
      <c r="T13" s="6">
        <v>2</v>
      </c>
      <c r="U13" s="6">
        <v>4</v>
      </c>
      <c r="V13" s="6">
        <v>48</v>
      </c>
    </row>
    <row r="14" spans="1:22" x14ac:dyDescent="0.25">
      <c r="A14" s="11" t="s">
        <v>723</v>
      </c>
      <c r="B14" s="6">
        <v>278762.26935999998</v>
      </c>
      <c r="C14" s="6">
        <v>44</v>
      </c>
      <c r="E14" s="11" t="s">
        <v>453</v>
      </c>
      <c r="F14" s="6">
        <v>2795.6384399999997</v>
      </c>
      <c r="I14" s="11" t="s">
        <v>712</v>
      </c>
      <c r="J14" s="6">
        <v>2</v>
      </c>
      <c r="K14" s="6">
        <v>3</v>
      </c>
      <c r="L14" s="6">
        <v>6</v>
      </c>
      <c r="M14" s="6">
        <v>3</v>
      </c>
      <c r="N14" s="6">
        <v>4</v>
      </c>
      <c r="O14" s="6">
        <v>5</v>
      </c>
      <c r="P14" s="6">
        <v>3</v>
      </c>
      <c r="Q14" s="6">
        <v>2</v>
      </c>
      <c r="R14" s="6">
        <v>2</v>
      </c>
      <c r="S14" s="6">
        <v>3</v>
      </c>
      <c r="T14" s="6">
        <v>2</v>
      </c>
      <c r="U14" s="6">
        <v>2</v>
      </c>
      <c r="V14" s="6">
        <v>37</v>
      </c>
    </row>
    <row r="15" spans="1:22" x14ac:dyDescent="0.25">
      <c r="A15" s="11" t="s">
        <v>716</v>
      </c>
      <c r="B15" s="6">
        <v>270154.73105000006</v>
      </c>
      <c r="C15" s="6">
        <v>46</v>
      </c>
      <c r="E15" s="11" t="s">
        <v>181</v>
      </c>
      <c r="F15" s="6">
        <v>14448.298699999998</v>
      </c>
      <c r="I15" s="11" t="s">
        <v>726</v>
      </c>
      <c r="J15" s="6">
        <v>3</v>
      </c>
      <c r="K15" s="6">
        <v>6</v>
      </c>
      <c r="L15" s="6">
        <v>3</v>
      </c>
      <c r="M15" s="6">
        <v>4</v>
      </c>
      <c r="N15" s="6">
        <v>2</v>
      </c>
      <c r="O15" s="6">
        <v>2</v>
      </c>
      <c r="P15" s="6">
        <v>3</v>
      </c>
      <c r="Q15" s="6">
        <v>4</v>
      </c>
      <c r="R15" s="6">
        <v>5</v>
      </c>
      <c r="S15" s="6"/>
      <c r="T15" s="6">
        <v>1</v>
      </c>
      <c r="U15" s="6">
        <v>5</v>
      </c>
      <c r="V15" s="6">
        <v>38</v>
      </c>
    </row>
    <row r="16" spans="1:22" x14ac:dyDescent="0.25">
      <c r="A16" s="11" t="s">
        <v>724</v>
      </c>
      <c r="B16" s="6">
        <v>313054.76714999985</v>
      </c>
      <c r="C16" s="6">
        <v>48</v>
      </c>
      <c r="E16" s="11" t="s">
        <v>95</v>
      </c>
      <c r="F16" s="6">
        <v>60292.805299999993</v>
      </c>
      <c r="I16" s="11" t="s">
        <v>718</v>
      </c>
      <c r="J16" s="6">
        <v>4</v>
      </c>
      <c r="K16" s="6">
        <v>1</v>
      </c>
      <c r="L16" s="6">
        <v>3</v>
      </c>
      <c r="M16" s="6">
        <v>6</v>
      </c>
      <c r="N16" s="6">
        <v>5</v>
      </c>
      <c r="O16" s="6">
        <v>3</v>
      </c>
      <c r="P16" s="6">
        <v>1</v>
      </c>
      <c r="Q16" s="6">
        <v>4</v>
      </c>
      <c r="R16" s="6">
        <v>1</v>
      </c>
      <c r="S16" s="6">
        <v>2</v>
      </c>
      <c r="T16" s="6">
        <v>2</v>
      </c>
      <c r="U16" s="6">
        <v>2</v>
      </c>
      <c r="V16" s="6">
        <v>34</v>
      </c>
    </row>
    <row r="17" spans="1:22" x14ac:dyDescent="0.25">
      <c r="A17" s="11" t="s">
        <v>725</v>
      </c>
      <c r="B17" s="6">
        <v>110646.45659</v>
      </c>
      <c r="C17" s="6">
        <v>32</v>
      </c>
      <c r="E17" s="11" t="s">
        <v>376</v>
      </c>
      <c r="F17" s="6">
        <v>82514.711519999997</v>
      </c>
      <c r="I17" s="11" t="s">
        <v>721</v>
      </c>
      <c r="J17" s="6">
        <v>4</v>
      </c>
      <c r="K17" s="6">
        <v>4</v>
      </c>
      <c r="L17" s="6">
        <v>3</v>
      </c>
      <c r="M17" s="6">
        <v>4</v>
      </c>
      <c r="N17" s="6">
        <v>8</v>
      </c>
      <c r="O17" s="6">
        <v>5</v>
      </c>
      <c r="P17" s="6">
        <v>6</v>
      </c>
      <c r="Q17" s="6">
        <v>5</v>
      </c>
      <c r="R17" s="6">
        <v>2</v>
      </c>
      <c r="S17" s="6">
        <v>4</v>
      </c>
      <c r="T17" s="6">
        <v>3</v>
      </c>
      <c r="U17" s="6">
        <v>3</v>
      </c>
      <c r="V17" s="6">
        <v>51</v>
      </c>
    </row>
    <row r="18" spans="1:22" x14ac:dyDescent="0.25">
      <c r="A18" s="11" t="s">
        <v>719</v>
      </c>
      <c r="B18" s="6">
        <v>185219.43694000004</v>
      </c>
      <c r="C18" s="6">
        <v>37</v>
      </c>
      <c r="E18" s="11" t="s">
        <v>343</v>
      </c>
      <c r="F18" s="6">
        <v>27756.432000000001</v>
      </c>
      <c r="I18" s="11" t="s">
        <v>715</v>
      </c>
      <c r="J18" s="6">
        <v>5</v>
      </c>
      <c r="K18" s="6">
        <v>1</v>
      </c>
      <c r="L18" s="6">
        <v>7</v>
      </c>
      <c r="M18" s="6">
        <v>3</v>
      </c>
      <c r="N18" s="6">
        <v>3</v>
      </c>
      <c r="O18" s="6">
        <v>3</v>
      </c>
      <c r="P18" s="6">
        <v>4</v>
      </c>
      <c r="Q18" s="6">
        <v>1</v>
      </c>
      <c r="R18" s="6"/>
      <c r="S18" s="6">
        <v>1</v>
      </c>
      <c r="T18" s="6">
        <v>1</v>
      </c>
      <c r="U18" s="6">
        <v>1</v>
      </c>
      <c r="V18" s="6">
        <v>30</v>
      </c>
    </row>
    <row r="19" spans="1:22" x14ac:dyDescent="0.25">
      <c r="A19" s="11" t="s">
        <v>1459</v>
      </c>
      <c r="B19" s="6">
        <v>100098.00146999997</v>
      </c>
      <c r="C19" s="6">
        <v>8</v>
      </c>
      <c r="E19" s="11" t="s">
        <v>315</v>
      </c>
      <c r="F19" s="6">
        <v>9866.3104799999983</v>
      </c>
      <c r="I19" s="11" t="s">
        <v>722</v>
      </c>
      <c r="J19" s="6">
        <v>4</v>
      </c>
      <c r="K19" s="6">
        <v>5</v>
      </c>
      <c r="L19" s="6">
        <v>5</v>
      </c>
      <c r="M19" s="6">
        <v>4</v>
      </c>
      <c r="N19" s="6">
        <v>7</v>
      </c>
      <c r="O19" s="6">
        <v>5</v>
      </c>
      <c r="P19" s="6">
        <v>3</v>
      </c>
      <c r="Q19" s="6">
        <v>2</v>
      </c>
      <c r="R19" s="6">
        <v>2</v>
      </c>
      <c r="S19" s="6">
        <v>3</v>
      </c>
      <c r="T19" s="6">
        <v>3</v>
      </c>
      <c r="U19" s="6">
        <v>2</v>
      </c>
      <c r="V19" s="6">
        <v>45</v>
      </c>
    </row>
    <row r="20" spans="1:22" x14ac:dyDescent="0.25">
      <c r="A20" s="11" t="s">
        <v>1432</v>
      </c>
      <c r="B20" s="6">
        <v>3520891.9570699986</v>
      </c>
      <c r="C20" s="6">
        <v>632</v>
      </c>
      <c r="E20" s="11" t="s">
        <v>468</v>
      </c>
      <c r="F20" s="6">
        <v>23132.398349999996</v>
      </c>
      <c r="I20" s="11" t="s">
        <v>714</v>
      </c>
      <c r="J20" s="6">
        <v>2</v>
      </c>
      <c r="K20" s="6">
        <v>3</v>
      </c>
      <c r="L20" s="6">
        <v>7</v>
      </c>
      <c r="M20" s="6">
        <v>3</v>
      </c>
      <c r="N20" s="6">
        <v>1</v>
      </c>
      <c r="O20" s="6">
        <v>4</v>
      </c>
      <c r="P20" s="6">
        <v>5</v>
      </c>
      <c r="Q20" s="6">
        <v>5</v>
      </c>
      <c r="R20" s="6">
        <v>2</v>
      </c>
      <c r="S20" s="6">
        <v>4</v>
      </c>
      <c r="T20" s="6">
        <v>2</v>
      </c>
      <c r="U20" s="6"/>
      <c r="V20" s="6">
        <v>38</v>
      </c>
    </row>
    <row r="21" spans="1:22" x14ac:dyDescent="0.25">
      <c r="E21" s="11" t="s">
        <v>592</v>
      </c>
      <c r="F21" s="6">
        <v>6732.4334000000008</v>
      </c>
      <c r="I21" s="11" t="s">
        <v>713</v>
      </c>
      <c r="J21" s="6">
        <v>2</v>
      </c>
      <c r="K21" s="6"/>
      <c r="L21" s="6">
        <v>5</v>
      </c>
      <c r="M21" s="6">
        <v>2</v>
      </c>
      <c r="N21" s="6">
        <v>6</v>
      </c>
      <c r="O21" s="6">
        <v>7</v>
      </c>
      <c r="P21" s="6">
        <v>6</v>
      </c>
      <c r="Q21" s="6">
        <v>6</v>
      </c>
      <c r="R21" s="6">
        <v>5</v>
      </c>
      <c r="S21" s="6">
        <v>7</v>
      </c>
      <c r="T21" s="6">
        <v>1</v>
      </c>
      <c r="U21" s="6">
        <v>3</v>
      </c>
      <c r="V21" s="6">
        <v>50</v>
      </c>
    </row>
    <row r="22" spans="1:22" x14ac:dyDescent="0.25">
      <c r="E22" s="11" t="s">
        <v>208</v>
      </c>
      <c r="F22" s="6">
        <v>3928.3797600000003</v>
      </c>
      <c r="I22" s="11" t="s">
        <v>723</v>
      </c>
      <c r="J22" s="6">
        <v>2</v>
      </c>
      <c r="K22" s="6">
        <v>6</v>
      </c>
      <c r="L22" s="6">
        <v>4</v>
      </c>
      <c r="M22" s="6">
        <v>7</v>
      </c>
      <c r="N22" s="6">
        <v>7</v>
      </c>
      <c r="O22" s="6">
        <v>3</v>
      </c>
      <c r="P22" s="6">
        <v>1</v>
      </c>
      <c r="Q22" s="6">
        <v>3</v>
      </c>
      <c r="R22" s="6">
        <v>4</v>
      </c>
      <c r="S22" s="6">
        <v>1</v>
      </c>
      <c r="T22" s="6">
        <v>1</v>
      </c>
      <c r="U22" s="6">
        <v>5</v>
      </c>
      <c r="V22" s="6">
        <v>44</v>
      </c>
    </row>
    <row r="23" spans="1:22" x14ac:dyDescent="0.25">
      <c r="E23" s="11" t="s">
        <v>137</v>
      </c>
      <c r="F23" s="6">
        <v>16061.972879999999</v>
      </c>
      <c r="I23" s="11" t="s">
        <v>716</v>
      </c>
      <c r="J23" s="6">
        <v>3</v>
      </c>
      <c r="K23" s="6">
        <v>9</v>
      </c>
      <c r="L23" s="6">
        <v>3</v>
      </c>
      <c r="M23" s="6">
        <v>1</v>
      </c>
      <c r="N23" s="6">
        <v>5</v>
      </c>
      <c r="O23" s="6">
        <v>5</v>
      </c>
      <c r="P23" s="6">
        <v>1</v>
      </c>
      <c r="Q23" s="6">
        <v>4</v>
      </c>
      <c r="R23" s="6">
        <v>4</v>
      </c>
      <c r="S23" s="6">
        <v>2</v>
      </c>
      <c r="T23" s="6">
        <v>4</v>
      </c>
      <c r="U23" s="6">
        <v>5</v>
      </c>
      <c r="V23" s="6">
        <v>46</v>
      </c>
    </row>
    <row r="24" spans="1:22" x14ac:dyDescent="0.25">
      <c r="E24" s="11" t="s">
        <v>347</v>
      </c>
      <c r="F24" s="6">
        <v>5610.0923999999995</v>
      </c>
      <c r="I24" s="11" t="s">
        <v>724</v>
      </c>
      <c r="J24" s="6">
        <v>2</v>
      </c>
      <c r="K24" s="6">
        <v>3</v>
      </c>
      <c r="L24" s="6">
        <v>4</v>
      </c>
      <c r="M24" s="6">
        <v>6</v>
      </c>
      <c r="N24" s="6">
        <v>5</v>
      </c>
      <c r="O24" s="6">
        <v>8</v>
      </c>
      <c r="P24" s="6">
        <v>6</v>
      </c>
      <c r="Q24" s="6">
        <v>5</v>
      </c>
      <c r="R24" s="6">
        <v>2</v>
      </c>
      <c r="S24" s="6">
        <v>2</v>
      </c>
      <c r="T24" s="6">
        <v>2</v>
      </c>
      <c r="U24" s="6">
        <v>3</v>
      </c>
      <c r="V24" s="6">
        <v>48</v>
      </c>
    </row>
    <row r="25" spans="1:22" x14ac:dyDescent="0.25">
      <c r="E25" s="11" t="s">
        <v>454</v>
      </c>
      <c r="F25" s="6">
        <v>20672.289000000001</v>
      </c>
      <c r="I25" s="11" t="s">
        <v>725</v>
      </c>
      <c r="J25" s="6">
        <v>2</v>
      </c>
      <c r="K25" s="6">
        <v>2</v>
      </c>
      <c r="L25" s="6"/>
      <c r="M25" s="6">
        <v>7</v>
      </c>
      <c r="N25" s="6">
        <v>1</v>
      </c>
      <c r="O25" s="6">
        <v>3</v>
      </c>
      <c r="P25" s="6">
        <v>2</v>
      </c>
      <c r="Q25" s="6">
        <v>9</v>
      </c>
      <c r="R25" s="6">
        <v>3</v>
      </c>
      <c r="S25" s="6">
        <v>1</v>
      </c>
      <c r="T25" s="6"/>
      <c r="U25" s="6">
        <v>2</v>
      </c>
      <c r="V25" s="6">
        <v>32</v>
      </c>
    </row>
    <row r="26" spans="1:22" x14ac:dyDescent="0.25">
      <c r="E26" s="11" t="s">
        <v>472</v>
      </c>
      <c r="F26" s="6">
        <v>7643.2649999999994</v>
      </c>
      <c r="I26" s="11" t="s">
        <v>719</v>
      </c>
      <c r="J26" s="6">
        <v>4</v>
      </c>
      <c r="K26" s="6">
        <v>2</v>
      </c>
      <c r="L26" s="6">
        <v>3</v>
      </c>
      <c r="M26" s="6">
        <v>3</v>
      </c>
      <c r="N26" s="6">
        <v>3</v>
      </c>
      <c r="O26" s="6">
        <v>6</v>
      </c>
      <c r="P26" s="6">
        <v>1</v>
      </c>
      <c r="Q26" s="6">
        <v>4</v>
      </c>
      <c r="R26" s="6">
        <v>2</v>
      </c>
      <c r="S26" s="6">
        <v>4</v>
      </c>
      <c r="T26" s="6">
        <v>3</v>
      </c>
      <c r="U26" s="6">
        <v>2</v>
      </c>
      <c r="V26" s="6">
        <v>37</v>
      </c>
    </row>
    <row r="27" spans="1:22" x14ac:dyDescent="0.25">
      <c r="E27" s="11" t="s">
        <v>163</v>
      </c>
      <c r="F27" s="6">
        <v>14877.464000000002</v>
      </c>
      <c r="I27" s="11" t="s">
        <v>1459</v>
      </c>
      <c r="J27" s="6">
        <v>1</v>
      </c>
      <c r="K27" s="6"/>
      <c r="L27" s="6"/>
      <c r="M27" s="6"/>
      <c r="N27" s="6"/>
      <c r="O27" s="6">
        <v>1</v>
      </c>
      <c r="P27" s="6">
        <v>2</v>
      </c>
      <c r="Q27" s="6">
        <v>2</v>
      </c>
      <c r="R27" s="6"/>
      <c r="S27" s="6">
        <v>1</v>
      </c>
      <c r="T27" s="6">
        <v>1</v>
      </c>
      <c r="U27" s="6"/>
      <c r="V27" s="6">
        <v>8</v>
      </c>
    </row>
    <row r="28" spans="1:22" x14ac:dyDescent="0.25">
      <c r="E28" s="11" t="s">
        <v>239</v>
      </c>
      <c r="F28" s="6">
        <v>21573.6495</v>
      </c>
      <c r="I28" s="11" t="s">
        <v>1432</v>
      </c>
      <c r="J28" s="6">
        <v>54</v>
      </c>
      <c r="K28" s="6">
        <v>51</v>
      </c>
      <c r="L28" s="6">
        <v>58</v>
      </c>
      <c r="M28" s="6">
        <v>63</v>
      </c>
      <c r="N28" s="6">
        <v>67</v>
      </c>
      <c r="O28" s="6">
        <v>68</v>
      </c>
      <c r="P28" s="6">
        <v>53</v>
      </c>
      <c r="Q28" s="6">
        <v>65</v>
      </c>
      <c r="R28" s="6">
        <v>42</v>
      </c>
      <c r="S28" s="6">
        <v>39</v>
      </c>
      <c r="T28" s="6">
        <v>30</v>
      </c>
      <c r="U28" s="6">
        <v>42</v>
      </c>
      <c r="V28" s="6">
        <v>632</v>
      </c>
    </row>
    <row r="29" spans="1:22" x14ac:dyDescent="0.25">
      <c r="E29" s="11" t="s">
        <v>205</v>
      </c>
      <c r="F29" s="6">
        <v>8763.2849999999999</v>
      </c>
    </row>
    <row r="30" spans="1:22" x14ac:dyDescent="0.25">
      <c r="E30" s="11" t="s">
        <v>362</v>
      </c>
      <c r="F30" s="6">
        <v>27158.894079999998</v>
      </c>
    </row>
    <row r="31" spans="1:22" x14ac:dyDescent="0.25">
      <c r="E31" s="11" t="s">
        <v>293</v>
      </c>
      <c r="F31" s="6">
        <v>8907.6924999999992</v>
      </c>
    </row>
    <row r="32" spans="1:22" x14ac:dyDescent="0.25">
      <c r="E32" s="11" t="s">
        <v>365</v>
      </c>
      <c r="F32" s="6">
        <v>16487.22781</v>
      </c>
    </row>
    <row r="33" spans="5:6" x14ac:dyDescent="0.25">
      <c r="E33" s="11" t="s">
        <v>550</v>
      </c>
      <c r="F33" s="6">
        <v>7823.4472399999995</v>
      </c>
    </row>
    <row r="34" spans="5:6" x14ac:dyDescent="0.25">
      <c r="E34" s="11" t="s">
        <v>69</v>
      </c>
      <c r="F34" s="6">
        <v>215.19839999999996</v>
      </c>
    </row>
    <row r="35" spans="5:6" x14ac:dyDescent="0.25">
      <c r="E35" s="11" t="s">
        <v>80</v>
      </c>
      <c r="F35" s="6">
        <v>12153.267360000002</v>
      </c>
    </row>
    <row r="36" spans="5:6" x14ac:dyDescent="0.25">
      <c r="E36" s="11" t="s">
        <v>178</v>
      </c>
      <c r="F36" s="6">
        <v>12194.714</v>
      </c>
    </row>
    <row r="37" spans="5:6" x14ac:dyDescent="0.25">
      <c r="E37" s="11" t="s">
        <v>485</v>
      </c>
      <c r="F37" s="6">
        <v>36549.429260000004</v>
      </c>
    </row>
    <row r="38" spans="5:6" x14ac:dyDescent="0.25">
      <c r="E38" s="11" t="s">
        <v>595</v>
      </c>
      <c r="F38" s="6">
        <v>6137.8019999999988</v>
      </c>
    </row>
    <row r="39" spans="5:6" x14ac:dyDescent="0.25">
      <c r="E39" s="11" t="s">
        <v>640</v>
      </c>
      <c r="F39" s="6">
        <v>13983.752729999998</v>
      </c>
    </row>
    <row r="40" spans="5:6" x14ac:dyDescent="0.25">
      <c r="E40" s="11" t="s">
        <v>121</v>
      </c>
      <c r="F40" s="6">
        <v>518.65436999999997</v>
      </c>
    </row>
    <row r="41" spans="5:6" x14ac:dyDescent="0.25">
      <c r="E41" s="11" t="s">
        <v>284</v>
      </c>
      <c r="F41" s="6">
        <v>7235.2134999999998</v>
      </c>
    </row>
    <row r="42" spans="5:6" x14ac:dyDescent="0.25">
      <c r="E42" s="11" t="s">
        <v>271</v>
      </c>
      <c r="F42" s="6">
        <v>2394.1605599999998</v>
      </c>
    </row>
    <row r="43" spans="5:6" x14ac:dyDescent="0.25">
      <c r="E43" s="11" t="s">
        <v>104</v>
      </c>
      <c r="F43" s="6">
        <v>624.43503999999996</v>
      </c>
    </row>
    <row r="44" spans="5:6" x14ac:dyDescent="0.25">
      <c r="E44" s="11" t="s">
        <v>354</v>
      </c>
      <c r="F44" s="6">
        <v>27465.647999999997</v>
      </c>
    </row>
    <row r="45" spans="5:6" x14ac:dyDescent="0.25">
      <c r="E45" s="11" t="s">
        <v>39</v>
      </c>
      <c r="F45" s="6">
        <v>24894.430559999997</v>
      </c>
    </row>
    <row r="46" spans="5:6" x14ac:dyDescent="0.25">
      <c r="E46" s="11" t="s">
        <v>235</v>
      </c>
      <c r="F46" s="6">
        <v>908.03700000000003</v>
      </c>
    </row>
    <row r="47" spans="5:6" x14ac:dyDescent="0.25">
      <c r="E47" s="11" t="s">
        <v>296</v>
      </c>
      <c r="F47" s="6">
        <v>667.74</v>
      </c>
    </row>
    <row r="48" spans="5:6" x14ac:dyDescent="0.25">
      <c r="E48" s="11" t="s">
        <v>265</v>
      </c>
      <c r="F48" s="6">
        <v>17453.3436</v>
      </c>
    </row>
    <row r="49" spans="5:6" x14ac:dyDescent="0.25">
      <c r="E49" s="11" t="s">
        <v>391</v>
      </c>
      <c r="F49" s="6">
        <v>15348.702599999999</v>
      </c>
    </row>
    <row r="50" spans="5:6" x14ac:dyDescent="0.25">
      <c r="E50" s="11" t="s">
        <v>555</v>
      </c>
      <c r="F50" s="6">
        <v>19581.87</v>
      </c>
    </row>
    <row r="51" spans="5:6" x14ac:dyDescent="0.25">
      <c r="E51" s="11" t="s">
        <v>187</v>
      </c>
      <c r="F51" s="6">
        <v>97.0154</v>
      </c>
    </row>
    <row r="52" spans="5:6" x14ac:dyDescent="0.25">
      <c r="E52" s="11" t="s">
        <v>240</v>
      </c>
      <c r="F52" s="6">
        <v>30479.418970000002</v>
      </c>
    </row>
    <row r="53" spans="5:6" x14ac:dyDescent="0.25">
      <c r="E53" s="11" t="s">
        <v>93</v>
      </c>
      <c r="F53" s="6">
        <v>10455.7932</v>
      </c>
    </row>
    <row r="54" spans="5:6" x14ac:dyDescent="0.25">
      <c r="E54" s="11" t="s">
        <v>64</v>
      </c>
      <c r="F54" s="6">
        <v>34444.462359999998</v>
      </c>
    </row>
    <row r="55" spans="5:6" x14ac:dyDescent="0.25">
      <c r="E55" s="11" t="s">
        <v>618</v>
      </c>
      <c r="F55" s="6">
        <v>5457.4317000000001</v>
      </c>
    </row>
    <row r="56" spans="5:6" x14ac:dyDescent="0.25">
      <c r="E56" s="11" t="s">
        <v>241</v>
      </c>
      <c r="F56" s="6">
        <v>5533.6230000000005</v>
      </c>
    </row>
    <row r="57" spans="5:6" x14ac:dyDescent="0.25">
      <c r="E57" s="11" t="s">
        <v>183</v>
      </c>
      <c r="F57" s="6">
        <v>6824.2884000000004</v>
      </c>
    </row>
    <row r="58" spans="5:6" x14ac:dyDescent="0.25">
      <c r="E58" s="11" t="s">
        <v>60</v>
      </c>
      <c r="F58" s="6">
        <v>32506.559399999998</v>
      </c>
    </row>
    <row r="59" spans="5:6" x14ac:dyDescent="0.25">
      <c r="E59" s="11" t="s">
        <v>159</v>
      </c>
      <c r="F59" s="6">
        <v>25672.127039999999</v>
      </c>
    </row>
    <row r="60" spans="5:6" x14ac:dyDescent="0.25">
      <c r="E60" s="11" t="s">
        <v>198</v>
      </c>
      <c r="F60" s="6">
        <v>8698.8768300000011</v>
      </c>
    </row>
    <row r="61" spans="5:6" x14ac:dyDescent="0.25">
      <c r="E61" s="11" t="s">
        <v>589</v>
      </c>
      <c r="F61" s="6">
        <v>496.98660000000001</v>
      </c>
    </row>
    <row r="62" spans="5:6" x14ac:dyDescent="0.25">
      <c r="E62" s="11" t="s">
        <v>96</v>
      </c>
      <c r="F62" s="6">
        <v>18258.868320000001</v>
      </c>
    </row>
    <row r="63" spans="5:6" x14ac:dyDescent="0.25">
      <c r="E63" s="11" t="s">
        <v>527</v>
      </c>
      <c r="F63" s="6">
        <v>5189.8836000000001</v>
      </c>
    </row>
    <row r="64" spans="5:6" x14ac:dyDescent="0.25">
      <c r="E64" s="11" t="s">
        <v>577</v>
      </c>
      <c r="F64" s="6">
        <v>8520.2954399999999</v>
      </c>
    </row>
    <row r="65" spans="5:6" x14ac:dyDescent="0.25">
      <c r="E65" s="11" t="s">
        <v>330</v>
      </c>
      <c r="F65" s="6">
        <v>9062.34692</v>
      </c>
    </row>
    <row r="66" spans="5:6" x14ac:dyDescent="0.25">
      <c r="E66" s="11" t="s">
        <v>406</v>
      </c>
      <c r="F66" s="6">
        <v>52361.645000000004</v>
      </c>
    </row>
    <row r="67" spans="5:6" x14ac:dyDescent="0.25">
      <c r="E67" s="11" t="s">
        <v>303</v>
      </c>
      <c r="F67" s="6">
        <v>10456.416880000001</v>
      </c>
    </row>
    <row r="68" spans="5:6" x14ac:dyDescent="0.25">
      <c r="E68" s="11" t="s">
        <v>287</v>
      </c>
      <c r="F68" s="6">
        <v>29536.716</v>
      </c>
    </row>
    <row r="69" spans="5:6" x14ac:dyDescent="0.25">
      <c r="E69" s="11" t="s">
        <v>17</v>
      </c>
      <c r="F69" s="6">
        <v>12449.676359999999</v>
      </c>
    </row>
    <row r="70" spans="5:6" x14ac:dyDescent="0.25">
      <c r="E70" s="11" t="s">
        <v>107</v>
      </c>
      <c r="F70" s="6">
        <v>10161.46624</v>
      </c>
    </row>
    <row r="71" spans="5:6" x14ac:dyDescent="0.25">
      <c r="E71" s="11" t="s">
        <v>307</v>
      </c>
      <c r="F71" s="6">
        <v>7382.1450000000004</v>
      </c>
    </row>
    <row r="72" spans="5:6" x14ac:dyDescent="0.25">
      <c r="E72" s="11" t="s">
        <v>449</v>
      </c>
      <c r="F72" s="6">
        <v>27249</v>
      </c>
    </row>
    <row r="73" spans="5:6" x14ac:dyDescent="0.25">
      <c r="E73" s="11" t="s">
        <v>600</v>
      </c>
      <c r="F73" s="6">
        <v>370.86</v>
      </c>
    </row>
    <row r="74" spans="5:6" x14ac:dyDescent="0.25">
      <c r="E74" s="11" t="s">
        <v>214</v>
      </c>
      <c r="F74" s="6">
        <v>14963.769179999999</v>
      </c>
    </row>
    <row r="75" spans="5:6" x14ac:dyDescent="0.25">
      <c r="E75" s="11" t="s">
        <v>89</v>
      </c>
      <c r="F75" s="6">
        <v>4717.72</v>
      </c>
    </row>
    <row r="76" spans="5:6" x14ac:dyDescent="0.25">
      <c r="E76" s="11" t="s">
        <v>378</v>
      </c>
      <c r="F76" s="6">
        <v>12717.311040000001</v>
      </c>
    </row>
    <row r="77" spans="5:6" x14ac:dyDescent="0.25">
      <c r="E77" s="11" t="s">
        <v>219</v>
      </c>
      <c r="F77" s="6">
        <v>26131.70736</v>
      </c>
    </row>
    <row r="78" spans="5:6" x14ac:dyDescent="0.25">
      <c r="E78" s="11" t="s">
        <v>200</v>
      </c>
      <c r="F78" s="6">
        <v>10388.429999999998</v>
      </c>
    </row>
    <row r="79" spans="5:6" x14ac:dyDescent="0.25">
      <c r="E79" s="11" t="s">
        <v>512</v>
      </c>
      <c r="F79" s="6">
        <v>8644.6696000000011</v>
      </c>
    </row>
    <row r="80" spans="5:6" x14ac:dyDescent="0.25">
      <c r="E80" s="11" t="s">
        <v>67</v>
      </c>
      <c r="F80" s="6">
        <v>5785.8</v>
      </c>
    </row>
    <row r="81" spans="5:6" x14ac:dyDescent="0.25">
      <c r="E81" s="11" t="s">
        <v>114</v>
      </c>
      <c r="F81" s="6">
        <v>25502.910479999999</v>
      </c>
    </row>
    <row r="82" spans="5:6" x14ac:dyDescent="0.25">
      <c r="E82" s="11" t="s">
        <v>133</v>
      </c>
      <c r="F82" s="6">
        <v>5769.2758000000003</v>
      </c>
    </row>
    <row r="83" spans="5:6" x14ac:dyDescent="0.25">
      <c r="E83" s="11" t="s">
        <v>147</v>
      </c>
      <c r="F83" s="6">
        <v>8336.8896000000004</v>
      </c>
    </row>
    <row r="84" spans="5:6" x14ac:dyDescent="0.25">
      <c r="E84" s="11" t="s">
        <v>230</v>
      </c>
      <c r="F84" s="6">
        <v>7738.9596900000006</v>
      </c>
    </row>
    <row r="85" spans="5:6" x14ac:dyDescent="0.25">
      <c r="E85" s="11" t="s">
        <v>510</v>
      </c>
      <c r="F85" s="6">
        <v>30692.47896</v>
      </c>
    </row>
    <row r="86" spans="5:6" x14ac:dyDescent="0.25">
      <c r="E86" s="11" t="s">
        <v>186</v>
      </c>
      <c r="F86" s="6">
        <v>8928.9795999999988</v>
      </c>
    </row>
    <row r="87" spans="5:6" x14ac:dyDescent="0.25">
      <c r="E87" s="11" t="s">
        <v>628</v>
      </c>
      <c r="F87" s="6">
        <v>18500.693520000001</v>
      </c>
    </row>
    <row r="88" spans="5:6" x14ac:dyDescent="0.25">
      <c r="E88" s="11" t="s">
        <v>558</v>
      </c>
      <c r="F88" s="6">
        <v>14114.068500000001</v>
      </c>
    </row>
    <row r="89" spans="5:6" x14ac:dyDescent="0.25">
      <c r="E89" s="11" t="s">
        <v>644</v>
      </c>
      <c r="F89" s="6">
        <v>12769.38768</v>
      </c>
    </row>
    <row r="90" spans="5:6" x14ac:dyDescent="0.25">
      <c r="E90" s="11" t="s">
        <v>535</v>
      </c>
      <c r="F90" s="6">
        <v>64192.976999999999</v>
      </c>
    </row>
    <row r="91" spans="5:6" x14ac:dyDescent="0.25">
      <c r="E91" s="11" t="s">
        <v>562</v>
      </c>
      <c r="F91" s="6">
        <v>31822.023930000003</v>
      </c>
    </row>
    <row r="92" spans="5:6" x14ac:dyDescent="0.25">
      <c r="E92" s="11" t="s">
        <v>270</v>
      </c>
      <c r="F92" s="6">
        <v>19073.059649999999</v>
      </c>
    </row>
    <row r="93" spans="5:6" x14ac:dyDescent="0.25">
      <c r="E93" s="11" t="s">
        <v>366</v>
      </c>
      <c r="F93" s="6">
        <v>26552.60298</v>
      </c>
    </row>
    <row r="94" spans="5:6" x14ac:dyDescent="0.25">
      <c r="E94" s="11" t="s">
        <v>79</v>
      </c>
      <c r="F94" s="6">
        <v>26304.275999999998</v>
      </c>
    </row>
    <row r="95" spans="5:6" x14ac:dyDescent="0.25">
      <c r="E95" s="11" t="s">
        <v>561</v>
      </c>
      <c r="F95" s="6">
        <v>15530.929919999999</v>
      </c>
    </row>
    <row r="96" spans="5:6" x14ac:dyDescent="0.25">
      <c r="E96" s="11" t="s">
        <v>166</v>
      </c>
      <c r="F96" s="6">
        <v>21572.590500000002</v>
      </c>
    </row>
    <row r="97" spans="5:6" x14ac:dyDescent="0.25">
      <c r="E97" s="11" t="s">
        <v>238</v>
      </c>
      <c r="F97" s="6">
        <v>15490.527</v>
      </c>
    </row>
    <row r="98" spans="5:6" x14ac:dyDescent="0.25">
      <c r="E98" s="11" t="s">
        <v>630</v>
      </c>
      <c r="F98" s="6">
        <v>10786.32144</v>
      </c>
    </row>
    <row r="99" spans="5:6" x14ac:dyDescent="0.25">
      <c r="E99" s="11" t="s">
        <v>254</v>
      </c>
      <c r="F99" s="6">
        <v>4436.6291200000005</v>
      </c>
    </row>
    <row r="100" spans="5:6" x14ac:dyDescent="0.25">
      <c r="E100" s="11" t="s">
        <v>275</v>
      </c>
      <c r="F100" s="6">
        <v>17964.4038</v>
      </c>
    </row>
    <row r="101" spans="5:6" x14ac:dyDescent="0.25">
      <c r="E101" s="11" t="s">
        <v>144</v>
      </c>
      <c r="F101" s="6">
        <v>42830.736429999997</v>
      </c>
    </row>
    <row r="102" spans="5:6" x14ac:dyDescent="0.25">
      <c r="E102" s="11" t="s">
        <v>547</v>
      </c>
      <c r="F102" s="6">
        <v>11924.0978</v>
      </c>
    </row>
    <row r="103" spans="5:6" x14ac:dyDescent="0.25">
      <c r="E103" s="11" t="s">
        <v>341</v>
      </c>
      <c r="F103" s="6">
        <v>3799.8031499999997</v>
      </c>
    </row>
    <row r="104" spans="5:6" x14ac:dyDescent="0.25">
      <c r="E104" s="11" t="s">
        <v>474</v>
      </c>
      <c r="F104" s="6">
        <v>1662.6945600000001</v>
      </c>
    </row>
    <row r="105" spans="5:6" x14ac:dyDescent="0.25">
      <c r="E105" s="11" t="s">
        <v>386</v>
      </c>
      <c r="F105" s="6">
        <v>32280.32474</v>
      </c>
    </row>
    <row r="106" spans="5:6" x14ac:dyDescent="0.25">
      <c r="E106" s="11" t="s">
        <v>81</v>
      </c>
      <c r="F106" s="6">
        <v>16013.681599999998</v>
      </c>
    </row>
    <row r="107" spans="5:6" x14ac:dyDescent="0.25">
      <c r="E107" s="11" t="s">
        <v>641</v>
      </c>
      <c r="F107" s="6">
        <v>5096.4790800000001</v>
      </c>
    </row>
    <row r="108" spans="5:6" x14ac:dyDescent="0.25">
      <c r="E108" s="11" t="s">
        <v>619</v>
      </c>
      <c r="F108" s="6">
        <v>7071.6331400000008</v>
      </c>
    </row>
    <row r="109" spans="5:6" x14ac:dyDescent="0.25">
      <c r="E109" s="11" t="s">
        <v>639</v>
      </c>
      <c r="F109" s="6">
        <v>32704.386400000003</v>
      </c>
    </row>
    <row r="110" spans="5:6" x14ac:dyDescent="0.25">
      <c r="E110" s="11" t="s">
        <v>46</v>
      </c>
      <c r="F110" s="6">
        <v>26150.364320000001</v>
      </c>
    </row>
    <row r="111" spans="5:6" x14ac:dyDescent="0.25">
      <c r="E111" s="11" t="s">
        <v>530</v>
      </c>
      <c r="F111" s="6">
        <v>22201.762229999997</v>
      </c>
    </row>
    <row r="112" spans="5:6" x14ac:dyDescent="0.25">
      <c r="E112" s="11" t="s">
        <v>492</v>
      </c>
      <c r="F112" s="6">
        <v>41914.215840000004</v>
      </c>
    </row>
    <row r="113" spans="5:6" x14ac:dyDescent="0.25">
      <c r="E113" s="11" t="s">
        <v>359</v>
      </c>
      <c r="F113" s="6">
        <v>13637.287999999999</v>
      </c>
    </row>
    <row r="114" spans="5:6" x14ac:dyDescent="0.25">
      <c r="E114" s="11" t="s">
        <v>514</v>
      </c>
      <c r="F114" s="6">
        <v>20332.775539999999</v>
      </c>
    </row>
    <row r="115" spans="5:6" x14ac:dyDescent="0.25">
      <c r="E115" s="11" t="s">
        <v>212</v>
      </c>
      <c r="F115" s="6">
        <v>8349.2224200000001</v>
      </c>
    </row>
    <row r="116" spans="5:6" x14ac:dyDescent="0.25">
      <c r="E116" s="11" t="s">
        <v>136</v>
      </c>
      <c r="F116" s="6">
        <v>22983.34563</v>
      </c>
    </row>
    <row r="117" spans="5:6" x14ac:dyDescent="0.25">
      <c r="E117" s="11" t="s">
        <v>460</v>
      </c>
      <c r="F117" s="6">
        <v>9771.4483199999995</v>
      </c>
    </row>
    <row r="118" spans="5:6" x14ac:dyDescent="0.25">
      <c r="E118" s="11" t="s">
        <v>470</v>
      </c>
      <c r="F118" s="6">
        <v>20797.98</v>
      </c>
    </row>
    <row r="119" spans="5:6" x14ac:dyDescent="0.25">
      <c r="E119" s="11" t="s">
        <v>217</v>
      </c>
      <c r="F119" s="6">
        <v>47962.717579999997</v>
      </c>
    </row>
    <row r="120" spans="5:6" x14ac:dyDescent="0.25">
      <c r="E120" s="11" t="s">
        <v>489</v>
      </c>
      <c r="F120" s="6">
        <v>27194.152039999997</v>
      </c>
    </row>
    <row r="121" spans="5:6" x14ac:dyDescent="0.25">
      <c r="E121" s="11" t="s">
        <v>316</v>
      </c>
      <c r="F121" s="6">
        <v>39686.4182</v>
      </c>
    </row>
    <row r="122" spans="5:6" x14ac:dyDescent="0.25">
      <c r="E122" s="11" t="s">
        <v>397</v>
      </c>
      <c r="F122" s="6">
        <v>47693.373</v>
      </c>
    </row>
    <row r="123" spans="5:6" x14ac:dyDescent="0.25">
      <c r="E123" s="11" t="s">
        <v>167</v>
      </c>
      <c r="F123" s="6">
        <v>4139.8127999999997</v>
      </c>
    </row>
    <row r="124" spans="5:6" x14ac:dyDescent="0.25">
      <c r="E124" s="11" t="s">
        <v>500</v>
      </c>
      <c r="F124" s="6">
        <v>5159.7893599999998</v>
      </c>
    </row>
    <row r="125" spans="5:6" x14ac:dyDescent="0.25">
      <c r="E125" s="11" t="s">
        <v>311</v>
      </c>
      <c r="F125" s="6">
        <v>3190.8713200000002</v>
      </c>
    </row>
    <row r="126" spans="5:6" x14ac:dyDescent="0.25">
      <c r="E126" s="11" t="s">
        <v>139</v>
      </c>
      <c r="F126" s="6">
        <v>2072.9258400000003</v>
      </c>
    </row>
    <row r="127" spans="5:6" x14ac:dyDescent="0.25">
      <c r="E127" s="11" t="s">
        <v>244</v>
      </c>
      <c r="F127" s="6">
        <v>667.15008</v>
      </c>
    </row>
    <row r="128" spans="5:6" x14ac:dyDescent="0.25">
      <c r="E128" s="11" t="s">
        <v>493</v>
      </c>
      <c r="F128" s="6">
        <v>22620.859800000002</v>
      </c>
    </row>
    <row r="129" spans="5:6" x14ac:dyDescent="0.25">
      <c r="E129" s="11" t="s">
        <v>299</v>
      </c>
      <c r="F129" s="6">
        <v>3978.6474000000003</v>
      </c>
    </row>
    <row r="130" spans="5:6" x14ac:dyDescent="0.25">
      <c r="E130" s="11" t="s">
        <v>152</v>
      </c>
      <c r="F130" s="6">
        <v>4336.2427499999994</v>
      </c>
    </row>
    <row r="131" spans="5:6" x14ac:dyDescent="0.25">
      <c r="E131" s="11" t="s">
        <v>231</v>
      </c>
      <c r="F131" s="6">
        <v>2231.6467200000002</v>
      </c>
    </row>
    <row r="132" spans="5:6" x14ac:dyDescent="0.25">
      <c r="E132" s="11" t="s">
        <v>402</v>
      </c>
      <c r="F132" s="6">
        <v>14108.16791</v>
      </c>
    </row>
    <row r="133" spans="5:6" x14ac:dyDescent="0.25">
      <c r="E133" s="11" t="s">
        <v>606</v>
      </c>
      <c r="F133" s="6">
        <v>51768.181920000003</v>
      </c>
    </row>
    <row r="134" spans="5:6" x14ac:dyDescent="0.25">
      <c r="E134" s="11" t="s">
        <v>331</v>
      </c>
      <c r="F134" s="6">
        <v>16306.59375</v>
      </c>
    </row>
    <row r="135" spans="5:6" x14ac:dyDescent="0.25">
      <c r="E135" s="11" t="s">
        <v>552</v>
      </c>
      <c r="F135" s="6">
        <v>20430.771599999996</v>
      </c>
    </row>
    <row r="136" spans="5:6" x14ac:dyDescent="0.25">
      <c r="E136" s="11" t="s">
        <v>434</v>
      </c>
      <c r="F136" s="6">
        <v>14527.748400000002</v>
      </c>
    </row>
    <row r="137" spans="5:6" x14ac:dyDescent="0.25">
      <c r="E137" s="11" t="s">
        <v>276</v>
      </c>
      <c r="F137" s="6">
        <v>8186.057600000001</v>
      </c>
    </row>
    <row r="138" spans="5:6" x14ac:dyDescent="0.25">
      <c r="E138" s="11" t="s">
        <v>281</v>
      </c>
      <c r="F138" s="6">
        <v>17594.028880000002</v>
      </c>
    </row>
    <row r="139" spans="5:6" x14ac:dyDescent="0.25">
      <c r="E139" s="11" t="s">
        <v>274</v>
      </c>
      <c r="F139" s="6">
        <v>22882.675440000003</v>
      </c>
    </row>
    <row r="140" spans="5:6" x14ac:dyDescent="0.25">
      <c r="E140" s="11" t="s">
        <v>543</v>
      </c>
      <c r="F140" s="6">
        <v>33421.1</v>
      </c>
    </row>
    <row r="141" spans="5:6" x14ac:dyDescent="0.25">
      <c r="E141" s="11" t="s">
        <v>54</v>
      </c>
      <c r="F141" s="6">
        <v>3562.1983800000003</v>
      </c>
    </row>
    <row r="142" spans="5:6" x14ac:dyDescent="0.25">
      <c r="E142" s="11" t="s">
        <v>228</v>
      </c>
      <c r="F142" s="6">
        <v>7854.6693599999999</v>
      </c>
    </row>
    <row r="143" spans="5:6" x14ac:dyDescent="0.25">
      <c r="E143" s="11" t="s">
        <v>446</v>
      </c>
      <c r="F143" s="6">
        <v>2627.6239999999998</v>
      </c>
    </row>
    <row r="144" spans="5:6" x14ac:dyDescent="0.25">
      <c r="E144" s="11" t="s">
        <v>352</v>
      </c>
      <c r="F144" s="6">
        <v>3021.5016000000001</v>
      </c>
    </row>
    <row r="145" spans="5:6" x14ac:dyDescent="0.25">
      <c r="E145" s="11" t="s">
        <v>191</v>
      </c>
      <c r="F145" s="6">
        <v>15656.47056</v>
      </c>
    </row>
    <row r="146" spans="5:6" x14ac:dyDescent="0.25">
      <c r="E146" s="11" t="s">
        <v>624</v>
      </c>
      <c r="F146" s="6">
        <v>10260.060159999999</v>
      </c>
    </row>
    <row r="147" spans="5:6" x14ac:dyDescent="0.25">
      <c r="E147" s="11" t="s">
        <v>306</v>
      </c>
      <c r="F147" s="6">
        <v>23375.594060000003</v>
      </c>
    </row>
    <row r="148" spans="5:6" x14ac:dyDescent="0.25">
      <c r="E148" s="11" t="s">
        <v>423</v>
      </c>
      <c r="F148" s="6">
        <v>23668.560000000001</v>
      </c>
    </row>
    <row r="149" spans="5:6" x14ac:dyDescent="0.25">
      <c r="E149" s="11" t="s">
        <v>399</v>
      </c>
      <c r="F149" s="6">
        <v>22064.910300000003</v>
      </c>
    </row>
    <row r="150" spans="5:6" x14ac:dyDescent="0.25">
      <c r="E150" s="11" t="s">
        <v>611</v>
      </c>
      <c r="F150" s="6">
        <v>3116.21</v>
      </c>
    </row>
    <row r="151" spans="5:6" x14ac:dyDescent="0.25">
      <c r="E151" s="11" t="s">
        <v>541</v>
      </c>
      <c r="F151" s="6">
        <v>11406.96</v>
      </c>
    </row>
    <row r="152" spans="5:6" x14ac:dyDescent="0.25">
      <c r="E152" s="11" t="s">
        <v>213</v>
      </c>
      <c r="F152" s="6">
        <v>55880.483749999999</v>
      </c>
    </row>
    <row r="153" spans="5:6" x14ac:dyDescent="0.25">
      <c r="E153" s="11" t="s">
        <v>475</v>
      </c>
      <c r="F153" s="6">
        <v>930.17574000000002</v>
      </c>
    </row>
    <row r="154" spans="5:6" x14ac:dyDescent="0.25">
      <c r="E154" s="11" t="s">
        <v>236</v>
      </c>
      <c r="F154" s="6">
        <v>4503.4363999999996</v>
      </c>
    </row>
    <row r="155" spans="5:6" x14ac:dyDescent="0.25">
      <c r="E155" s="11" t="s">
        <v>591</v>
      </c>
      <c r="F155" s="6">
        <v>13882.6016</v>
      </c>
    </row>
    <row r="156" spans="5:6" x14ac:dyDescent="0.25">
      <c r="E156" s="11" t="s">
        <v>294</v>
      </c>
      <c r="F156" s="6">
        <v>17441.021520000002</v>
      </c>
    </row>
    <row r="157" spans="5:6" x14ac:dyDescent="0.25">
      <c r="E157" s="11" t="s">
        <v>90</v>
      </c>
      <c r="F157" s="6">
        <v>6874.4828600000001</v>
      </c>
    </row>
    <row r="158" spans="5:6" x14ac:dyDescent="0.25">
      <c r="E158" s="11" t="s">
        <v>20</v>
      </c>
      <c r="F158" s="6">
        <v>4141.7599999999993</v>
      </c>
    </row>
    <row r="159" spans="5:6" x14ac:dyDescent="0.25">
      <c r="E159" s="11" t="s">
        <v>604</v>
      </c>
      <c r="F159" s="6">
        <v>9022.35</v>
      </c>
    </row>
    <row r="160" spans="5:6" x14ac:dyDescent="0.25">
      <c r="E160" s="11" t="s">
        <v>481</v>
      </c>
      <c r="F160" s="6">
        <v>14261.92439</v>
      </c>
    </row>
    <row r="161" spans="5:6" x14ac:dyDescent="0.25">
      <c r="E161" s="11" t="s">
        <v>427</v>
      </c>
      <c r="F161" s="6">
        <v>16134.22069</v>
      </c>
    </row>
    <row r="162" spans="5:6" x14ac:dyDescent="0.25">
      <c r="E162" s="11" t="s">
        <v>364</v>
      </c>
      <c r="F162" s="6">
        <v>4132.0325200000007</v>
      </c>
    </row>
    <row r="163" spans="5:6" x14ac:dyDescent="0.25">
      <c r="E163" s="11" t="s">
        <v>516</v>
      </c>
      <c r="F163" s="6">
        <v>10869.182940000001</v>
      </c>
    </row>
    <row r="164" spans="5:6" x14ac:dyDescent="0.25">
      <c r="E164" s="11" t="s">
        <v>258</v>
      </c>
      <c r="F164" s="6">
        <v>12248.675999999999</v>
      </c>
    </row>
    <row r="165" spans="5:6" x14ac:dyDescent="0.25">
      <c r="E165" s="11" t="s">
        <v>83</v>
      </c>
      <c r="F165" s="6">
        <v>8671.7354400000004</v>
      </c>
    </row>
    <row r="166" spans="5:6" x14ac:dyDescent="0.25">
      <c r="E166" s="11" t="s">
        <v>451</v>
      </c>
      <c r="F166" s="6">
        <v>7340.3891399999993</v>
      </c>
    </row>
    <row r="167" spans="5:6" x14ac:dyDescent="0.25">
      <c r="E167" s="11" t="s">
        <v>634</v>
      </c>
      <c r="F167" s="6">
        <v>1030.7574</v>
      </c>
    </row>
    <row r="168" spans="5:6" x14ac:dyDescent="0.25">
      <c r="E168" s="11" t="s">
        <v>355</v>
      </c>
      <c r="F168" s="6">
        <v>1115.1975999999997</v>
      </c>
    </row>
    <row r="169" spans="5:6" x14ac:dyDescent="0.25">
      <c r="E169" s="11" t="s">
        <v>459</v>
      </c>
      <c r="F169" s="6">
        <v>1925.29872</v>
      </c>
    </row>
    <row r="170" spans="5:6" x14ac:dyDescent="0.25">
      <c r="E170" s="11" t="s">
        <v>465</v>
      </c>
      <c r="F170" s="6">
        <v>19628.476999999999</v>
      </c>
    </row>
    <row r="171" spans="5:6" x14ac:dyDescent="0.25">
      <c r="E171" s="11" t="s">
        <v>491</v>
      </c>
      <c r="F171" s="6">
        <v>4212.3745999999992</v>
      </c>
    </row>
    <row r="172" spans="5:6" x14ac:dyDescent="0.25">
      <c r="E172" s="11" t="s">
        <v>452</v>
      </c>
      <c r="F172" s="6">
        <v>24278.849280000002</v>
      </c>
    </row>
    <row r="173" spans="5:6" x14ac:dyDescent="0.25">
      <c r="E173" s="11" t="s">
        <v>84</v>
      </c>
      <c r="F173" s="6">
        <v>8930.7124999999996</v>
      </c>
    </row>
    <row r="174" spans="5:6" x14ac:dyDescent="0.25">
      <c r="E174" s="11" t="s">
        <v>554</v>
      </c>
      <c r="F174" s="6">
        <v>3340.6370000000002</v>
      </c>
    </row>
    <row r="175" spans="5:6" x14ac:dyDescent="0.25">
      <c r="E175" s="11" t="s">
        <v>384</v>
      </c>
      <c r="F175" s="6">
        <v>4133.25108</v>
      </c>
    </row>
    <row r="176" spans="5:6" x14ac:dyDescent="0.25">
      <c r="E176" s="11" t="s">
        <v>19</v>
      </c>
      <c r="F176" s="6">
        <v>10957.9797</v>
      </c>
    </row>
    <row r="177" spans="5:6" x14ac:dyDescent="0.25">
      <c r="E177" s="11" t="s">
        <v>353</v>
      </c>
      <c r="F177" s="6">
        <v>26106.613960000002</v>
      </c>
    </row>
    <row r="178" spans="5:6" x14ac:dyDescent="0.25">
      <c r="E178" s="11" t="s">
        <v>160</v>
      </c>
      <c r="F178" s="6">
        <v>12954.358080000002</v>
      </c>
    </row>
    <row r="179" spans="5:6" x14ac:dyDescent="0.25">
      <c r="E179" s="11" t="s">
        <v>202</v>
      </c>
      <c r="F179" s="6">
        <v>28072.190160000002</v>
      </c>
    </row>
    <row r="180" spans="5:6" x14ac:dyDescent="0.25">
      <c r="E180" s="11" t="s">
        <v>333</v>
      </c>
      <c r="F180" s="6">
        <v>53034.364139999991</v>
      </c>
    </row>
    <row r="181" spans="5:6" x14ac:dyDescent="0.25">
      <c r="E181" s="11" t="s">
        <v>403</v>
      </c>
      <c r="F181" s="6">
        <v>434.45248000000004</v>
      </c>
    </row>
    <row r="182" spans="5:6" x14ac:dyDescent="0.25">
      <c r="E182" s="11" t="s">
        <v>100</v>
      </c>
      <c r="F182" s="6">
        <v>13146.470699999998</v>
      </c>
    </row>
    <row r="183" spans="5:6" x14ac:dyDescent="0.25">
      <c r="E183" s="11" t="s">
        <v>169</v>
      </c>
      <c r="F183" s="6">
        <v>11015.510400000003</v>
      </c>
    </row>
    <row r="184" spans="5:6" x14ac:dyDescent="0.25">
      <c r="E184" s="11" t="s">
        <v>456</v>
      </c>
      <c r="F184" s="6">
        <v>31513.085009999999</v>
      </c>
    </row>
    <row r="185" spans="5:6" x14ac:dyDescent="0.25">
      <c r="E185" s="11" t="s">
        <v>175</v>
      </c>
      <c r="F185" s="6">
        <v>22044.871499999997</v>
      </c>
    </row>
    <row r="186" spans="5:6" x14ac:dyDescent="0.25">
      <c r="E186" s="11" t="s">
        <v>419</v>
      </c>
      <c r="F186" s="6">
        <v>13437.300239999999</v>
      </c>
    </row>
    <row r="187" spans="5:6" x14ac:dyDescent="0.25">
      <c r="E187" s="11" t="s">
        <v>385</v>
      </c>
      <c r="F187" s="6">
        <v>16873.45</v>
      </c>
    </row>
    <row r="188" spans="5:6" x14ac:dyDescent="0.25">
      <c r="E188" s="11" t="s">
        <v>596</v>
      </c>
      <c r="F188" s="6">
        <v>1801.4076000000002</v>
      </c>
    </row>
    <row r="189" spans="5:6" x14ac:dyDescent="0.25">
      <c r="E189" s="11" t="s">
        <v>50</v>
      </c>
      <c r="F189" s="6">
        <v>6631.6443100000006</v>
      </c>
    </row>
    <row r="190" spans="5:6" x14ac:dyDescent="0.25">
      <c r="E190" s="11" t="s">
        <v>522</v>
      </c>
      <c r="F190" s="6">
        <v>3921.1744000000008</v>
      </c>
    </row>
    <row r="191" spans="5:6" x14ac:dyDescent="0.25">
      <c r="E191" s="11" t="s">
        <v>498</v>
      </c>
      <c r="F191" s="6">
        <v>21908.731650000002</v>
      </c>
    </row>
    <row r="192" spans="5:6" x14ac:dyDescent="0.25">
      <c r="E192" s="11" t="s">
        <v>150</v>
      </c>
      <c r="F192" s="6">
        <v>27370.540859999997</v>
      </c>
    </row>
    <row r="193" spans="5:6" x14ac:dyDescent="0.25">
      <c r="E193" s="11" t="s">
        <v>36</v>
      </c>
      <c r="F193" s="6">
        <v>19903.585040000002</v>
      </c>
    </row>
    <row r="194" spans="5:6" x14ac:dyDescent="0.25">
      <c r="E194" s="11" t="s">
        <v>585</v>
      </c>
      <c r="F194" s="6">
        <v>4577.1480000000001</v>
      </c>
    </row>
    <row r="195" spans="5:6" x14ac:dyDescent="0.25">
      <c r="E195" s="11" t="s">
        <v>110</v>
      </c>
      <c r="F195" s="6">
        <v>43209.006119999991</v>
      </c>
    </row>
    <row r="196" spans="5:6" x14ac:dyDescent="0.25">
      <c r="E196" s="11" t="s">
        <v>130</v>
      </c>
      <c r="F196" s="6">
        <v>24523.006720000001</v>
      </c>
    </row>
    <row r="197" spans="5:6" x14ac:dyDescent="0.25">
      <c r="E197" s="11" t="s">
        <v>471</v>
      </c>
      <c r="F197" s="6">
        <v>7854.6931199999999</v>
      </c>
    </row>
    <row r="198" spans="5:6" x14ac:dyDescent="0.25">
      <c r="E198" s="11" t="s">
        <v>140</v>
      </c>
      <c r="F198" s="6">
        <v>8909.8587200000002</v>
      </c>
    </row>
    <row r="199" spans="5:6" x14ac:dyDescent="0.25">
      <c r="E199" s="11" t="s">
        <v>323</v>
      </c>
      <c r="F199" s="6">
        <v>9847.2358600000007</v>
      </c>
    </row>
    <row r="200" spans="5:6" x14ac:dyDescent="0.25">
      <c r="E200" s="11" t="s">
        <v>180</v>
      </c>
      <c r="F200" s="6">
        <v>85637.740319999997</v>
      </c>
    </row>
    <row r="201" spans="5:6" x14ac:dyDescent="0.25">
      <c r="E201" s="11" t="s">
        <v>638</v>
      </c>
      <c r="F201" s="6">
        <v>50090.397499999999</v>
      </c>
    </row>
    <row r="202" spans="5:6" x14ac:dyDescent="0.25">
      <c r="E202" s="11" t="s">
        <v>273</v>
      </c>
      <c r="F202" s="6">
        <v>7568.9632000000001</v>
      </c>
    </row>
    <row r="203" spans="5:6" x14ac:dyDescent="0.25">
      <c r="E203" s="11" t="s">
        <v>336</v>
      </c>
      <c r="F203" s="6">
        <v>39546.774539999999</v>
      </c>
    </row>
    <row r="204" spans="5:6" x14ac:dyDescent="0.25">
      <c r="E204" s="11" t="s">
        <v>326</v>
      </c>
      <c r="F204" s="6">
        <v>11283.400799999999</v>
      </c>
    </row>
    <row r="205" spans="5:6" x14ac:dyDescent="0.25">
      <c r="E205" s="11" t="s">
        <v>43</v>
      </c>
      <c r="F205" s="6">
        <v>3913.2000000000003</v>
      </c>
    </row>
    <row r="206" spans="5:6" x14ac:dyDescent="0.25">
      <c r="E206" s="11" t="s">
        <v>361</v>
      </c>
      <c r="F206" s="6">
        <v>2206.8000000000002</v>
      </c>
    </row>
    <row r="207" spans="5:6" x14ac:dyDescent="0.25">
      <c r="E207" s="11" t="s">
        <v>155</v>
      </c>
      <c r="F207" s="6">
        <v>87404.929919999995</v>
      </c>
    </row>
    <row r="208" spans="5:6" x14ac:dyDescent="0.25">
      <c r="E208" s="11" t="s">
        <v>157</v>
      </c>
      <c r="F208" s="6">
        <v>32086.37586</v>
      </c>
    </row>
    <row r="209" spans="5:6" x14ac:dyDescent="0.25">
      <c r="E209" s="11" t="s">
        <v>524</v>
      </c>
      <c r="F209" s="6">
        <v>9232.2830599999998</v>
      </c>
    </row>
    <row r="210" spans="5:6" x14ac:dyDescent="0.25">
      <c r="E210" s="11" t="s">
        <v>220</v>
      </c>
      <c r="F210" s="6">
        <v>6702.3501999999999</v>
      </c>
    </row>
    <row r="211" spans="5:6" x14ac:dyDescent="0.25">
      <c r="E211" s="11" t="s">
        <v>642</v>
      </c>
      <c r="F211" s="6">
        <v>33017.42</v>
      </c>
    </row>
    <row r="212" spans="5:6" x14ac:dyDescent="0.25">
      <c r="E212" s="11" t="s">
        <v>207</v>
      </c>
      <c r="F212" s="6">
        <v>4402.1164799999997</v>
      </c>
    </row>
    <row r="213" spans="5:6" x14ac:dyDescent="0.25">
      <c r="E213" s="11" t="s">
        <v>408</v>
      </c>
      <c r="F213" s="6">
        <v>19800.88896</v>
      </c>
    </row>
    <row r="214" spans="5:6" x14ac:dyDescent="0.25">
      <c r="E214" s="11" t="s">
        <v>484</v>
      </c>
      <c r="F214" s="6">
        <v>10428.057360000001</v>
      </c>
    </row>
    <row r="215" spans="5:6" x14ac:dyDescent="0.25">
      <c r="E215" s="11" t="s">
        <v>426</v>
      </c>
      <c r="F215" s="6">
        <v>2059.0056</v>
      </c>
    </row>
    <row r="216" spans="5:6" x14ac:dyDescent="0.25">
      <c r="E216" s="11" t="s">
        <v>30</v>
      </c>
      <c r="F216" s="6">
        <v>7090.5672000000004</v>
      </c>
    </row>
    <row r="217" spans="5:6" x14ac:dyDescent="0.25">
      <c r="E217" s="11" t="s">
        <v>346</v>
      </c>
      <c r="F217" s="6">
        <v>7105.3528000000006</v>
      </c>
    </row>
    <row r="218" spans="5:6" x14ac:dyDescent="0.25">
      <c r="E218" s="11" t="s">
        <v>248</v>
      </c>
      <c r="F218" s="6">
        <v>14269.848599999999</v>
      </c>
    </row>
    <row r="219" spans="5:6" x14ac:dyDescent="0.25">
      <c r="E219" s="11" t="s">
        <v>243</v>
      </c>
      <c r="F219" s="6">
        <v>7446.5209000000004</v>
      </c>
    </row>
    <row r="220" spans="5:6" x14ac:dyDescent="0.25">
      <c r="E220" s="11" t="s">
        <v>570</v>
      </c>
      <c r="F220" s="6">
        <v>46450.26</v>
      </c>
    </row>
    <row r="221" spans="5:6" x14ac:dyDescent="0.25">
      <c r="E221" s="11" t="s">
        <v>557</v>
      </c>
      <c r="F221" s="6">
        <v>4737.2198399999997</v>
      </c>
    </row>
    <row r="222" spans="5:6" x14ac:dyDescent="0.25">
      <c r="E222" s="11" t="s">
        <v>643</v>
      </c>
      <c r="F222" s="6">
        <v>40476.013200000001</v>
      </c>
    </row>
    <row r="223" spans="5:6" x14ac:dyDescent="0.25">
      <c r="E223" s="11" t="s">
        <v>252</v>
      </c>
      <c r="F223" s="6">
        <v>6684.1875</v>
      </c>
    </row>
    <row r="224" spans="5:6" x14ac:dyDescent="0.25">
      <c r="E224" s="11" t="s">
        <v>282</v>
      </c>
      <c r="F224" s="6">
        <v>6946.8</v>
      </c>
    </row>
    <row r="225" spans="5:6" x14ac:dyDescent="0.25">
      <c r="E225" s="11" t="s">
        <v>553</v>
      </c>
      <c r="F225" s="6">
        <v>66260.314239999992</v>
      </c>
    </row>
    <row r="226" spans="5:6" x14ac:dyDescent="0.25">
      <c r="E226" s="11" t="s">
        <v>129</v>
      </c>
      <c r="F226" s="6">
        <v>1499.22</v>
      </c>
    </row>
    <row r="227" spans="5:6" x14ac:dyDescent="0.25">
      <c r="E227" s="11" t="s">
        <v>429</v>
      </c>
      <c r="F227" s="6">
        <v>18411.4084</v>
      </c>
    </row>
    <row r="228" spans="5:6" x14ac:dyDescent="0.25">
      <c r="E228" s="11" t="s">
        <v>193</v>
      </c>
      <c r="F228" s="6">
        <v>7098.5495999999994</v>
      </c>
    </row>
    <row r="229" spans="5:6" x14ac:dyDescent="0.25">
      <c r="E229" s="11" t="s">
        <v>411</v>
      </c>
      <c r="F229" s="6">
        <v>18641.222160000001</v>
      </c>
    </row>
    <row r="230" spans="5:6" x14ac:dyDescent="0.25">
      <c r="E230" s="11" t="s">
        <v>494</v>
      </c>
      <c r="F230" s="6">
        <v>40488.792960000006</v>
      </c>
    </row>
    <row r="231" spans="5:6" x14ac:dyDescent="0.25">
      <c r="E231" s="11" t="s">
        <v>351</v>
      </c>
      <c r="F231" s="6">
        <v>38535.955099999999</v>
      </c>
    </row>
    <row r="232" spans="5:6" x14ac:dyDescent="0.25">
      <c r="E232" s="11" t="s">
        <v>179</v>
      </c>
      <c r="F232" s="6">
        <v>11851.806399999999</v>
      </c>
    </row>
    <row r="233" spans="5:6" x14ac:dyDescent="0.25">
      <c r="E233" s="11" t="s">
        <v>170</v>
      </c>
      <c r="F233" s="6">
        <v>8909.6646800000017</v>
      </c>
    </row>
    <row r="234" spans="5:6" x14ac:dyDescent="0.25">
      <c r="E234" s="11" t="s">
        <v>564</v>
      </c>
      <c r="F234" s="6">
        <v>29673.454499999993</v>
      </c>
    </row>
    <row r="235" spans="5:6" x14ac:dyDescent="0.25">
      <c r="E235" s="11" t="s">
        <v>340</v>
      </c>
      <c r="F235" s="6">
        <v>2373.9623200000001</v>
      </c>
    </row>
    <row r="236" spans="5:6" x14ac:dyDescent="0.25">
      <c r="E236" s="11" t="s">
        <v>120</v>
      </c>
      <c r="F236" s="6">
        <v>12080.215199999999</v>
      </c>
    </row>
    <row r="237" spans="5:6" x14ac:dyDescent="0.25">
      <c r="E237" s="11" t="s">
        <v>149</v>
      </c>
      <c r="F237" s="6">
        <v>12031.491680000001</v>
      </c>
    </row>
    <row r="238" spans="5:6" x14ac:dyDescent="0.25">
      <c r="E238" s="11" t="s">
        <v>324</v>
      </c>
      <c r="F238" s="6">
        <v>30799.273800000003</v>
      </c>
    </row>
    <row r="239" spans="5:6" x14ac:dyDescent="0.25">
      <c r="E239" s="11" t="s">
        <v>124</v>
      </c>
      <c r="F239" s="6">
        <v>549.80010000000004</v>
      </c>
    </row>
    <row r="240" spans="5:6" x14ac:dyDescent="0.25">
      <c r="E240" s="11" t="s">
        <v>49</v>
      </c>
      <c r="F240" s="6">
        <v>27331.829999999998</v>
      </c>
    </row>
    <row r="241" spans="5:6" x14ac:dyDescent="0.25">
      <c r="E241" s="11" t="s">
        <v>416</v>
      </c>
      <c r="F241" s="6">
        <v>16946.091840000001</v>
      </c>
    </row>
    <row r="242" spans="5:6" x14ac:dyDescent="0.25">
      <c r="E242" s="11" t="s">
        <v>45</v>
      </c>
      <c r="F242" s="6">
        <v>9805.8573800000013</v>
      </c>
    </row>
    <row r="243" spans="5:6" x14ac:dyDescent="0.25">
      <c r="E243" s="11" t="s">
        <v>94</v>
      </c>
      <c r="F243" s="6">
        <v>4877.1379800000004</v>
      </c>
    </row>
    <row r="244" spans="5:6" x14ac:dyDescent="0.25">
      <c r="E244" s="11" t="s">
        <v>229</v>
      </c>
      <c r="F244" s="6">
        <v>15253.069799999999</v>
      </c>
    </row>
    <row r="245" spans="5:6" x14ac:dyDescent="0.25">
      <c r="E245" s="11" t="s">
        <v>168</v>
      </c>
      <c r="F245" s="6">
        <v>29654.83008</v>
      </c>
    </row>
    <row r="246" spans="5:6" x14ac:dyDescent="0.25">
      <c r="E246" s="11" t="s">
        <v>473</v>
      </c>
      <c r="F246" s="6">
        <v>24321.57</v>
      </c>
    </row>
    <row r="247" spans="5:6" x14ac:dyDescent="0.25">
      <c r="E247" s="11" t="s">
        <v>563</v>
      </c>
      <c r="F247" s="6">
        <v>10937.519999999999</v>
      </c>
    </row>
    <row r="248" spans="5:6" x14ac:dyDescent="0.25">
      <c r="E248" s="11" t="s">
        <v>31</v>
      </c>
      <c r="F248" s="6">
        <v>25948.414799999995</v>
      </c>
    </row>
    <row r="249" spans="5:6" x14ac:dyDescent="0.25">
      <c r="E249" s="11" t="s">
        <v>337</v>
      </c>
      <c r="F249" s="6">
        <v>703.2428000000001</v>
      </c>
    </row>
    <row r="250" spans="5:6" x14ac:dyDescent="0.25">
      <c r="E250" s="11" t="s">
        <v>538</v>
      </c>
      <c r="F250" s="6">
        <v>6435.2555999999995</v>
      </c>
    </row>
    <row r="251" spans="5:6" x14ac:dyDescent="0.25">
      <c r="E251" s="11" t="s">
        <v>312</v>
      </c>
      <c r="F251" s="6">
        <v>66.920760000000001</v>
      </c>
    </row>
    <row r="252" spans="5:6" x14ac:dyDescent="0.25">
      <c r="E252" s="11" t="s">
        <v>579</v>
      </c>
      <c r="F252" s="6">
        <v>4229.4321199999995</v>
      </c>
    </row>
    <row r="253" spans="5:6" x14ac:dyDescent="0.25">
      <c r="E253" s="11" t="s">
        <v>495</v>
      </c>
      <c r="F253" s="6">
        <v>4738.5261</v>
      </c>
    </row>
    <row r="254" spans="5:6" x14ac:dyDescent="0.25">
      <c r="E254" s="11" t="s">
        <v>25</v>
      </c>
      <c r="F254" s="6">
        <v>16006.14344</v>
      </c>
    </row>
    <row r="255" spans="5:6" x14ac:dyDescent="0.25">
      <c r="E255" s="11" t="s">
        <v>162</v>
      </c>
      <c r="F255" s="6">
        <v>13321.14</v>
      </c>
    </row>
    <row r="256" spans="5:6" x14ac:dyDescent="0.25">
      <c r="E256" s="11" t="s">
        <v>206</v>
      </c>
      <c r="F256" s="6">
        <v>24374.594880000001</v>
      </c>
    </row>
    <row r="257" spans="5:6" x14ac:dyDescent="0.25">
      <c r="E257" s="11" t="s">
        <v>40</v>
      </c>
      <c r="F257" s="6">
        <v>8596.2905599999995</v>
      </c>
    </row>
    <row r="258" spans="5:6" x14ac:dyDescent="0.25">
      <c r="E258" s="11" t="s">
        <v>177</v>
      </c>
      <c r="F258" s="6">
        <v>8154.5511600000009</v>
      </c>
    </row>
    <row r="259" spans="5:6" x14ac:dyDescent="0.25">
      <c r="E259" s="11" t="s">
        <v>266</v>
      </c>
      <c r="F259" s="6">
        <v>17689.623</v>
      </c>
    </row>
    <row r="260" spans="5:6" x14ac:dyDescent="0.25">
      <c r="E260" s="11" t="s">
        <v>126</v>
      </c>
      <c r="F260" s="6">
        <v>30151.675319999998</v>
      </c>
    </row>
    <row r="261" spans="5:6" x14ac:dyDescent="0.25">
      <c r="E261" s="11" t="s">
        <v>368</v>
      </c>
      <c r="F261" s="6">
        <v>1122.0896000000002</v>
      </c>
    </row>
    <row r="262" spans="5:6" x14ac:dyDescent="0.25">
      <c r="E262" s="11" t="s">
        <v>154</v>
      </c>
      <c r="F262" s="6">
        <v>1446.9507000000001</v>
      </c>
    </row>
    <row r="263" spans="5:6" x14ac:dyDescent="0.25">
      <c r="E263" s="11" t="s">
        <v>196</v>
      </c>
      <c r="F263" s="6">
        <v>41352.246200000009</v>
      </c>
    </row>
    <row r="264" spans="5:6" x14ac:dyDescent="0.25">
      <c r="E264" s="11" t="s">
        <v>601</v>
      </c>
      <c r="F264" s="6">
        <v>25131.155999999999</v>
      </c>
    </row>
    <row r="265" spans="5:6" x14ac:dyDescent="0.25">
      <c r="E265" s="11" t="s">
        <v>504</v>
      </c>
      <c r="F265" s="6">
        <v>1547.3500000000001</v>
      </c>
    </row>
    <row r="266" spans="5:6" x14ac:dyDescent="0.25">
      <c r="E266" s="11" t="s">
        <v>78</v>
      </c>
      <c r="F266" s="6">
        <v>72665.817450000002</v>
      </c>
    </row>
    <row r="267" spans="5:6" x14ac:dyDescent="0.25">
      <c r="E267" s="11" t="s">
        <v>575</v>
      </c>
      <c r="F267" s="6">
        <v>6766.9829999999993</v>
      </c>
    </row>
    <row r="268" spans="5:6" x14ac:dyDescent="0.25">
      <c r="E268" s="11" t="s">
        <v>407</v>
      </c>
      <c r="F268" s="6">
        <v>11285.764020000001</v>
      </c>
    </row>
    <row r="269" spans="5:6" x14ac:dyDescent="0.25">
      <c r="E269" s="11" t="s">
        <v>469</v>
      </c>
      <c r="F269" s="6">
        <v>14752.706080000002</v>
      </c>
    </row>
    <row r="270" spans="5:6" x14ac:dyDescent="0.25">
      <c r="E270" s="11" t="s">
        <v>66</v>
      </c>
      <c r="F270" s="6">
        <v>599.53200000000004</v>
      </c>
    </row>
    <row r="271" spans="5:6" x14ac:dyDescent="0.25">
      <c r="E271" s="11" t="s">
        <v>622</v>
      </c>
      <c r="F271" s="6">
        <v>2736.27018</v>
      </c>
    </row>
    <row r="272" spans="5:6" x14ac:dyDescent="0.25">
      <c r="E272" s="11" t="s">
        <v>15</v>
      </c>
      <c r="F272" s="6">
        <v>4866.3287999999993</v>
      </c>
    </row>
    <row r="273" spans="5:6" x14ac:dyDescent="0.25">
      <c r="E273" s="11" t="s">
        <v>302</v>
      </c>
      <c r="F273" s="6">
        <v>26765.040239999998</v>
      </c>
    </row>
    <row r="274" spans="5:6" x14ac:dyDescent="0.25">
      <c r="E274" s="11" t="s">
        <v>249</v>
      </c>
      <c r="F274" s="6">
        <v>17359.804799999998</v>
      </c>
    </row>
    <row r="275" spans="5:6" x14ac:dyDescent="0.25">
      <c r="E275" s="11" t="s">
        <v>122</v>
      </c>
      <c r="F275" s="6">
        <v>23687.524440000001</v>
      </c>
    </row>
    <row r="276" spans="5:6" x14ac:dyDescent="0.25">
      <c r="E276" s="11" t="s">
        <v>85</v>
      </c>
      <c r="F276" s="6">
        <v>10647.727199999999</v>
      </c>
    </row>
    <row r="277" spans="5:6" x14ac:dyDescent="0.25">
      <c r="E277" s="11" t="s">
        <v>72</v>
      </c>
      <c r="F277" s="6">
        <v>4790.1068000000005</v>
      </c>
    </row>
    <row r="278" spans="5:6" x14ac:dyDescent="0.25">
      <c r="E278" s="11" t="s">
        <v>56</v>
      </c>
      <c r="F278" s="6">
        <v>10558.74</v>
      </c>
    </row>
    <row r="279" spans="5:6" x14ac:dyDescent="0.25">
      <c r="E279" s="11" t="s">
        <v>267</v>
      </c>
      <c r="F279" s="6">
        <v>25483.91488</v>
      </c>
    </row>
    <row r="280" spans="5:6" x14ac:dyDescent="0.25">
      <c r="E280" s="11" t="s">
        <v>405</v>
      </c>
      <c r="F280" s="6">
        <v>2525.0635000000002</v>
      </c>
    </row>
    <row r="281" spans="5:6" x14ac:dyDescent="0.25">
      <c r="E281" s="11" t="s">
        <v>519</v>
      </c>
      <c r="F281" s="6">
        <v>32335.21802</v>
      </c>
    </row>
    <row r="282" spans="5:6" x14ac:dyDescent="0.25">
      <c r="E282" s="11" t="s">
        <v>262</v>
      </c>
      <c r="F282" s="6">
        <v>3592.04</v>
      </c>
    </row>
    <row r="283" spans="5:6" x14ac:dyDescent="0.25">
      <c r="E283" s="11" t="s">
        <v>182</v>
      </c>
      <c r="F283" s="6">
        <v>12413.98458</v>
      </c>
    </row>
    <row r="284" spans="5:6" x14ac:dyDescent="0.25">
      <c r="E284" s="11" t="s">
        <v>576</v>
      </c>
      <c r="F284" s="6">
        <v>33071.3145</v>
      </c>
    </row>
    <row r="285" spans="5:6" x14ac:dyDescent="0.25">
      <c r="E285" s="11" t="s">
        <v>625</v>
      </c>
      <c r="F285" s="6">
        <v>18003.847679999999</v>
      </c>
    </row>
    <row r="286" spans="5:6" x14ac:dyDescent="0.25">
      <c r="E286" s="11" t="s">
        <v>349</v>
      </c>
      <c r="F286" s="6">
        <v>16219.34496</v>
      </c>
    </row>
    <row r="287" spans="5:6" x14ac:dyDescent="0.25">
      <c r="E287" s="11" t="s">
        <v>356</v>
      </c>
      <c r="F287" s="6">
        <v>20053.439999999999</v>
      </c>
    </row>
    <row r="288" spans="5:6" x14ac:dyDescent="0.25">
      <c r="E288" s="11" t="s">
        <v>21</v>
      </c>
      <c r="F288" s="6">
        <v>2886.4496399999998</v>
      </c>
    </row>
    <row r="289" spans="5:6" x14ac:dyDescent="0.25">
      <c r="E289" s="11" t="s">
        <v>627</v>
      </c>
      <c r="F289" s="6">
        <v>82141.339799999987</v>
      </c>
    </row>
    <row r="290" spans="5:6" x14ac:dyDescent="0.25">
      <c r="E290" s="11" t="s">
        <v>377</v>
      </c>
      <c r="F290" s="6">
        <v>7327.9533600000004</v>
      </c>
    </row>
    <row r="291" spans="5:6" x14ac:dyDescent="0.25">
      <c r="E291" s="11" t="s">
        <v>82</v>
      </c>
      <c r="F291" s="6">
        <v>14287.896349999999</v>
      </c>
    </row>
    <row r="292" spans="5:6" x14ac:dyDescent="0.25">
      <c r="E292" s="11" t="s">
        <v>268</v>
      </c>
      <c r="F292" s="6">
        <v>6468.2751599999992</v>
      </c>
    </row>
    <row r="293" spans="5:6" x14ac:dyDescent="0.25">
      <c r="E293" s="11" t="s">
        <v>551</v>
      </c>
      <c r="F293" s="6">
        <v>50958.766320000002</v>
      </c>
    </row>
    <row r="294" spans="5:6" x14ac:dyDescent="0.25">
      <c r="E294" s="11" t="s">
        <v>587</v>
      </c>
      <c r="F294" s="6">
        <v>19139.594240000002</v>
      </c>
    </row>
    <row r="295" spans="5:6" x14ac:dyDescent="0.25">
      <c r="E295" s="11" t="s">
        <v>476</v>
      </c>
      <c r="F295" s="6">
        <v>4055.5175999999997</v>
      </c>
    </row>
    <row r="296" spans="5:6" x14ac:dyDescent="0.25">
      <c r="E296" s="11" t="s">
        <v>176</v>
      </c>
      <c r="F296" s="6">
        <v>5650.1744000000008</v>
      </c>
    </row>
    <row r="297" spans="5:6" x14ac:dyDescent="0.25">
      <c r="E297" s="11" t="s">
        <v>16</v>
      </c>
      <c r="F297" s="6">
        <v>17960.432489999999</v>
      </c>
    </row>
    <row r="298" spans="5:6" x14ac:dyDescent="0.25">
      <c r="E298" s="11" t="s">
        <v>539</v>
      </c>
      <c r="F298" s="6">
        <v>8326.6852500000005</v>
      </c>
    </row>
    <row r="299" spans="5:6" x14ac:dyDescent="0.25">
      <c r="E299" s="11" t="s">
        <v>298</v>
      </c>
      <c r="F299" s="6">
        <v>15505.479600000001</v>
      </c>
    </row>
    <row r="300" spans="5:6" x14ac:dyDescent="0.25">
      <c r="E300" s="11" t="s">
        <v>501</v>
      </c>
      <c r="F300" s="6">
        <v>28856.475000000002</v>
      </c>
    </row>
    <row r="301" spans="5:6" x14ac:dyDescent="0.25">
      <c r="E301" s="11" t="s">
        <v>425</v>
      </c>
      <c r="F301" s="6">
        <v>6899.8804600000003</v>
      </c>
    </row>
    <row r="302" spans="5:6" x14ac:dyDescent="0.25">
      <c r="E302" s="11" t="s">
        <v>444</v>
      </c>
      <c r="F302" s="6">
        <v>12955.824749999998</v>
      </c>
    </row>
    <row r="303" spans="5:6" x14ac:dyDescent="0.25">
      <c r="E303" s="11" t="s">
        <v>499</v>
      </c>
      <c r="F303" s="6">
        <v>6063.2517199999993</v>
      </c>
    </row>
    <row r="304" spans="5:6" x14ac:dyDescent="0.25">
      <c r="E304" s="11" t="s">
        <v>158</v>
      </c>
      <c r="F304" s="6">
        <v>9969.4201499999999</v>
      </c>
    </row>
    <row r="305" spans="5:6" x14ac:dyDescent="0.25">
      <c r="E305" s="11" t="s">
        <v>59</v>
      </c>
      <c r="F305" s="6">
        <v>17930.494560000003</v>
      </c>
    </row>
    <row r="306" spans="5:6" x14ac:dyDescent="0.25">
      <c r="E306" s="11" t="s">
        <v>420</v>
      </c>
      <c r="F306" s="6">
        <v>22457.143800000002</v>
      </c>
    </row>
    <row r="307" spans="5:6" x14ac:dyDescent="0.25">
      <c r="E307" s="11" t="s">
        <v>398</v>
      </c>
      <c r="F307" s="6">
        <v>15257.51748</v>
      </c>
    </row>
    <row r="308" spans="5:6" x14ac:dyDescent="0.25">
      <c r="E308" s="11" t="s">
        <v>532</v>
      </c>
      <c r="F308" s="6">
        <v>9807.7842799999999</v>
      </c>
    </row>
    <row r="309" spans="5:6" x14ac:dyDescent="0.25">
      <c r="E309" s="11" t="s">
        <v>325</v>
      </c>
      <c r="F309" s="6">
        <v>879.05840000000001</v>
      </c>
    </row>
    <row r="310" spans="5:6" x14ac:dyDescent="0.25">
      <c r="E310" s="11" t="s">
        <v>560</v>
      </c>
      <c r="F310" s="6">
        <v>4826.5396199999996</v>
      </c>
    </row>
    <row r="311" spans="5:6" x14ac:dyDescent="0.25">
      <c r="E311" s="11" t="s">
        <v>246</v>
      </c>
      <c r="F311" s="6">
        <v>2879.9836</v>
      </c>
    </row>
    <row r="312" spans="5:6" x14ac:dyDescent="0.25">
      <c r="E312" s="11" t="s">
        <v>328</v>
      </c>
      <c r="F312" s="6">
        <v>5032.4433599999993</v>
      </c>
    </row>
    <row r="313" spans="5:6" x14ac:dyDescent="0.25">
      <c r="E313" s="11" t="s">
        <v>509</v>
      </c>
      <c r="F313" s="6">
        <v>4682.9519799999998</v>
      </c>
    </row>
    <row r="314" spans="5:6" x14ac:dyDescent="0.25">
      <c r="E314" s="11" t="s">
        <v>583</v>
      </c>
      <c r="F314" s="6">
        <v>34307.159999999996</v>
      </c>
    </row>
    <row r="315" spans="5:6" x14ac:dyDescent="0.25">
      <c r="E315" s="11" t="s">
        <v>164</v>
      </c>
      <c r="F315" s="6">
        <v>42495.805439999996</v>
      </c>
    </row>
    <row r="316" spans="5:6" x14ac:dyDescent="0.25">
      <c r="E316" s="11" t="s">
        <v>609</v>
      </c>
      <c r="F316" s="6">
        <v>14910.609600000002</v>
      </c>
    </row>
    <row r="317" spans="5:6" x14ac:dyDescent="0.25">
      <c r="E317" s="11" t="s">
        <v>209</v>
      </c>
      <c r="F317" s="6">
        <v>31191.64716</v>
      </c>
    </row>
    <row r="318" spans="5:6" x14ac:dyDescent="0.25">
      <c r="E318" s="11" t="s">
        <v>455</v>
      </c>
      <c r="F318" s="6">
        <v>12668.50728</v>
      </c>
    </row>
    <row r="319" spans="5:6" x14ac:dyDescent="0.25">
      <c r="E319" s="11" t="s">
        <v>91</v>
      </c>
      <c r="F319" s="6">
        <v>35396.277799999996</v>
      </c>
    </row>
    <row r="320" spans="5:6" x14ac:dyDescent="0.25">
      <c r="E320" s="11" t="s">
        <v>92</v>
      </c>
      <c r="F320" s="6">
        <v>33062.236480000007</v>
      </c>
    </row>
    <row r="321" spans="5:6" x14ac:dyDescent="0.25">
      <c r="E321" s="11" t="s">
        <v>428</v>
      </c>
      <c r="F321" s="6">
        <v>31513.423040000001</v>
      </c>
    </row>
    <row r="322" spans="5:6" x14ac:dyDescent="0.25">
      <c r="E322" s="11" t="s">
        <v>65</v>
      </c>
      <c r="F322" s="6">
        <v>14894.903999999999</v>
      </c>
    </row>
    <row r="323" spans="5:6" x14ac:dyDescent="0.25">
      <c r="E323" s="11" t="s">
        <v>536</v>
      </c>
      <c r="F323" s="6">
        <v>22526.66</v>
      </c>
    </row>
    <row r="324" spans="5:6" x14ac:dyDescent="0.25">
      <c r="E324" s="11" t="s">
        <v>438</v>
      </c>
      <c r="F324" s="6">
        <v>58091.634960000003</v>
      </c>
    </row>
    <row r="325" spans="5:6" x14ac:dyDescent="0.25">
      <c r="E325" s="11" t="s">
        <v>132</v>
      </c>
      <c r="F325" s="6">
        <v>65119.329599999997</v>
      </c>
    </row>
    <row r="326" spans="5:6" x14ac:dyDescent="0.25">
      <c r="E326" s="11" t="s">
        <v>118</v>
      </c>
      <c r="F326" s="6">
        <v>5960.3340000000007</v>
      </c>
    </row>
    <row r="327" spans="5:6" x14ac:dyDescent="0.25">
      <c r="E327" s="11" t="s">
        <v>593</v>
      </c>
      <c r="F327" s="6">
        <v>4280.6786400000001</v>
      </c>
    </row>
    <row r="328" spans="5:6" x14ac:dyDescent="0.25">
      <c r="E328" s="11" t="s">
        <v>289</v>
      </c>
      <c r="F328" s="6">
        <v>8567.3924999999999</v>
      </c>
    </row>
    <row r="329" spans="5:6" x14ac:dyDescent="0.25">
      <c r="E329" s="11" t="s">
        <v>38</v>
      </c>
      <c r="F329" s="6">
        <v>20225.2248</v>
      </c>
    </row>
    <row r="330" spans="5:6" x14ac:dyDescent="0.25">
      <c r="E330" s="11" t="s">
        <v>280</v>
      </c>
      <c r="F330" s="6">
        <v>38818.760160000005</v>
      </c>
    </row>
    <row r="331" spans="5:6" x14ac:dyDescent="0.25">
      <c r="E331" s="11" t="s">
        <v>338</v>
      </c>
      <c r="F331" s="6">
        <v>26015.449459999996</v>
      </c>
    </row>
    <row r="332" spans="5:6" x14ac:dyDescent="0.25">
      <c r="E332" s="11" t="s">
        <v>203</v>
      </c>
      <c r="F332" s="6">
        <v>8590.7094000000016</v>
      </c>
    </row>
    <row r="333" spans="5:6" x14ac:dyDescent="0.25">
      <c r="E333" s="11" t="s">
        <v>479</v>
      </c>
      <c r="F333" s="6">
        <v>84136.119600000005</v>
      </c>
    </row>
    <row r="334" spans="5:6" x14ac:dyDescent="0.25">
      <c r="E334" s="11" t="s">
        <v>458</v>
      </c>
      <c r="F334" s="6">
        <v>21664.440000000002</v>
      </c>
    </row>
    <row r="335" spans="5:6" x14ac:dyDescent="0.25">
      <c r="E335" s="11" t="s">
        <v>371</v>
      </c>
      <c r="F335" s="6">
        <v>49336.511399999996</v>
      </c>
    </row>
    <row r="336" spans="5:6" x14ac:dyDescent="0.25">
      <c r="E336" s="11" t="s">
        <v>439</v>
      </c>
      <c r="F336" s="6">
        <v>15366.983199999999</v>
      </c>
    </row>
    <row r="337" spans="5:6" x14ac:dyDescent="0.25">
      <c r="E337" s="11" t="s">
        <v>507</v>
      </c>
      <c r="F337" s="6">
        <v>110.14919999999999</v>
      </c>
    </row>
    <row r="338" spans="5:6" x14ac:dyDescent="0.25">
      <c r="E338" s="11" t="s">
        <v>401</v>
      </c>
      <c r="F338" s="6">
        <v>19773.362699999998</v>
      </c>
    </row>
    <row r="339" spans="5:6" x14ac:dyDescent="0.25">
      <c r="E339" s="11" t="s">
        <v>544</v>
      </c>
      <c r="F339" s="6">
        <v>9262.0686600000008</v>
      </c>
    </row>
    <row r="340" spans="5:6" x14ac:dyDescent="0.25">
      <c r="E340" s="11" t="s">
        <v>569</v>
      </c>
      <c r="F340" s="6">
        <v>33551.927499999998</v>
      </c>
    </row>
    <row r="341" spans="5:6" x14ac:dyDescent="0.25">
      <c r="E341" s="11" t="s">
        <v>424</v>
      </c>
      <c r="F341" s="6">
        <v>5323.9903199999999</v>
      </c>
    </row>
    <row r="342" spans="5:6" x14ac:dyDescent="0.25">
      <c r="E342" s="11" t="s">
        <v>260</v>
      </c>
      <c r="F342" s="6">
        <v>9774.3888000000006</v>
      </c>
    </row>
    <row r="343" spans="5:6" x14ac:dyDescent="0.25">
      <c r="E343" s="11" t="s">
        <v>62</v>
      </c>
      <c r="F343" s="6">
        <v>109244</v>
      </c>
    </row>
    <row r="344" spans="5:6" x14ac:dyDescent="0.25">
      <c r="E344" s="11" t="s">
        <v>615</v>
      </c>
      <c r="F344" s="6">
        <v>7466.3063999999986</v>
      </c>
    </row>
    <row r="345" spans="5:6" x14ac:dyDescent="0.25">
      <c r="E345" s="11" t="s">
        <v>172</v>
      </c>
      <c r="F345" s="6">
        <v>24147.922500000001</v>
      </c>
    </row>
    <row r="346" spans="5:6" x14ac:dyDescent="0.25">
      <c r="E346" s="11" t="s">
        <v>573</v>
      </c>
      <c r="F346" s="6">
        <v>13108.78584</v>
      </c>
    </row>
    <row r="347" spans="5:6" x14ac:dyDescent="0.25">
      <c r="E347" s="11" t="s">
        <v>463</v>
      </c>
      <c r="F347" s="6">
        <v>12289.2</v>
      </c>
    </row>
    <row r="348" spans="5:6" x14ac:dyDescent="0.25">
      <c r="E348" s="11" t="s">
        <v>515</v>
      </c>
      <c r="F348" s="6">
        <v>7428.1108999999988</v>
      </c>
    </row>
    <row r="349" spans="5:6" x14ac:dyDescent="0.25">
      <c r="E349" s="11" t="s">
        <v>247</v>
      </c>
      <c r="F349" s="6">
        <v>5280.8577599999999</v>
      </c>
    </row>
    <row r="350" spans="5:6" x14ac:dyDescent="0.25">
      <c r="E350" s="11" t="s">
        <v>350</v>
      </c>
      <c r="F350" s="6">
        <v>28247.74656</v>
      </c>
    </row>
    <row r="351" spans="5:6" x14ac:dyDescent="0.25">
      <c r="E351" s="11" t="s">
        <v>602</v>
      </c>
      <c r="F351" s="6">
        <v>68665.574250000005</v>
      </c>
    </row>
    <row r="352" spans="5:6" x14ac:dyDescent="0.25">
      <c r="E352" s="11" t="s">
        <v>508</v>
      </c>
      <c r="F352" s="6">
        <v>11859.695119999998</v>
      </c>
    </row>
    <row r="353" spans="5:6" x14ac:dyDescent="0.25">
      <c r="E353" s="11" t="s">
        <v>292</v>
      </c>
      <c r="F353" s="6">
        <v>34840.344000000005</v>
      </c>
    </row>
    <row r="354" spans="5:6" x14ac:dyDescent="0.25">
      <c r="E354" s="11" t="s">
        <v>448</v>
      </c>
      <c r="F354" s="6">
        <v>1950.0031200000001</v>
      </c>
    </row>
    <row r="355" spans="5:6" x14ac:dyDescent="0.25">
      <c r="E355" s="11" t="s">
        <v>141</v>
      </c>
      <c r="F355" s="6">
        <v>65111.38614000001</v>
      </c>
    </row>
    <row r="356" spans="5:6" x14ac:dyDescent="0.25">
      <c r="E356" s="11" t="s">
        <v>613</v>
      </c>
      <c r="F356" s="6">
        <v>5962.1422499999999</v>
      </c>
    </row>
    <row r="357" spans="5:6" x14ac:dyDescent="0.25">
      <c r="E357" s="11" t="s">
        <v>138</v>
      </c>
      <c r="F357" s="6">
        <v>10817.3416</v>
      </c>
    </row>
    <row r="358" spans="5:6" x14ac:dyDescent="0.25">
      <c r="E358" s="11" t="s">
        <v>23</v>
      </c>
      <c r="F358" s="6">
        <v>14714.12934</v>
      </c>
    </row>
    <row r="359" spans="5:6" x14ac:dyDescent="0.25">
      <c r="E359" s="11" t="s">
        <v>597</v>
      </c>
      <c r="F359" s="6">
        <v>40563.321749999996</v>
      </c>
    </row>
    <row r="360" spans="5:6" x14ac:dyDescent="0.25">
      <c r="E360" s="11" t="s">
        <v>101</v>
      </c>
      <c r="F360" s="6">
        <v>14197.064400000001</v>
      </c>
    </row>
    <row r="361" spans="5:6" x14ac:dyDescent="0.25">
      <c r="E361" s="11" t="s">
        <v>53</v>
      </c>
      <c r="F361" s="6">
        <v>14968.239</v>
      </c>
    </row>
    <row r="362" spans="5:6" x14ac:dyDescent="0.25">
      <c r="E362" s="11" t="s">
        <v>103</v>
      </c>
      <c r="F362" s="6">
        <v>11842.8464</v>
      </c>
    </row>
    <row r="363" spans="5:6" x14ac:dyDescent="0.25">
      <c r="E363" s="11" t="s">
        <v>143</v>
      </c>
      <c r="F363" s="6">
        <v>2642.1686999999997</v>
      </c>
    </row>
    <row r="364" spans="5:6" x14ac:dyDescent="0.25">
      <c r="E364" s="11" t="s">
        <v>185</v>
      </c>
      <c r="F364" s="6">
        <v>14549.029120000001</v>
      </c>
    </row>
    <row r="365" spans="5:6" x14ac:dyDescent="0.25">
      <c r="E365" s="11" t="s">
        <v>415</v>
      </c>
      <c r="F365" s="6">
        <v>17427.164800000002</v>
      </c>
    </row>
    <row r="366" spans="5:6" x14ac:dyDescent="0.25">
      <c r="E366" s="11" t="s">
        <v>556</v>
      </c>
      <c r="F366" s="6">
        <v>30652.403519999996</v>
      </c>
    </row>
    <row r="367" spans="5:6" x14ac:dyDescent="0.25">
      <c r="E367" s="11" t="s">
        <v>48</v>
      </c>
      <c r="F367" s="6">
        <v>13218.5</v>
      </c>
    </row>
    <row r="368" spans="5:6" x14ac:dyDescent="0.25">
      <c r="E368" s="11" t="s">
        <v>55</v>
      </c>
      <c r="F368" s="6">
        <v>41106.800970000004</v>
      </c>
    </row>
    <row r="369" spans="5:6" x14ac:dyDescent="0.25">
      <c r="E369" s="11" t="s">
        <v>112</v>
      </c>
      <c r="F369" s="6">
        <v>34139.159999999996</v>
      </c>
    </row>
    <row r="370" spans="5:6" x14ac:dyDescent="0.25">
      <c r="E370" s="11" t="s">
        <v>199</v>
      </c>
      <c r="F370" s="6">
        <v>26408.63841</v>
      </c>
    </row>
    <row r="371" spans="5:6" x14ac:dyDescent="0.25">
      <c r="E371" s="11" t="s">
        <v>490</v>
      </c>
      <c r="F371" s="6">
        <v>1009.2969000000002</v>
      </c>
    </row>
    <row r="372" spans="5:6" x14ac:dyDescent="0.25">
      <c r="E372" s="11" t="s">
        <v>357</v>
      </c>
      <c r="F372" s="6">
        <v>8938.8996600000009</v>
      </c>
    </row>
    <row r="373" spans="5:6" x14ac:dyDescent="0.25">
      <c r="E373" s="11" t="s">
        <v>487</v>
      </c>
      <c r="F373" s="6">
        <v>8330.2513199999994</v>
      </c>
    </row>
    <row r="374" spans="5:6" x14ac:dyDescent="0.25">
      <c r="E374" s="11" t="s">
        <v>445</v>
      </c>
      <c r="F374" s="6">
        <v>58057.65</v>
      </c>
    </row>
    <row r="375" spans="5:6" x14ac:dyDescent="0.25">
      <c r="E375" s="11" t="s">
        <v>430</v>
      </c>
      <c r="F375" s="6">
        <v>10893.6232</v>
      </c>
    </row>
    <row r="376" spans="5:6" x14ac:dyDescent="0.25">
      <c r="E376" s="11" t="s">
        <v>264</v>
      </c>
      <c r="F376" s="6">
        <v>12186.368600000002</v>
      </c>
    </row>
    <row r="377" spans="5:6" x14ac:dyDescent="0.25">
      <c r="E377" s="11" t="s">
        <v>210</v>
      </c>
      <c r="F377" s="6">
        <v>21679.749799999998</v>
      </c>
    </row>
    <row r="378" spans="5:6" x14ac:dyDescent="0.25">
      <c r="E378" s="11" t="s">
        <v>417</v>
      </c>
      <c r="F378" s="6">
        <v>5250.4239000000007</v>
      </c>
    </row>
    <row r="379" spans="5:6" x14ac:dyDescent="0.25">
      <c r="E379" s="11" t="s">
        <v>224</v>
      </c>
      <c r="F379" s="6">
        <v>18061.204320000004</v>
      </c>
    </row>
    <row r="380" spans="5:6" x14ac:dyDescent="0.25">
      <c r="E380" s="11" t="s">
        <v>572</v>
      </c>
      <c r="F380" s="6">
        <v>10519.776450000001</v>
      </c>
    </row>
    <row r="381" spans="5:6" x14ac:dyDescent="0.25">
      <c r="E381" s="11" t="s">
        <v>222</v>
      </c>
      <c r="F381" s="6">
        <v>15825.399369999997</v>
      </c>
    </row>
    <row r="382" spans="5:6" x14ac:dyDescent="0.25">
      <c r="E382" s="11" t="s">
        <v>598</v>
      </c>
      <c r="F382" s="6">
        <v>3823.6151599999998</v>
      </c>
    </row>
    <row r="383" spans="5:6" x14ac:dyDescent="0.25">
      <c r="E383" s="11" t="s">
        <v>388</v>
      </c>
      <c r="F383" s="6">
        <v>31005.24768</v>
      </c>
    </row>
    <row r="384" spans="5:6" x14ac:dyDescent="0.25">
      <c r="E384" s="11" t="s">
        <v>51</v>
      </c>
      <c r="F384" s="6">
        <v>18957.37689</v>
      </c>
    </row>
    <row r="385" spans="5:6" x14ac:dyDescent="0.25">
      <c r="E385" s="11" t="s">
        <v>374</v>
      </c>
      <c r="F385" s="6">
        <v>35167.7448</v>
      </c>
    </row>
    <row r="386" spans="5:6" x14ac:dyDescent="0.25">
      <c r="E386" s="11" t="s">
        <v>542</v>
      </c>
      <c r="F386" s="6">
        <v>58526.83122</v>
      </c>
    </row>
    <row r="387" spans="5:6" x14ac:dyDescent="0.25">
      <c r="E387" s="11" t="s">
        <v>335</v>
      </c>
      <c r="F387" s="6">
        <v>7493.1076000000012</v>
      </c>
    </row>
    <row r="388" spans="5:6" x14ac:dyDescent="0.25">
      <c r="E388" s="11" t="s">
        <v>232</v>
      </c>
      <c r="F388" s="6">
        <v>6535.6324800000002</v>
      </c>
    </row>
    <row r="389" spans="5:6" x14ac:dyDescent="0.25">
      <c r="E389" s="11" t="s">
        <v>511</v>
      </c>
      <c r="F389" s="6">
        <v>25249.613219999999</v>
      </c>
    </row>
    <row r="390" spans="5:6" x14ac:dyDescent="0.25">
      <c r="E390" s="11" t="s">
        <v>521</v>
      </c>
      <c r="F390" s="6">
        <v>15323.926799999999</v>
      </c>
    </row>
    <row r="391" spans="5:6" x14ac:dyDescent="0.25">
      <c r="E391" s="11" t="s">
        <v>626</v>
      </c>
      <c r="F391" s="6">
        <v>9256.14</v>
      </c>
    </row>
    <row r="392" spans="5:6" x14ac:dyDescent="0.25">
      <c r="E392" s="11" t="s">
        <v>457</v>
      </c>
      <c r="F392" s="6">
        <v>5960.04288</v>
      </c>
    </row>
    <row r="393" spans="5:6" x14ac:dyDescent="0.25">
      <c r="E393" s="11" t="s">
        <v>286</v>
      </c>
      <c r="F393" s="6">
        <v>34632.106319999999</v>
      </c>
    </row>
    <row r="394" spans="5:6" x14ac:dyDescent="0.25">
      <c r="E394" s="11" t="s">
        <v>433</v>
      </c>
      <c r="F394" s="6">
        <v>9509.2865999999995</v>
      </c>
    </row>
    <row r="395" spans="5:6" x14ac:dyDescent="0.25">
      <c r="E395" s="11" t="s">
        <v>633</v>
      </c>
      <c r="F395" s="6">
        <v>41419.524249999995</v>
      </c>
    </row>
    <row r="396" spans="5:6" x14ac:dyDescent="0.25">
      <c r="E396" s="11" t="s">
        <v>204</v>
      </c>
      <c r="F396" s="6">
        <v>19542.975350000001</v>
      </c>
    </row>
    <row r="397" spans="5:6" x14ac:dyDescent="0.25">
      <c r="E397" s="11" t="s">
        <v>171</v>
      </c>
      <c r="F397" s="6">
        <v>7203.8047000000006</v>
      </c>
    </row>
    <row r="398" spans="5:6" x14ac:dyDescent="0.25">
      <c r="E398" s="11" t="s">
        <v>582</v>
      </c>
      <c r="F398" s="6">
        <v>25079.480689999997</v>
      </c>
    </row>
    <row r="399" spans="5:6" x14ac:dyDescent="0.25">
      <c r="E399" s="11" t="s">
        <v>119</v>
      </c>
      <c r="F399" s="6">
        <v>12335.654849999999</v>
      </c>
    </row>
    <row r="400" spans="5:6" x14ac:dyDescent="0.25">
      <c r="E400" s="11" t="s">
        <v>523</v>
      </c>
      <c r="F400" s="6">
        <v>8297.4286000000011</v>
      </c>
    </row>
    <row r="401" spans="5:6" x14ac:dyDescent="0.25">
      <c r="E401" s="11" t="s">
        <v>233</v>
      </c>
      <c r="F401" s="6">
        <v>28211.92124</v>
      </c>
    </row>
    <row r="402" spans="5:6" x14ac:dyDescent="0.25">
      <c r="E402" s="11" t="s">
        <v>153</v>
      </c>
      <c r="F402" s="6">
        <v>35567.737920000007</v>
      </c>
    </row>
    <row r="403" spans="5:6" x14ac:dyDescent="0.25">
      <c r="E403" s="11" t="s">
        <v>480</v>
      </c>
      <c r="F403" s="6">
        <v>2719.8567000000003</v>
      </c>
    </row>
    <row r="404" spans="5:6" x14ac:dyDescent="0.25">
      <c r="E404" s="11" t="s">
        <v>41</v>
      </c>
      <c r="F404" s="6">
        <v>1756.6999999999998</v>
      </c>
    </row>
    <row r="405" spans="5:6" x14ac:dyDescent="0.25">
      <c r="E405" s="11" t="s">
        <v>310</v>
      </c>
      <c r="F405" s="6">
        <v>4241.88105</v>
      </c>
    </row>
    <row r="406" spans="5:6" x14ac:dyDescent="0.25">
      <c r="E406" s="11" t="s">
        <v>505</v>
      </c>
      <c r="F406" s="6">
        <v>6664.0999999999995</v>
      </c>
    </row>
    <row r="407" spans="5:6" x14ac:dyDescent="0.25">
      <c r="E407" s="11" t="s">
        <v>123</v>
      </c>
      <c r="F407" s="6">
        <v>1660.3999999999999</v>
      </c>
    </row>
    <row r="408" spans="5:6" x14ac:dyDescent="0.25">
      <c r="E408" s="11" t="s">
        <v>35</v>
      </c>
      <c r="F408" s="6">
        <v>23782.310720000001</v>
      </c>
    </row>
    <row r="409" spans="5:6" x14ac:dyDescent="0.25">
      <c r="E409" s="11" t="s">
        <v>88</v>
      </c>
      <c r="F409" s="6">
        <v>9373.460219999999</v>
      </c>
    </row>
    <row r="410" spans="5:6" x14ac:dyDescent="0.25">
      <c r="E410" s="11" t="s">
        <v>250</v>
      </c>
      <c r="F410" s="6">
        <v>37038.581760000001</v>
      </c>
    </row>
    <row r="411" spans="5:6" x14ac:dyDescent="0.25">
      <c r="E411" s="11" t="s">
        <v>442</v>
      </c>
      <c r="F411" s="6">
        <v>13450.74</v>
      </c>
    </row>
    <row r="412" spans="5:6" x14ac:dyDescent="0.25">
      <c r="E412" s="11" t="s">
        <v>636</v>
      </c>
      <c r="F412" s="6">
        <v>30229.994880000002</v>
      </c>
    </row>
    <row r="413" spans="5:6" x14ac:dyDescent="0.25">
      <c r="E413" s="11" t="s">
        <v>380</v>
      </c>
      <c r="F413" s="6">
        <v>19547.329920000004</v>
      </c>
    </row>
    <row r="414" spans="5:6" x14ac:dyDescent="0.25">
      <c r="E414" s="11" t="s">
        <v>334</v>
      </c>
      <c r="F414" s="6">
        <v>22380.204000000002</v>
      </c>
    </row>
    <row r="415" spans="5:6" x14ac:dyDescent="0.25">
      <c r="E415" s="11" t="s">
        <v>537</v>
      </c>
      <c r="F415" s="6">
        <v>16121.273400000002</v>
      </c>
    </row>
    <row r="416" spans="5:6" x14ac:dyDescent="0.25">
      <c r="E416" s="11" t="s">
        <v>288</v>
      </c>
      <c r="F416" s="6">
        <v>11417.429099999999</v>
      </c>
    </row>
    <row r="417" spans="5:6" x14ac:dyDescent="0.25">
      <c r="E417" s="11" t="s">
        <v>151</v>
      </c>
      <c r="F417" s="6">
        <v>9698.1638399999993</v>
      </c>
    </row>
    <row r="418" spans="5:6" x14ac:dyDescent="0.25">
      <c r="E418" s="11" t="s">
        <v>447</v>
      </c>
      <c r="F418" s="6">
        <v>12967.958640000001</v>
      </c>
    </row>
    <row r="419" spans="5:6" x14ac:dyDescent="0.25">
      <c r="E419" s="11" t="s">
        <v>623</v>
      </c>
      <c r="F419" s="6">
        <v>2077.46</v>
      </c>
    </row>
    <row r="420" spans="5:6" x14ac:dyDescent="0.25">
      <c r="E420" s="11" t="s">
        <v>116</v>
      </c>
      <c r="F420" s="6">
        <v>6324.5775999999996</v>
      </c>
    </row>
    <row r="421" spans="5:6" x14ac:dyDescent="0.25">
      <c r="E421" s="11" t="s">
        <v>466</v>
      </c>
      <c r="F421" s="6">
        <v>23694.405119999999</v>
      </c>
    </row>
    <row r="422" spans="5:6" x14ac:dyDescent="0.25">
      <c r="E422" s="11" t="s">
        <v>259</v>
      </c>
      <c r="F422" s="6">
        <v>2909.8689199999999</v>
      </c>
    </row>
    <row r="423" spans="5:6" x14ac:dyDescent="0.25">
      <c r="E423" s="11" t="s">
        <v>42</v>
      </c>
      <c r="F423" s="6">
        <v>3980.7075</v>
      </c>
    </row>
    <row r="424" spans="5:6" x14ac:dyDescent="0.25">
      <c r="E424" s="11" t="s">
        <v>269</v>
      </c>
      <c r="F424" s="6">
        <v>24161.205600000001</v>
      </c>
    </row>
    <row r="425" spans="5:6" x14ac:dyDescent="0.25">
      <c r="E425" s="11" t="s">
        <v>301</v>
      </c>
      <c r="F425" s="6">
        <v>20028.787380000002</v>
      </c>
    </row>
    <row r="426" spans="5:6" x14ac:dyDescent="0.25">
      <c r="E426" s="11" t="s">
        <v>257</v>
      </c>
      <c r="F426" s="6">
        <v>748.22303999999997</v>
      </c>
    </row>
    <row r="427" spans="5:6" x14ac:dyDescent="0.25">
      <c r="E427" s="11" t="s">
        <v>389</v>
      </c>
      <c r="F427" s="6">
        <v>38422.022320000004</v>
      </c>
    </row>
    <row r="428" spans="5:6" x14ac:dyDescent="0.25">
      <c r="E428" s="11" t="s">
        <v>574</v>
      </c>
      <c r="F428" s="6">
        <v>13251.48</v>
      </c>
    </row>
    <row r="429" spans="5:6" x14ac:dyDescent="0.25">
      <c r="E429" s="11" t="s">
        <v>318</v>
      </c>
      <c r="F429" s="6">
        <v>5932.7856000000002</v>
      </c>
    </row>
    <row r="430" spans="5:6" x14ac:dyDescent="0.25">
      <c r="E430" s="11" t="s">
        <v>283</v>
      </c>
      <c r="F430" s="6">
        <v>7678.2113999999992</v>
      </c>
    </row>
    <row r="431" spans="5:6" x14ac:dyDescent="0.25">
      <c r="E431" s="11" t="s">
        <v>462</v>
      </c>
      <c r="F431" s="6">
        <v>45547.183360000003</v>
      </c>
    </row>
    <row r="432" spans="5:6" x14ac:dyDescent="0.25">
      <c r="E432" s="11" t="s">
        <v>28</v>
      </c>
      <c r="F432" s="6">
        <v>21585.15</v>
      </c>
    </row>
    <row r="433" spans="5:6" x14ac:dyDescent="0.25">
      <c r="E433" s="11" t="s">
        <v>373</v>
      </c>
      <c r="F433" s="6">
        <v>14813.731920000002</v>
      </c>
    </row>
    <row r="434" spans="5:6" x14ac:dyDescent="0.25">
      <c r="E434" s="11" t="s">
        <v>534</v>
      </c>
      <c r="F434" s="6">
        <v>7399.4832000000006</v>
      </c>
    </row>
    <row r="435" spans="5:6" x14ac:dyDescent="0.25">
      <c r="E435" s="11" t="s">
        <v>358</v>
      </c>
      <c r="F435" s="6">
        <v>3175.1547799999998</v>
      </c>
    </row>
    <row r="436" spans="5:6" x14ac:dyDescent="0.25">
      <c r="E436" s="11" t="s">
        <v>253</v>
      </c>
      <c r="F436" s="6">
        <v>3823.5108</v>
      </c>
    </row>
    <row r="437" spans="5:6" x14ac:dyDescent="0.25">
      <c r="E437" s="11" t="s">
        <v>360</v>
      </c>
      <c r="F437" s="6">
        <v>79082.507010000001</v>
      </c>
    </row>
    <row r="438" spans="5:6" x14ac:dyDescent="0.25">
      <c r="E438" s="11" t="s">
        <v>156</v>
      </c>
      <c r="F438" s="6">
        <v>8211.6342000000004</v>
      </c>
    </row>
    <row r="439" spans="5:6" x14ac:dyDescent="0.25">
      <c r="E439" s="11" t="s">
        <v>75</v>
      </c>
      <c r="F439" s="6">
        <v>33687.501800000005</v>
      </c>
    </row>
    <row r="440" spans="5:6" x14ac:dyDescent="0.25">
      <c r="E440" s="11" t="s">
        <v>614</v>
      </c>
      <c r="F440" s="6">
        <v>33938.142760000002</v>
      </c>
    </row>
    <row r="441" spans="5:6" x14ac:dyDescent="0.25">
      <c r="E441" s="11" t="s">
        <v>125</v>
      </c>
      <c r="F441" s="6">
        <v>27676.35</v>
      </c>
    </row>
    <row r="442" spans="5:6" x14ac:dyDescent="0.25">
      <c r="E442" s="11" t="s">
        <v>367</v>
      </c>
      <c r="F442" s="6">
        <v>34816.968000000001</v>
      </c>
    </row>
    <row r="443" spans="5:6" x14ac:dyDescent="0.25">
      <c r="E443" s="11" t="s">
        <v>127</v>
      </c>
      <c r="F443" s="6">
        <v>34.689059999999998</v>
      </c>
    </row>
    <row r="444" spans="5:6" x14ac:dyDescent="0.25">
      <c r="E444" s="11" t="s">
        <v>369</v>
      </c>
      <c r="F444" s="6">
        <v>23195.01828</v>
      </c>
    </row>
    <row r="445" spans="5:6" x14ac:dyDescent="0.25">
      <c r="E445" s="11" t="s">
        <v>327</v>
      </c>
      <c r="F445" s="6">
        <v>40325.31</v>
      </c>
    </row>
    <row r="446" spans="5:6" x14ac:dyDescent="0.25">
      <c r="E446" s="11" t="s">
        <v>631</v>
      </c>
      <c r="F446" s="6">
        <v>30018.667280000001</v>
      </c>
    </row>
    <row r="447" spans="5:6" x14ac:dyDescent="0.25">
      <c r="E447" s="11" t="s">
        <v>87</v>
      </c>
      <c r="F447" s="6">
        <v>20171.63305</v>
      </c>
    </row>
    <row r="448" spans="5:6" x14ac:dyDescent="0.25">
      <c r="E448" s="11" t="s">
        <v>184</v>
      </c>
      <c r="F448" s="6">
        <v>2316.2621999999997</v>
      </c>
    </row>
    <row r="449" spans="5:6" x14ac:dyDescent="0.25">
      <c r="E449" s="11" t="s">
        <v>607</v>
      </c>
      <c r="F449" s="6">
        <v>5725.6496000000006</v>
      </c>
    </row>
    <row r="450" spans="5:6" x14ac:dyDescent="0.25">
      <c r="E450" s="11" t="s">
        <v>290</v>
      </c>
      <c r="F450" s="6">
        <v>79548.755999999994</v>
      </c>
    </row>
    <row r="451" spans="5:6" x14ac:dyDescent="0.25">
      <c r="E451" s="11" t="s">
        <v>192</v>
      </c>
      <c r="F451" s="6">
        <v>321.93290999999999</v>
      </c>
    </row>
    <row r="452" spans="5:6" x14ac:dyDescent="0.25">
      <c r="E452" s="11" t="s">
        <v>525</v>
      </c>
      <c r="F452" s="6">
        <v>3525.5505600000001</v>
      </c>
    </row>
    <row r="453" spans="5:6" x14ac:dyDescent="0.25">
      <c r="E453" s="11" t="s">
        <v>372</v>
      </c>
      <c r="F453" s="6">
        <v>4071.8</v>
      </c>
    </row>
    <row r="454" spans="5:6" x14ac:dyDescent="0.25">
      <c r="E454" s="11" t="s">
        <v>526</v>
      </c>
      <c r="F454" s="6">
        <v>50296.415399999998</v>
      </c>
    </row>
    <row r="455" spans="5:6" x14ac:dyDescent="0.25">
      <c r="E455" s="11" t="s">
        <v>63</v>
      </c>
      <c r="F455" s="6">
        <v>35621.302319999995</v>
      </c>
    </row>
    <row r="456" spans="5:6" x14ac:dyDescent="0.25">
      <c r="E456" s="11" t="s">
        <v>211</v>
      </c>
      <c r="F456" s="6">
        <v>11326.846439999999</v>
      </c>
    </row>
    <row r="457" spans="5:6" x14ac:dyDescent="0.25">
      <c r="E457" s="11" t="s">
        <v>189</v>
      </c>
      <c r="F457" s="6">
        <v>1952.6356799999999</v>
      </c>
    </row>
    <row r="458" spans="5:6" x14ac:dyDescent="0.25">
      <c r="E458" s="11" t="s">
        <v>450</v>
      </c>
      <c r="F458" s="6">
        <v>5546.4642200000008</v>
      </c>
    </row>
    <row r="459" spans="5:6" x14ac:dyDescent="0.25">
      <c r="E459" s="11" t="s">
        <v>413</v>
      </c>
      <c r="F459" s="6">
        <v>12972.00222</v>
      </c>
    </row>
    <row r="460" spans="5:6" x14ac:dyDescent="0.25">
      <c r="E460" s="11" t="s">
        <v>502</v>
      </c>
      <c r="F460" s="6">
        <v>4025.8565599999993</v>
      </c>
    </row>
    <row r="461" spans="5:6" x14ac:dyDescent="0.25">
      <c r="E461" s="11" t="s">
        <v>580</v>
      </c>
      <c r="F461" s="6">
        <v>17540.201120000002</v>
      </c>
    </row>
    <row r="462" spans="5:6" x14ac:dyDescent="0.25">
      <c r="E462" s="11" t="s">
        <v>226</v>
      </c>
      <c r="F462" s="6">
        <v>6984.8246399999998</v>
      </c>
    </row>
    <row r="463" spans="5:6" x14ac:dyDescent="0.25">
      <c r="E463" s="11" t="s">
        <v>441</v>
      </c>
      <c r="F463" s="6">
        <v>20038.536</v>
      </c>
    </row>
    <row r="464" spans="5:6" x14ac:dyDescent="0.25">
      <c r="E464" s="11" t="s">
        <v>108</v>
      </c>
      <c r="F464" s="6">
        <v>20079.343620000003</v>
      </c>
    </row>
    <row r="465" spans="5:6" x14ac:dyDescent="0.25">
      <c r="E465" s="11" t="s">
        <v>57</v>
      </c>
      <c r="F465" s="6">
        <v>31404.1</v>
      </c>
    </row>
    <row r="466" spans="5:6" x14ac:dyDescent="0.25">
      <c r="E466" s="11" t="s">
        <v>215</v>
      </c>
      <c r="F466" s="6">
        <v>4637.7968000000001</v>
      </c>
    </row>
    <row r="467" spans="5:6" x14ac:dyDescent="0.25">
      <c r="E467" s="11" t="s">
        <v>97</v>
      </c>
      <c r="F467" s="6">
        <v>5331.6696000000002</v>
      </c>
    </row>
    <row r="468" spans="5:6" x14ac:dyDescent="0.25">
      <c r="E468" s="11" t="s">
        <v>379</v>
      </c>
      <c r="F468" s="6">
        <v>21584.693520000001</v>
      </c>
    </row>
    <row r="469" spans="5:6" x14ac:dyDescent="0.25">
      <c r="E469" s="11" t="s">
        <v>251</v>
      </c>
      <c r="F469" s="6">
        <v>139277.83032000001</v>
      </c>
    </row>
    <row r="470" spans="5:6" x14ac:dyDescent="0.25">
      <c r="E470" s="11" t="s">
        <v>528</v>
      </c>
      <c r="F470" s="6">
        <v>33308.550000000003</v>
      </c>
    </row>
    <row r="471" spans="5:6" x14ac:dyDescent="0.25">
      <c r="E471" s="11" t="s">
        <v>319</v>
      </c>
      <c r="F471" s="6">
        <v>1641.7107199999998</v>
      </c>
    </row>
    <row r="472" spans="5:6" x14ac:dyDescent="0.25">
      <c r="E472" s="11" t="s">
        <v>221</v>
      </c>
      <c r="F472" s="6">
        <v>28386.015839999996</v>
      </c>
    </row>
    <row r="473" spans="5:6" x14ac:dyDescent="0.25">
      <c r="E473" s="11" t="s">
        <v>549</v>
      </c>
      <c r="F473" s="6">
        <v>15155.326800000001</v>
      </c>
    </row>
    <row r="474" spans="5:6" x14ac:dyDescent="0.25">
      <c r="E474" s="11" t="s">
        <v>632</v>
      </c>
      <c r="F474" s="6">
        <v>25174.028880000002</v>
      </c>
    </row>
    <row r="475" spans="5:6" x14ac:dyDescent="0.25">
      <c r="E475" s="11" t="s">
        <v>594</v>
      </c>
      <c r="F475" s="6">
        <v>7173.3342799999991</v>
      </c>
    </row>
    <row r="476" spans="5:6" x14ac:dyDescent="0.25">
      <c r="E476" s="11" t="s">
        <v>18</v>
      </c>
      <c r="F476" s="6">
        <v>5225.2710400000005</v>
      </c>
    </row>
    <row r="477" spans="5:6" x14ac:dyDescent="0.25">
      <c r="E477" s="11" t="s">
        <v>584</v>
      </c>
      <c r="F477" s="6">
        <v>3378.1478400000001</v>
      </c>
    </row>
    <row r="478" spans="5:6" x14ac:dyDescent="0.25">
      <c r="E478" s="11" t="s">
        <v>586</v>
      </c>
      <c r="F478" s="6">
        <v>841.00536</v>
      </c>
    </row>
    <row r="479" spans="5:6" x14ac:dyDescent="0.25">
      <c r="E479" s="11" t="s">
        <v>135</v>
      </c>
      <c r="F479" s="6">
        <v>39516.804389999998</v>
      </c>
    </row>
    <row r="480" spans="5:6" x14ac:dyDescent="0.25">
      <c r="E480" s="11" t="s">
        <v>272</v>
      </c>
      <c r="F480" s="6">
        <v>4375.3620000000001</v>
      </c>
    </row>
    <row r="481" spans="5:6" x14ac:dyDescent="0.25">
      <c r="E481" s="11" t="s">
        <v>390</v>
      </c>
      <c r="F481" s="6">
        <v>43553.493060000001</v>
      </c>
    </row>
    <row r="482" spans="5:6" x14ac:dyDescent="0.25">
      <c r="E482" s="11" t="s">
        <v>616</v>
      </c>
      <c r="F482" s="6">
        <v>1062.5902000000001</v>
      </c>
    </row>
    <row r="483" spans="5:6" x14ac:dyDescent="0.25">
      <c r="E483" s="11" t="s">
        <v>314</v>
      </c>
      <c r="F483" s="6">
        <v>25577.274079999999</v>
      </c>
    </row>
    <row r="484" spans="5:6" x14ac:dyDescent="0.25">
      <c r="E484" s="11" t="s">
        <v>394</v>
      </c>
      <c r="F484" s="6">
        <v>11332.142999999998</v>
      </c>
    </row>
    <row r="485" spans="5:6" x14ac:dyDescent="0.25">
      <c r="E485" s="11" t="s">
        <v>432</v>
      </c>
      <c r="F485" s="6">
        <v>741.43835999999999</v>
      </c>
    </row>
    <row r="486" spans="5:6" x14ac:dyDescent="0.25">
      <c r="E486" s="11" t="s">
        <v>329</v>
      </c>
      <c r="F486" s="6">
        <v>8780.5809000000008</v>
      </c>
    </row>
    <row r="487" spans="5:6" x14ac:dyDescent="0.25">
      <c r="E487" s="11" t="s">
        <v>32</v>
      </c>
      <c r="F487" s="6">
        <v>35367.211040000002</v>
      </c>
    </row>
    <row r="488" spans="5:6" x14ac:dyDescent="0.25">
      <c r="E488" s="11" t="s">
        <v>161</v>
      </c>
      <c r="F488" s="6">
        <v>3562.9028999999996</v>
      </c>
    </row>
    <row r="489" spans="5:6" x14ac:dyDescent="0.25">
      <c r="E489" s="11" t="s">
        <v>165</v>
      </c>
      <c r="F489" s="6">
        <v>7901.5041599999995</v>
      </c>
    </row>
    <row r="490" spans="5:6" x14ac:dyDescent="0.25">
      <c r="E490" s="11" t="s">
        <v>599</v>
      </c>
      <c r="F490" s="6">
        <v>22676.312610000001</v>
      </c>
    </row>
    <row r="491" spans="5:6" x14ac:dyDescent="0.25">
      <c r="E491" s="11" t="s">
        <v>263</v>
      </c>
      <c r="F491" s="6">
        <v>11813.604160000001</v>
      </c>
    </row>
    <row r="492" spans="5:6" x14ac:dyDescent="0.25">
      <c r="E492" s="11" t="s">
        <v>497</v>
      </c>
      <c r="F492" s="6">
        <v>5127.0390600000001</v>
      </c>
    </row>
    <row r="493" spans="5:6" x14ac:dyDescent="0.25">
      <c r="E493" s="11" t="s">
        <v>503</v>
      </c>
      <c r="F493" s="6">
        <v>9614.4403999999995</v>
      </c>
    </row>
    <row r="494" spans="5:6" x14ac:dyDescent="0.25">
      <c r="E494" s="11" t="s">
        <v>621</v>
      </c>
      <c r="F494" s="6">
        <v>29175.036029999999</v>
      </c>
    </row>
    <row r="495" spans="5:6" x14ac:dyDescent="0.25">
      <c r="E495" s="11" t="s">
        <v>111</v>
      </c>
      <c r="F495" s="6">
        <v>147.00756000000001</v>
      </c>
    </row>
    <row r="496" spans="5:6" x14ac:dyDescent="0.25">
      <c r="E496" s="11" t="s">
        <v>387</v>
      </c>
      <c r="F496" s="6">
        <v>4117.4880599999997</v>
      </c>
    </row>
    <row r="497" spans="5:6" x14ac:dyDescent="0.25">
      <c r="E497" s="11" t="s">
        <v>435</v>
      </c>
      <c r="F497" s="6">
        <v>9984.7160999999978</v>
      </c>
    </row>
    <row r="498" spans="5:6" x14ac:dyDescent="0.25">
      <c r="E498" s="11" t="s">
        <v>317</v>
      </c>
      <c r="F498" s="6">
        <v>8093.4784</v>
      </c>
    </row>
    <row r="499" spans="5:6" x14ac:dyDescent="0.25">
      <c r="E499" s="11" t="s">
        <v>603</v>
      </c>
      <c r="F499" s="6">
        <v>12040.64352</v>
      </c>
    </row>
    <row r="500" spans="5:6" x14ac:dyDescent="0.25">
      <c r="E500" s="11" t="s">
        <v>590</v>
      </c>
      <c r="F500" s="6">
        <v>12091.190399999999</v>
      </c>
    </row>
    <row r="501" spans="5:6" x14ac:dyDescent="0.25">
      <c r="E501" s="11" t="s">
        <v>242</v>
      </c>
      <c r="F501" s="6">
        <v>16609.090809999998</v>
      </c>
    </row>
    <row r="502" spans="5:6" x14ac:dyDescent="0.25">
      <c r="E502" s="11" t="s">
        <v>477</v>
      </c>
      <c r="F502" s="6">
        <v>1886.9915999999998</v>
      </c>
    </row>
    <row r="503" spans="5:6" x14ac:dyDescent="0.25">
      <c r="E503" s="11" t="s">
        <v>383</v>
      </c>
      <c r="F503" s="6">
        <v>4569.5735999999997</v>
      </c>
    </row>
    <row r="504" spans="5:6" x14ac:dyDescent="0.25">
      <c r="E504" s="11" t="s">
        <v>548</v>
      </c>
      <c r="F504" s="6">
        <v>42433.254400000005</v>
      </c>
    </row>
    <row r="505" spans="5:6" x14ac:dyDescent="0.25">
      <c r="E505" s="11" t="s">
        <v>348</v>
      </c>
      <c r="F505" s="6">
        <v>4856.35725</v>
      </c>
    </row>
    <row r="506" spans="5:6" x14ac:dyDescent="0.25">
      <c r="E506" s="11" t="s">
        <v>115</v>
      </c>
      <c r="F506" s="6">
        <v>52780.07</v>
      </c>
    </row>
    <row r="507" spans="5:6" x14ac:dyDescent="0.25">
      <c r="E507" s="11" t="s">
        <v>99</v>
      </c>
      <c r="F507" s="6">
        <v>21062.61248</v>
      </c>
    </row>
    <row r="508" spans="5:6" x14ac:dyDescent="0.25">
      <c r="E508" s="11" t="s">
        <v>517</v>
      </c>
      <c r="F508" s="6">
        <v>8637.1874499999994</v>
      </c>
    </row>
    <row r="509" spans="5:6" x14ac:dyDescent="0.25">
      <c r="E509" s="11" t="s">
        <v>568</v>
      </c>
      <c r="F509" s="6">
        <v>15860.782080000001</v>
      </c>
    </row>
    <row r="510" spans="5:6" x14ac:dyDescent="0.25">
      <c r="E510" s="11" t="s">
        <v>567</v>
      </c>
      <c r="F510" s="6">
        <v>20163.409200000002</v>
      </c>
    </row>
    <row r="511" spans="5:6" x14ac:dyDescent="0.25">
      <c r="E511" s="11" t="s">
        <v>148</v>
      </c>
      <c r="F511" s="6">
        <v>3494.4040799999998</v>
      </c>
    </row>
    <row r="512" spans="5:6" x14ac:dyDescent="0.25">
      <c r="E512" s="11" t="s">
        <v>321</v>
      </c>
      <c r="F512" s="6">
        <v>3644.3212800000006</v>
      </c>
    </row>
    <row r="513" spans="5:6" x14ac:dyDescent="0.25">
      <c r="E513" s="11" t="s">
        <v>309</v>
      </c>
      <c r="F513" s="6">
        <v>20455.985130000001</v>
      </c>
    </row>
    <row r="514" spans="5:6" x14ac:dyDescent="0.25">
      <c r="E514" s="11" t="s">
        <v>431</v>
      </c>
      <c r="F514" s="6">
        <v>7969.4615000000003</v>
      </c>
    </row>
    <row r="515" spans="5:6" x14ac:dyDescent="0.25">
      <c r="E515" s="11" t="s">
        <v>322</v>
      </c>
      <c r="F515" s="6">
        <v>5334.9141999999993</v>
      </c>
    </row>
    <row r="516" spans="5:6" x14ac:dyDescent="0.25">
      <c r="E516" s="11" t="s">
        <v>496</v>
      </c>
      <c r="F516" s="6">
        <v>36161.097000000002</v>
      </c>
    </row>
    <row r="517" spans="5:6" x14ac:dyDescent="0.25">
      <c r="E517" s="11" t="s">
        <v>467</v>
      </c>
      <c r="F517" s="6">
        <v>11984.891250000001</v>
      </c>
    </row>
    <row r="518" spans="5:6" x14ac:dyDescent="0.25">
      <c r="E518" s="11" t="s">
        <v>174</v>
      </c>
      <c r="F518" s="6">
        <v>29263.754519999995</v>
      </c>
    </row>
    <row r="519" spans="5:6" x14ac:dyDescent="0.25">
      <c r="E519" s="11" t="s">
        <v>565</v>
      </c>
      <c r="F519" s="6">
        <v>1846.8040799999999</v>
      </c>
    </row>
    <row r="520" spans="5:6" x14ac:dyDescent="0.25">
      <c r="E520" s="11" t="s">
        <v>278</v>
      </c>
      <c r="F520" s="6">
        <v>40139.874619999995</v>
      </c>
    </row>
    <row r="521" spans="5:6" x14ac:dyDescent="0.25">
      <c r="E521" s="11" t="s">
        <v>540</v>
      </c>
      <c r="F521" s="6">
        <v>2146.5580500000001</v>
      </c>
    </row>
    <row r="522" spans="5:6" x14ac:dyDescent="0.25">
      <c r="E522" s="11" t="s">
        <v>461</v>
      </c>
      <c r="F522" s="6">
        <v>5565.3272500000003</v>
      </c>
    </row>
    <row r="523" spans="5:6" x14ac:dyDescent="0.25">
      <c r="E523" s="11" t="s">
        <v>520</v>
      </c>
      <c r="F523" s="6">
        <v>34800.431400000001</v>
      </c>
    </row>
    <row r="524" spans="5:6" x14ac:dyDescent="0.25">
      <c r="E524" s="11" t="s">
        <v>47</v>
      </c>
      <c r="F524" s="6">
        <v>9647.3852800000004</v>
      </c>
    </row>
    <row r="525" spans="5:6" x14ac:dyDescent="0.25">
      <c r="E525" s="11" t="s">
        <v>363</v>
      </c>
      <c r="F525" s="6">
        <v>12236.874600000001</v>
      </c>
    </row>
    <row r="526" spans="5:6" x14ac:dyDescent="0.25">
      <c r="E526" s="11" t="s">
        <v>285</v>
      </c>
      <c r="F526" s="6">
        <v>7120.6486400000003</v>
      </c>
    </row>
    <row r="527" spans="5:6" x14ac:dyDescent="0.25">
      <c r="E527" s="11" t="s">
        <v>404</v>
      </c>
      <c r="F527" s="6">
        <v>16142.527829999999</v>
      </c>
    </row>
    <row r="528" spans="5:6" x14ac:dyDescent="0.25">
      <c r="E528" s="11" t="s">
        <v>409</v>
      </c>
      <c r="F528" s="6">
        <v>14431.738420000001</v>
      </c>
    </row>
    <row r="529" spans="5:6" x14ac:dyDescent="0.25">
      <c r="E529" s="11" t="s">
        <v>308</v>
      </c>
      <c r="F529" s="6">
        <v>8903.4839999999986</v>
      </c>
    </row>
    <row r="530" spans="5:6" x14ac:dyDescent="0.25">
      <c r="E530" s="11" t="s">
        <v>27</v>
      </c>
      <c r="F530" s="6">
        <v>4968.5039999999999</v>
      </c>
    </row>
    <row r="531" spans="5:6" x14ac:dyDescent="0.25">
      <c r="E531" s="11" t="s">
        <v>98</v>
      </c>
      <c r="F531" s="6">
        <v>524.81174999999996</v>
      </c>
    </row>
    <row r="532" spans="5:6" x14ac:dyDescent="0.25">
      <c r="E532" s="11" t="s">
        <v>478</v>
      </c>
      <c r="F532" s="6">
        <v>1808.04592</v>
      </c>
    </row>
    <row r="533" spans="5:6" x14ac:dyDescent="0.25">
      <c r="E533" s="11" t="s">
        <v>146</v>
      </c>
      <c r="F533" s="6">
        <v>4417.8334199999999</v>
      </c>
    </row>
    <row r="534" spans="5:6" x14ac:dyDescent="0.25">
      <c r="E534" s="11" t="s">
        <v>255</v>
      </c>
      <c r="F534" s="6">
        <v>9684.8756000000012</v>
      </c>
    </row>
    <row r="535" spans="5:6" x14ac:dyDescent="0.25">
      <c r="E535" s="11" t="s">
        <v>422</v>
      </c>
      <c r="F535" s="6">
        <v>4679.7141600000004</v>
      </c>
    </row>
    <row r="536" spans="5:6" x14ac:dyDescent="0.25">
      <c r="E536" s="11" t="s">
        <v>26</v>
      </c>
      <c r="F536" s="6">
        <v>10370.549999999999</v>
      </c>
    </row>
    <row r="537" spans="5:6" x14ac:dyDescent="0.25">
      <c r="E537" s="11" t="s">
        <v>77</v>
      </c>
      <c r="F537" s="6">
        <v>10947.904</v>
      </c>
    </row>
    <row r="538" spans="5:6" x14ac:dyDescent="0.25">
      <c r="E538" s="11" t="s">
        <v>106</v>
      </c>
      <c r="F538" s="6">
        <v>19510.808000000001</v>
      </c>
    </row>
    <row r="539" spans="5:6" x14ac:dyDescent="0.25">
      <c r="E539" s="11" t="s">
        <v>629</v>
      </c>
      <c r="F539" s="6">
        <v>10464.138360000001</v>
      </c>
    </row>
    <row r="540" spans="5:6" x14ac:dyDescent="0.25">
      <c r="E540" s="11" t="s">
        <v>142</v>
      </c>
      <c r="F540" s="6">
        <v>853.32276999999988</v>
      </c>
    </row>
    <row r="541" spans="5:6" x14ac:dyDescent="0.25">
      <c r="E541" s="11" t="s">
        <v>300</v>
      </c>
      <c r="F541" s="6">
        <v>76.138720000000006</v>
      </c>
    </row>
    <row r="542" spans="5:6" x14ac:dyDescent="0.25">
      <c r="E542" s="11" t="s">
        <v>113</v>
      </c>
      <c r="F542" s="6">
        <v>5328.4890400000004</v>
      </c>
    </row>
    <row r="543" spans="5:6" x14ac:dyDescent="0.25">
      <c r="E543" s="11" t="s">
        <v>201</v>
      </c>
      <c r="F543" s="6">
        <v>4831.9464600000001</v>
      </c>
    </row>
    <row r="544" spans="5:6" x14ac:dyDescent="0.25">
      <c r="E544" s="11" t="s">
        <v>44</v>
      </c>
      <c r="F544" s="6">
        <v>20084.133720000002</v>
      </c>
    </row>
    <row r="545" spans="5:6" x14ac:dyDescent="0.25">
      <c r="E545" s="11" t="s">
        <v>227</v>
      </c>
      <c r="F545" s="6">
        <v>24223.05</v>
      </c>
    </row>
    <row r="546" spans="5:6" x14ac:dyDescent="0.25">
      <c r="E546" s="11" t="s">
        <v>68</v>
      </c>
      <c r="F546" s="6">
        <v>2518.8755800000004</v>
      </c>
    </row>
    <row r="547" spans="5:6" x14ac:dyDescent="0.25">
      <c r="E547" s="11" t="s">
        <v>37</v>
      </c>
      <c r="F547" s="6">
        <v>10936.992</v>
      </c>
    </row>
    <row r="548" spans="5:6" x14ac:dyDescent="0.25">
      <c r="E548" s="11" t="s">
        <v>225</v>
      </c>
      <c r="F548" s="6">
        <v>1774.8072</v>
      </c>
    </row>
    <row r="549" spans="5:6" x14ac:dyDescent="0.25">
      <c r="E549" s="11" t="s">
        <v>412</v>
      </c>
      <c r="F549" s="6">
        <v>13185.543</v>
      </c>
    </row>
    <row r="550" spans="5:6" x14ac:dyDescent="0.25">
      <c r="E550" s="11" t="s">
        <v>375</v>
      </c>
      <c r="F550" s="6">
        <v>4804.4682400000002</v>
      </c>
    </row>
    <row r="551" spans="5:6" x14ac:dyDescent="0.25">
      <c r="E551" s="11" t="s">
        <v>414</v>
      </c>
      <c r="F551" s="6">
        <v>17731.623</v>
      </c>
    </row>
    <row r="552" spans="5:6" x14ac:dyDescent="0.25">
      <c r="E552" s="11" t="s">
        <v>381</v>
      </c>
      <c r="F552" s="6">
        <v>18554.370299999999</v>
      </c>
    </row>
    <row r="553" spans="5:6" x14ac:dyDescent="0.25">
      <c r="E553" s="11" t="s">
        <v>105</v>
      </c>
      <c r="F553" s="6">
        <v>8324.8326000000015</v>
      </c>
    </row>
    <row r="554" spans="5:6" x14ac:dyDescent="0.25">
      <c r="E554" s="11" t="s">
        <v>223</v>
      </c>
      <c r="F554" s="6">
        <v>17847.907199999998</v>
      </c>
    </row>
    <row r="555" spans="5:6" x14ac:dyDescent="0.25">
      <c r="E555" s="11" t="s">
        <v>529</v>
      </c>
      <c r="F555" s="6">
        <v>10859.64</v>
      </c>
    </row>
    <row r="556" spans="5:6" x14ac:dyDescent="0.25">
      <c r="E556" s="11" t="s">
        <v>392</v>
      </c>
      <c r="F556" s="6">
        <v>6576.298960000001</v>
      </c>
    </row>
    <row r="557" spans="5:6" x14ac:dyDescent="0.25">
      <c r="E557" s="11" t="s">
        <v>73</v>
      </c>
      <c r="F557" s="6">
        <v>61842.466000000008</v>
      </c>
    </row>
    <row r="558" spans="5:6" x14ac:dyDescent="0.25">
      <c r="E558" s="11" t="s">
        <v>86</v>
      </c>
      <c r="F558" s="6">
        <v>6393.0952799999995</v>
      </c>
    </row>
    <row r="559" spans="5:6" x14ac:dyDescent="0.25">
      <c r="E559" s="11" t="s">
        <v>256</v>
      </c>
      <c r="F559" s="6">
        <v>34082.864639999993</v>
      </c>
    </row>
    <row r="560" spans="5:6" x14ac:dyDescent="0.25">
      <c r="E560" s="11" t="s">
        <v>128</v>
      </c>
      <c r="F560" s="6">
        <v>2117.4834999999998</v>
      </c>
    </row>
    <row r="561" spans="5:6" x14ac:dyDescent="0.25">
      <c r="E561" s="11" t="s">
        <v>637</v>
      </c>
      <c r="F561" s="6">
        <v>10693.88488</v>
      </c>
    </row>
    <row r="562" spans="5:6" x14ac:dyDescent="0.25">
      <c r="E562" s="11" t="s">
        <v>145</v>
      </c>
      <c r="F562" s="6">
        <v>7703.8640800000003</v>
      </c>
    </row>
    <row r="563" spans="5:6" x14ac:dyDescent="0.25">
      <c r="E563" s="11" t="s">
        <v>436</v>
      </c>
      <c r="F563" s="6">
        <v>102122.94203999999</v>
      </c>
    </row>
    <row r="564" spans="5:6" x14ac:dyDescent="0.25">
      <c r="E564" s="11" t="s">
        <v>194</v>
      </c>
      <c r="F564" s="6">
        <v>4420.5961799999995</v>
      </c>
    </row>
    <row r="565" spans="5:6" x14ac:dyDescent="0.25">
      <c r="E565" s="11" t="s">
        <v>344</v>
      </c>
      <c r="F565" s="6">
        <v>2537.2908000000002</v>
      </c>
    </row>
    <row r="566" spans="5:6" x14ac:dyDescent="0.25">
      <c r="E566" s="11" t="s">
        <v>578</v>
      </c>
      <c r="F566" s="6">
        <v>10166.535600000001</v>
      </c>
    </row>
    <row r="567" spans="5:6" x14ac:dyDescent="0.25">
      <c r="E567" s="11" t="s">
        <v>117</v>
      </c>
      <c r="F567" s="6">
        <v>13669.81</v>
      </c>
    </row>
    <row r="568" spans="5:6" x14ac:dyDescent="0.25">
      <c r="E568" s="11" t="s">
        <v>195</v>
      </c>
      <c r="F568" s="6">
        <v>18.659839999999999</v>
      </c>
    </row>
    <row r="569" spans="5:6" x14ac:dyDescent="0.25">
      <c r="E569" s="11" t="s">
        <v>443</v>
      </c>
      <c r="F569" s="6">
        <v>41138.261999999995</v>
      </c>
    </row>
    <row r="570" spans="5:6" x14ac:dyDescent="0.25">
      <c r="E570" s="11" t="s">
        <v>410</v>
      </c>
      <c r="F570" s="6">
        <v>56176.777799999996</v>
      </c>
    </row>
    <row r="571" spans="5:6" x14ac:dyDescent="0.25">
      <c r="E571" s="11" t="s">
        <v>291</v>
      </c>
      <c r="F571" s="6">
        <v>6066.54648</v>
      </c>
    </row>
    <row r="572" spans="5:6" x14ac:dyDescent="0.25">
      <c r="E572" s="11" t="s">
        <v>237</v>
      </c>
      <c r="F572" s="6">
        <v>66988.771199999988</v>
      </c>
    </row>
    <row r="573" spans="5:6" x14ac:dyDescent="0.25">
      <c r="E573" s="11" t="s">
        <v>518</v>
      </c>
      <c r="F573" s="6">
        <v>10189.8891</v>
      </c>
    </row>
    <row r="574" spans="5:6" x14ac:dyDescent="0.25">
      <c r="E574" s="11" t="s">
        <v>488</v>
      </c>
      <c r="F574" s="6">
        <v>19233.355499999998</v>
      </c>
    </row>
    <row r="575" spans="5:6" x14ac:dyDescent="0.25">
      <c r="E575" s="11" t="s">
        <v>612</v>
      </c>
      <c r="F575" s="6">
        <v>4409.5168800000001</v>
      </c>
    </row>
    <row r="576" spans="5:6" x14ac:dyDescent="0.25">
      <c r="E576" s="11" t="s">
        <v>295</v>
      </c>
      <c r="F576" s="6">
        <v>13360.438</v>
      </c>
    </row>
    <row r="577" spans="5:6" x14ac:dyDescent="0.25">
      <c r="E577" s="11" t="s">
        <v>131</v>
      </c>
      <c r="F577" s="6">
        <v>765.99195000000009</v>
      </c>
    </row>
    <row r="578" spans="5:6" x14ac:dyDescent="0.25">
      <c r="E578" s="11" t="s">
        <v>188</v>
      </c>
      <c r="F578" s="6">
        <v>31556.187599999997</v>
      </c>
    </row>
    <row r="579" spans="5:6" x14ac:dyDescent="0.25">
      <c r="E579" s="11" t="s">
        <v>506</v>
      </c>
      <c r="F579" s="6">
        <v>7507.4514899999995</v>
      </c>
    </row>
    <row r="580" spans="5:6" x14ac:dyDescent="0.25">
      <c r="E580" s="11" t="s">
        <v>610</v>
      </c>
      <c r="F580" s="6">
        <v>8128.5187499999993</v>
      </c>
    </row>
    <row r="581" spans="5:6" x14ac:dyDescent="0.25">
      <c r="E581" s="11" t="s">
        <v>52</v>
      </c>
      <c r="F581" s="6">
        <v>11995.153920000001</v>
      </c>
    </row>
    <row r="582" spans="5:6" x14ac:dyDescent="0.25">
      <c r="E582" s="11" t="s">
        <v>109</v>
      </c>
      <c r="F582" s="6">
        <v>5487.6023999999998</v>
      </c>
    </row>
    <row r="583" spans="5:6" x14ac:dyDescent="0.25">
      <c r="E583" s="11" t="s">
        <v>645</v>
      </c>
      <c r="F583" s="6">
        <v>266.17821999999995</v>
      </c>
    </row>
    <row r="584" spans="5:6" x14ac:dyDescent="0.25">
      <c r="E584" s="11" t="s">
        <v>345</v>
      </c>
      <c r="F584" s="6">
        <v>8764.4065599999994</v>
      </c>
    </row>
    <row r="585" spans="5:6" x14ac:dyDescent="0.25">
      <c r="E585" s="11" t="s">
        <v>34</v>
      </c>
      <c r="F585" s="6">
        <v>39263.702919999996</v>
      </c>
    </row>
    <row r="586" spans="5:6" x14ac:dyDescent="0.25">
      <c r="E586" s="11" t="s">
        <v>617</v>
      </c>
      <c r="F586" s="6">
        <v>39810.328000000001</v>
      </c>
    </row>
    <row r="587" spans="5:6" x14ac:dyDescent="0.25">
      <c r="E587" s="11" t="s">
        <v>305</v>
      </c>
      <c r="F587" s="6">
        <v>1098.9470800000001</v>
      </c>
    </row>
    <row r="588" spans="5:6" x14ac:dyDescent="0.25">
      <c r="E588" s="11" t="s">
        <v>245</v>
      </c>
      <c r="F588" s="6">
        <v>5814.6927299999998</v>
      </c>
    </row>
    <row r="589" spans="5:6" x14ac:dyDescent="0.25">
      <c r="E589" s="11" t="s">
        <v>234</v>
      </c>
      <c r="F589" s="6">
        <v>13519.529099999998</v>
      </c>
    </row>
    <row r="590" spans="5:6" x14ac:dyDescent="0.25">
      <c r="E590" s="11" t="s">
        <v>74</v>
      </c>
      <c r="F590" s="6">
        <v>4569.8508000000002</v>
      </c>
    </row>
    <row r="591" spans="5:6" x14ac:dyDescent="0.25">
      <c r="E591" s="11" t="s">
        <v>70</v>
      </c>
      <c r="F591" s="6">
        <v>31680.795320000001</v>
      </c>
    </row>
    <row r="592" spans="5:6" x14ac:dyDescent="0.25">
      <c r="E592" s="11" t="s">
        <v>173</v>
      </c>
      <c r="F592" s="6">
        <v>10382.65884</v>
      </c>
    </row>
    <row r="593" spans="5:6" x14ac:dyDescent="0.25">
      <c r="E593" s="11" t="s">
        <v>546</v>
      </c>
      <c r="F593" s="6">
        <v>534.57695999999999</v>
      </c>
    </row>
    <row r="594" spans="5:6" x14ac:dyDescent="0.25">
      <c r="E594" s="11" t="s">
        <v>342</v>
      </c>
      <c r="F594" s="6">
        <v>6667.9199999999983</v>
      </c>
    </row>
    <row r="595" spans="5:6" x14ac:dyDescent="0.25">
      <c r="E595" s="11" t="s">
        <v>76</v>
      </c>
      <c r="F595" s="6">
        <v>27701.570400000001</v>
      </c>
    </row>
    <row r="596" spans="5:6" x14ac:dyDescent="0.25">
      <c r="E596" s="11" t="s">
        <v>486</v>
      </c>
      <c r="F596" s="6">
        <v>15374.563199999999</v>
      </c>
    </row>
    <row r="597" spans="5:6" x14ac:dyDescent="0.25">
      <c r="E597" s="11" t="s">
        <v>396</v>
      </c>
      <c r="F597" s="6">
        <v>37562.28</v>
      </c>
    </row>
    <row r="598" spans="5:6" x14ac:dyDescent="0.25">
      <c r="E598" s="11" t="s">
        <v>482</v>
      </c>
      <c r="F598" s="6">
        <v>25269.09</v>
      </c>
    </row>
    <row r="599" spans="5:6" x14ac:dyDescent="0.25">
      <c r="E599" s="11" t="s">
        <v>440</v>
      </c>
      <c r="F599" s="6">
        <v>30435.614999999998</v>
      </c>
    </row>
    <row r="600" spans="5:6" x14ac:dyDescent="0.25">
      <c r="E600" s="11" t="s">
        <v>58</v>
      </c>
      <c r="F600" s="6">
        <v>10666.229420000001</v>
      </c>
    </row>
    <row r="601" spans="5:6" x14ac:dyDescent="0.25">
      <c r="E601" s="11" t="s">
        <v>395</v>
      </c>
      <c r="F601" s="6">
        <v>12881.097599999999</v>
      </c>
    </row>
    <row r="602" spans="5:6" x14ac:dyDescent="0.25">
      <c r="E602" s="11" t="s">
        <v>513</v>
      </c>
      <c r="F602" s="6">
        <v>16574.544740000001</v>
      </c>
    </row>
    <row r="603" spans="5:6" x14ac:dyDescent="0.25">
      <c r="E603" s="11" t="s">
        <v>531</v>
      </c>
      <c r="F603" s="6">
        <v>1010.3759200000001</v>
      </c>
    </row>
    <row r="604" spans="5:6" x14ac:dyDescent="0.25">
      <c r="E604" s="11" t="s">
        <v>437</v>
      </c>
      <c r="F604" s="6">
        <v>29627.320319999999</v>
      </c>
    </row>
    <row r="605" spans="5:6" x14ac:dyDescent="0.25">
      <c r="E605" s="11" t="s">
        <v>29</v>
      </c>
      <c r="F605" s="6">
        <v>7578.84</v>
      </c>
    </row>
    <row r="606" spans="5:6" x14ac:dyDescent="0.25">
      <c r="E606" s="11" t="s">
        <v>33</v>
      </c>
      <c r="F606" s="6">
        <v>38096.18406</v>
      </c>
    </row>
    <row r="607" spans="5:6" x14ac:dyDescent="0.25">
      <c r="E607" s="11" t="s">
        <v>190</v>
      </c>
      <c r="F607" s="6">
        <v>92715.25</v>
      </c>
    </row>
    <row r="608" spans="5:6" x14ac:dyDescent="0.25">
      <c r="E608" s="11" t="s">
        <v>608</v>
      </c>
      <c r="F608" s="6">
        <v>8366.02</v>
      </c>
    </row>
    <row r="609" spans="5:6" x14ac:dyDescent="0.25">
      <c r="E609" s="11" t="s">
        <v>332</v>
      </c>
      <c r="F609" s="6">
        <v>2915.4540999999999</v>
      </c>
    </row>
    <row r="610" spans="5:6" x14ac:dyDescent="0.25">
      <c r="E610" s="11" t="s">
        <v>102</v>
      </c>
      <c r="F610" s="6">
        <v>1654.8966000000003</v>
      </c>
    </row>
    <row r="611" spans="5:6" x14ac:dyDescent="0.25">
      <c r="E611" s="11" t="s">
        <v>400</v>
      </c>
      <c r="F611" s="6">
        <v>9586.8057599999993</v>
      </c>
    </row>
    <row r="612" spans="5:6" x14ac:dyDescent="0.25">
      <c r="E612" s="11" t="s">
        <v>571</v>
      </c>
      <c r="F612" s="6">
        <v>50545.319219999998</v>
      </c>
    </row>
    <row r="613" spans="5:6" x14ac:dyDescent="0.25">
      <c r="E613" s="11" t="s">
        <v>421</v>
      </c>
      <c r="F613" s="6">
        <v>21541.017959999997</v>
      </c>
    </row>
    <row r="614" spans="5:6" x14ac:dyDescent="0.25">
      <c r="E614" s="11" t="s">
        <v>279</v>
      </c>
      <c r="F614" s="6">
        <v>12597.52224</v>
      </c>
    </row>
    <row r="615" spans="5:6" x14ac:dyDescent="0.25">
      <c r="E615" s="11" t="s">
        <v>197</v>
      </c>
      <c r="F615" s="6">
        <v>7689.4560000000001</v>
      </c>
    </row>
    <row r="616" spans="5:6" x14ac:dyDescent="0.25">
      <c r="E616" s="11" t="s">
        <v>635</v>
      </c>
      <c r="F616" s="6">
        <v>2355.2113199999999</v>
      </c>
    </row>
    <row r="617" spans="5:6" x14ac:dyDescent="0.25">
      <c r="E617" s="11" t="s">
        <v>277</v>
      </c>
      <c r="F617" s="6">
        <v>560.36831999999993</v>
      </c>
    </row>
    <row r="618" spans="5:6" x14ac:dyDescent="0.25">
      <c r="E618" s="11" t="s">
        <v>418</v>
      </c>
      <c r="F618" s="6">
        <v>7832.0010999999995</v>
      </c>
    </row>
    <row r="619" spans="5:6" x14ac:dyDescent="0.25">
      <c r="E619" s="11" t="s">
        <v>393</v>
      </c>
      <c r="F619" s="6">
        <v>33200.038079999998</v>
      </c>
    </row>
    <row r="620" spans="5:6" x14ac:dyDescent="0.25">
      <c r="E620" s="11" t="s">
        <v>304</v>
      </c>
      <c r="F620" s="6">
        <v>19066.045319999997</v>
      </c>
    </row>
    <row r="621" spans="5:6" x14ac:dyDescent="0.25">
      <c r="E621" s="11" t="s">
        <v>545</v>
      </c>
      <c r="F621" s="6">
        <v>618.19979999999987</v>
      </c>
    </row>
    <row r="622" spans="5:6" x14ac:dyDescent="0.25">
      <c r="E622" s="11" t="s">
        <v>581</v>
      </c>
      <c r="F622" s="6">
        <v>44173.627960000005</v>
      </c>
    </row>
    <row r="623" spans="5:6" x14ac:dyDescent="0.25">
      <c r="E623" s="11" t="s">
        <v>71</v>
      </c>
      <c r="F623" s="6">
        <v>29659.68995</v>
      </c>
    </row>
    <row r="624" spans="5:6" x14ac:dyDescent="0.25">
      <c r="E624" s="11" t="s">
        <v>313</v>
      </c>
      <c r="F624" s="6">
        <v>12699.28</v>
      </c>
    </row>
    <row r="625" spans="5:6" x14ac:dyDescent="0.25">
      <c r="E625" s="11" t="s">
        <v>320</v>
      </c>
      <c r="F625" s="6">
        <v>43084.872000000003</v>
      </c>
    </row>
    <row r="626" spans="5:6" x14ac:dyDescent="0.25">
      <c r="E626" s="11" t="s">
        <v>261</v>
      </c>
      <c r="F626" s="6">
        <v>607.30668000000003</v>
      </c>
    </row>
    <row r="627" spans="5:6" x14ac:dyDescent="0.25">
      <c r="E627" s="11" t="s">
        <v>483</v>
      </c>
      <c r="F627" s="6">
        <v>16252.219979999998</v>
      </c>
    </row>
    <row r="628" spans="5:6" x14ac:dyDescent="0.25">
      <c r="E628" s="11" t="s">
        <v>370</v>
      </c>
      <c r="F628" s="6">
        <v>43907.94</v>
      </c>
    </row>
    <row r="629" spans="5:6" x14ac:dyDescent="0.25">
      <c r="E629" s="11" t="s">
        <v>134</v>
      </c>
      <c r="F629" s="6">
        <v>592.92849000000001</v>
      </c>
    </row>
    <row r="630" spans="5:6" x14ac:dyDescent="0.25">
      <c r="E630" s="11" t="s">
        <v>559</v>
      </c>
      <c r="F630" s="6">
        <v>10792.637119999999</v>
      </c>
    </row>
    <row r="631" spans="5:6" x14ac:dyDescent="0.25">
      <c r="E631" s="11" t="s">
        <v>218</v>
      </c>
      <c r="F631" s="6">
        <v>25553.782800000001</v>
      </c>
    </row>
    <row r="632" spans="5:6" x14ac:dyDescent="0.25">
      <c r="E632" s="11" t="s">
        <v>297</v>
      </c>
      <c r="F632" s="6">
        <v>11696.156879999999</v>
      </c>
    </row>
    <row r="633" spans="5:6" x14ac:dyDescent="0.25">
      <c r="E633" s="11" t="s">
        <v>605</v>
      </c>
      <c r="F633" s="6">
        <v>11742.8703</v>
      </c>
    </row>
    <row r="634" spans="5:6" x14ac:dyDescent="0.25">
      <c r="E634" s="11" t="s">
        <v>24</v>
      </c>
      <c r="F634" s="6">
        <v>60928.502359999999</v>
      </c>
    </row>
    <row r="635" spans="5:6" x14ac:dyDescent="0.25">
      <c r="E635" s="11" t="s">
        <v>1432</v>
      </c>
      <c r="F635" s="6">
        <v>11048639.667069996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C3" sqref="C3:D3"/>
      <pivotSelection pane="bottomRight" activeRow="2" activeCol="2" previousRow="2" previousCol="2" click="1" r:id="rId1">
        <pivotArea type="topRight" dataOnly="0" labelOnly="1" outline="0" fieldPosition="0"/>
      </pivotSelection>
    </sheetView>
  </sheetViews>
  <sheetFormatPr defaultRowHeight="15" x14ac:dyDescent="0.25"/>
  <cols>
    <col min="1" max="1" width="19.5703125" bestFit="1" customWidth="1"/>
    <col min="2" max="2" width="16.28515625" bestFit="1" customWidth="1"/>
    <col min="3" max="3" width="12" bestFit="1" customWidth="1"/>
    <col min="4" max="6" width="12" customWidth="1"/>
    <col min="7" max="8" width="12" bestFit="1" customWidth="1"/>
  </cols>
  <sheetData>
    <row r="3" spans="1:4" x14ac:dyDescent="0.25">
      <c r="A3" s="10" t="s">
        <v>1444</v>
      </c>
      <c r="B3" s="10" t="s">
        <v>1445</v>
      </c>
    </row>
    <row r="4" spans="1:4" x14ac:dyDescent="0.25">
      <c r="A4" s="10" t="s">
        <v>1431</v>
      </c>
      <c r="B4" t="s">
        <v>708</v>
      </c>
      <c r="C4" t="s">
        <v>707</v>
      </c>
      <c r="D4" t="s">
        <v>1432</v>
      </c>
    </row>
    <row r="5" spans="1:4" x14ac:dyDescent="0.25">
      <c r="A5" s="11" t="s">
        <v>646</v>
      </c>
      <c r="B5" s="6">
        <v>433406.33627000003</v>
      </c>
      <c r="C5" s="6">
        <v>530851.58854999987</v>
      </c>
      <c r="D5" s="6">
        <v>964257.92481999984</v>
      </c>
    </row>
    <row r="6" spans="1:4" x14ac:dyDescent="0.25">
      <c r="A6" s="11" t="s">
        <v>648</v>
      </c>
      <c r="B6" s="6">
        <v>689951.45436999993</v>
      </c>
      <c r="C6" s="6">
        <v>302853.57922000001</v>
      </c>
      <c r="D6" s="6">
        <v>992805.03358999989</v>
      </c>
    </row>
    <row r="7" spans="1:4" x14ac:dyDescent="0.25">
      <c r="A7" s="11" t="s">
        <v>647</v>
      </c>
      <c r="B7" s="6">
        <v>413661.50969000009</v>
      </c>
      <c r="C7" s="6">
        <v>693141.67983999988</v>
      </c>
      <c r="D7" s="6">
        <v>1106803.1895300001</v>
      </c>
    </row>
    <row r="8" spans="1:4" x14ac:dyDescent="0.25">
      <c r="A8" s="11" t="s">
        <v>649</v>
      </c>
      <c r="B8" s="6">
        <v>585406.72276999999</v>
      </c>
      <c r="C8" s="6">
        <v>495675.43252999999</v>
      </c>
      <c r="D8" s="6">
        <v>1081082.1553</v>
      </c>
    </row>
    <row r="9" spans="1:4" x14ac:dyDescent="0.25">
      <c r="A9" s="11" t="s">
        <v>1432</v>
      </c>
      <c r="B9" s="6">
        <v>2122426.0230999999</v>
      </c>
      <c r="C9" s="6">
        <v>2022522.2801399999</v>
      </c>
      <c r="D9" s="6">
        <v>4144948.3032399993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D3" sqref="D3"/>
    </sheetView>
  </sheetViews>
  <sheetFormatPr defaultRowHeight="15" x14ac:dyDescent="0.25"/>
  <cols>
    <col min="1" max="1" width="29.42578125" bestFit="1" customWidth="1"/>
    <col min="2" max="2" width="17.85546875" bestFit="1" customWidth="1"/>
    <col min="4" max="4" width="4.7109375" bestFit="1" customWidth="1"/>
    <col min="5" max="5" width="7.28515625" bestFit="1" customWidth="1"/>
    <col min="6" max="6" width="11.28515625" bestFit="1" customWidth="1"/>
  </cols>
  <sheetData>
    <row r="1" spans="1:6" x14ac:dyDescent="0.25">
      <c r="A1" s="10" t="s">
        <v>1473</v>
      </c>
      <c r="B1" t="s">
        <v>1474</v>
      </c>
    </row>
    <row r="3" spans="1:6" x14ac:dyDescent="0.25">
      <c r="A3" s="10" t="s">
        <v>1475</v>
      </c>
      <c r="B3" s="10" t="s">
        <v>1445</v>
      </c>
    </row>
    <row r="4" spans="1:6" x14ac:dyDescent="0.25">
      <c r="A4" s="10" t="s">
        <v>1431</v>
      </c>
      <c r="B4" t="s">
        <v>646</v>
      </c>
      <c r="C4" t="s">
        <v>648</v>
      </c>
      <c r="D4" t="s">
        <v>647</v>
      </c>
      <c r="E4" t="s">
        <v>649</v>
      </c>
      <c r="F4" t="s">
        <v>1432</v>
      </c>
    </row>
    <row r="5" spans="1:6" x14ac:dyDescent="0.25">
      <c r="A5" s="11" t="s">
        <v>720</v>
      </c>
      <c r="B5" s="6">
        <v>3</v>
      </c>
      <c r="C5" s="6">
        <v>5</v>
      </c>
      <c r="D5" s="6"/>
      <c r="E5" s="6">
        <v>1</v>
      </c>
      <c r="F5" s="6">
        <v>9</v>
      </c>
    </row>
    <row r="6" spans="1:6" x14ac:dyDescent="0.25">
      <c r="A6" s="11" t="s">
        <v>717</v>
      </c>
      <c r="B6" s="6"/>
      <c r="C6" s="6">
        <v>1</v>
      </c>
      <c r="D6" s="6">
        <v>2</v>
      </c>
      <c r="E6" s="6">
        <v>2</v>
      </c>
      <c r="F6" s="6">
        <v>5</v>
      </c>
    </row>
    <row r="7" spans="1:6" x14ac:dyDescent="0.25">
      <c r="A7" s="11" t="s">
        <v>712</v>
      </c>
      <c r="B7" s="6">
        <v>2</v>
      </c>
      <c r="C7" s="6">
        <v>2</v>
      </c>
      <c r="D7" s="6">
        <v>3</v>
      </c>
      <c r="E7" s="6">
        <v>1</v>
      </c>
      <c r="F7" s="6">
        <v>8</v>
      </c>
    </row>
    <row r="8" spans="1:6" x14ac:dyDescent="0.25">
      <c r="A8" s="11" t="s">
        <v>726</v>
      </c>
      <c r="B8" s="6">
        <v>2</v>
      </c>
      <c r="C8" s="6">
        <v>4</v>
      </c>
      <c r="D8" s="6">
        <v>1</v>
      </c>
      <c r="E8" s="6">
        <v>1</v>
      </c>
      <c r="F8" s="6">
        <v>8</v>
      </c>
    </row>
    <row r="9" spans="1:6" x14ac:dyDescent="0.25">
      <c r="A9" s="11" t="s">
        <v>718</v>
      </c>
      <c r="B9" s="6">
        <v>1</v>
      </c>
      <c r="C9" s="6"/>
      <c r="D9" s="6"/>
      <c r="E9" s="6">
        <v>2</v>
      </c>
      <c r="F9" s="6">
        <v>3</v>
      </c>
    </row>
    <row r="10" spans="1:6" x14ac:dyDescent="0.25">
      <c r="A10" s="11" t="s">
        <v>721</v>
      </c>
      <c r="B10" s="6"/>
      <c r="C10" s="6">
        <v>1</v>
      </c>
      <c r="D10" s="6">
        <v>3</v>
      </c>
      <c r="E10" s="6"/>
      <c r="F10" s="6">
        <v>4</v>
      </c>
    </row>
    <row r="11" spans="1:6" x14ac:dyDescent="0.25">
      <c r="A11" s="11" t="s">
        <v>715</v>
      </c>
      <c r="B11" s="6"/>
      <c r="C11" s="6">
        <v>1</v>
      </c>
      <c r="D11" s="6">
        <v>1</v>
      </c>
      <c r="E11" s="6">
        <v>1</v>
      </c>
      <c r="F11" s="6">
        <v>3</v>
      </c>
    </row>
    <row r="12" spans="1:6" x14ac:dyDescent="0.25">
      <c r="A12" s="11" t="s">
        <v>722</v>
      </c>
      <c r="B12" s="6">
        <v>1</v>
      </c>
      <c r="C12" s="6"/>
      <c r="D12" s="6">
        <v>2</v>
      </c>
      <c r="E12" s="6">
        <v>1</v>
      </c>
      <c r="F12" s="6">
        <v>4</v>
      </c>
    </row>
    <row r="13" spans="1:6" x14ac:dyDescent="0.25">
      <c r="A13" s="11" t="s">
        <v>714</v>
      </c>
      <c r="B13" s="6">
        <v>2</v>
      </c>
      <c r="C13" s="6">
        <v>6</v>
      </c>
      <c r="D13" s="6">
        <v>1</v>
      </c>
      <c r="E13" s="6">
        <v>2</v>
      </c>
      <c r="F13" s="6">
        <v>11</v>
      </c>
    </row>
    <row r="14" spans="1:6" x14ac:dyDescent="0.25">
      <c r="A14" s="11" t="s">
        <v>713</v>
      </c>
      <c r="B14" s="6">
        <v>3</v>
      </c>
      <c r="C14" s="6"/>
      <c r="D14" s="6">
        <v>2</v>
      </c>
      <c r="E14" s="6">
        <v>1</v>
      </c>
      <c r="F14" s="6">
        <v>6</v>
      </c>
    </row>
    <row r="15" spans="1:6" x14ac:dyDescent="0.25">
      <c r="A15" s="11" t="s">
        <v>723</v>
      </c>
      <c r="B15" s="6"/>
      <c r="C15" s="6">
        <v>1</v>
      </c>
      <c r="D15" s="6">
        <v>1</v>
      </c>
      <c r="E15" s="6">
        <v>2</v>
      </c>
      <c r="F15" s="6">
        <v>4</v>
      </c>
    </row>
    <row r="16" spans="1:6" x14ac:dyDescent="0.25">
      <c r="A16" s="11" t="s">
        <v>716</v>
      </c>
      <c r="B16" s="6">
        <v>2</v>
      </c>
      <c r="C16" s="6">
        <v>3</v>
      </c>
      <c r="D16" s="6">
        <v>3</v>
      </c>
      <c r="E16" s="6"/>
      <c r="F16" s="6">
        <v>8</v>
      </c>
    </row>
    <row r="17" spans="1:6" x14ac:dyDescent="0.25">
      <c r="A17" s="11" t="s">
        <v>724</v>
      </c>
      <c r="B17" s="6">
        <v>5</v>
      </c>
      <c r="C17" s="6">
        <v>2</v>
      </c>
      <c r="D17" s="6"/>
      <c r="E17" s="6">
        <v>1</v>
      </c>
      <c r="F17" s="6">
        <v>8</v>
      </c>
    </row>
    <row r="18" spans="1:6" x14ac:dyDescent="0.25">
      <c r="A18" s="11" t="s">
        <v>725</v>
      </c>
      <c r="B18" s="6"/>
      <c r="C18" s="6">
        <v>1</v>
      </c>
      <c r="D18" s="6">
        <v>1</v>
      </c>
      <c r="E18" s="6">
        <v>3</v>
      </c>
      <c r="F18" s="6">
        <v>5</v>
      </c>
    </row>
    <row r="19" spans="1:6" x14ac:dyDescent="0.25">
      <c r="A19" s="11" t="s">
        <v>719</v>
      </c>
      <c r="B19" s="6"/>
      <c r="C19" s="6"/>
      <c r="D19" s="6">
        <v>4</v>
      </c>
      <c r="E19" s="6"/>
      <c r="F19" s="6">
        <v>4</v>
      </c>
    </row>
    <row r="20" spans="1:6" x14ac:dyDescent="0.25">
      <c r="A20" s="11" t="s">
        <v>1459</v>
      </c>
      <c r="B20" s="6">
        <v>1</v>
      </c>
      <c r="C20" s="6">
        <v>1</v>
      </c>
      <c r="D20" s="6"/>
      <c r="E20" s="6"/>
      <c r="F20" s="6">
        <v>2</v>
      </c>
    </row>
    <row r="21" spans="1:6" x14ac:dyDescent="0.25">
      <c r="A21" s="11" t="s">
        <v>1432</v>
      </c>
      <c r="B21" s="6">
        <v>22</v>
      </c>
      <c r="C21" s="6">
        <v>28</v>
      </c>
      <c r="D21" s="6">
        <v>24</v>
      </c>
      <c r="E21" s="6">
        <v>18</v>
      </c>
      <c r="F21" s="6">
        <v>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D3" sqref="D3"/>
    </sheetView>
  </sheetViews>
  <sheetFormatPr defaultRowHeight="15" x14ac:dyDescent="0.25"/>
  <cols>
    <col min="1" max="1" width="22.42578125" bestFit="1" customWidth="1"/>
    <col min="2" max="2" width="17.85546875" bestFit="1" customWidth="1"/>
    <col min="3" max="3" width="7.42578125" customWidth="1"/>
    <col min="4" max="4" width="6" customWidth="1"/>
    <col min="5" max="5" width="6.85546875" customWidth="1"/>
    <col min="6" max="6" width="9.140625" customWidth="1"/>
    <col min="7" max="7" width="5.42578125" customWidth="1"/>
    <col min="8" max="8" width="6" customWidth="1"/>
    <col min="9" max="9" width="6.42578125" customWidth="1"/>
    <col min="10" max="10" width="7.42578125" customWidth="1"/>
    <col min="11" max="11" width="11.7109375" customWidth="1"/>
    <col min="12" max="12" width="15.5703125" customWidth="1"/>
    <col min="13" max="13" width="4.7109375" customWidth="1"/>
    <col min="14" max="14" width="11.28515625" customWidth="1"/>
    <col min="15" max="15" width="4.5703125" bestFit="1" customWidth="1"/>
    <col min="16" max="27" width="3" customWidth="1"/>
    <col min="28" max="28" width="10.7109375" bestFit="1" customWidth="1"/>
    <col min="29" max="29" width="9.28515625" bestFit="1" customWidth="1"/>
    <col min="30" max="35" width="2" customWidth="1"/>
    <col min="36" max="49" width="3" customWidth="1"/>
    <col min="50" max="50" width="12.28515625" bestFit="1" customWidth="1"/>
    <col min="51" max="51" width="7.85546875" customWidth="1"/>
    <col min="52" max="59" width="2" customWidth="1"/>
    <col min="60" max="77" width="3" customWidth="1"/>
    <col min="78" max="78" width="10.85546875" bestFit="1" customWidth="1"/>
    <col min="79" max="79" width="8.7109375" customWidth="1"/>
    <col min="80" max="86" width="2" customWidth="1"/>
    <col min="87" max="104" width="3" customWidth="1"/>
    <col min="105" max="105" width="11.7109375" bestFit="1" customWidth="1"/>
    <col min="106" max="106" width="11" bestFit="1" customWidth="1"/>
    <col min="107" max="114" width="2" customWidth="1"/>
    <col min="115" max="132" width="3" customWidth="1"/>
    <col min="133" max="133" width="14.140625" bestFit="1" customWidth="1"/>
    <col min="134" max="134" width="7.28515625" customWidth="1"/>
    <col min="135" max="141" width="2" customWidth="1"/>
    <col min="142" max="160" width="3" customWidth="1"/>
    <col min="161" max="161" width="10.28515625" bestFit="1" customWidth="1"/>
    <col min="162" max="162" width="7.85546875" customWidth="1"/>
    <col min="163" max="170" width="2" customWidth="1"/>
    <col min="171" max="188" width="3" customWidth="1"/>
    <col min="189" max="189" width="10.85546875" bestFit="1" customWidth="1"/>
    <col min="190" max="190" width="8.28515625" customWidth="1"/>
    <col min="191" max="197" width="2" customWidth="1"/>
    <col min="198" max="216" width="3" customWidth="1"/>
    <col min="217" max="217" width="11.28515625" bestFit="1" customWidth="1"/>
    <col min="218" max="218" width="9.28515625" bestFit="1" customWidth="1"/>
    <col min="219" max="226" width="2" customWidth="1"/>
    <col min="227" max="240" width="3" customWidth="1"/>
    <col min="241" max="241" width="12.28515625" bestFit="1" customWidth="1"/>
    <col min="242" max="242" width="13.5703125" bestFit="1" customWidth="1"/>
    <col min="243" max="248" width="2" customWidth="1"/>
    <col min="249" max="265" width="3" customWidth="1"/>
    <col min="266" max="266" width="16.7109375" bestFit="1" customWidth="1"/>
    <col min="267" max="267" width="17.42578125" bestFit="1" customWidth="1"/>
    <col min="268" max="274" width="2" customWidth="1"/>
    <col min="275" max="292" width="3" customWidth="1"/>
    <col min="293" max="293" width="20.5703125" bestFit="1" customWidth="1"/>
    <col min="294" max="294" width="6.5703125" customWidth="1"/>
    <col min="295" max="300" width="2" customWidth="1"/>
    <col min="301" max="316" width="3" customWidth="1"/>
    <col min="317" max="317" width="9.5703125" bestFit="1" customWidth="1"/>
    <col min="318" max="318" width="11.28515625" bestFit="1" customWidth="1"/>
  </cols>
  <sheetData>
    <row r="1" spans="1:14" x14ac:dyDescent="0.25">
      <c r="A1" s="10" t="s">
        <v>1476</v>
      </c>
      <c r="B1" t="s">
        <v>1477</v>
      </c>
    </row>
    <row r="3" spans="1:14" x14ac:dyDescent="0.25">
      <c r="A3" s="10" t="s">
        <v>1478</v>
      </c>
      <c r="B3" s="10" t="s">
        <v>1445</v>
      </c>
    </row>
    <row r="4" spans="1:14" x14ac:dyDescent="0.25">
      <c r="A4" s="10" t="s">
        <v>1431</v>
      </c>
      <c r="B4" t="s">
        <v>655</v>
      </c>
      <c r="C4" t="s">
        <v>653</v>
      </c>
      <c r="D4" t="s">
        <v>659</v>
      </c>
      <c r="E4" t="s">
        <v>657</v>
      </c>
      <c r="F4" t="s">
        <v>656</v>
      </c>
      <c r="G4" t="s">
        <v>654</v>
      </c>
      <c r="H4" t="s">
        <v>652</v>
      </c>
      <c r="I4" t="s">
        <v>650</v>
      </c>
      <c r="J4" t="s">
        <v>651</v>
      </c>
      <c r="K4" t="s">
        <v>661</v>
      </c>
      <c r="L4" t="s">
        <v>658</v>
      </c>
      <c r="M4" t="s">
        <v>660</v>
      </c>
      <c r="N4" t="s">
        <v>1432</v>
      </c>
    </row>
    <row r="5" spans="1:14" x14ac:dyDescent="0.25">
      <c r="A5" s="11" t="s">
        <v>733</v>
      </c>
      <c r="B5" s="6">
        <v>10</v>
      </c>
      <c r="C5" s="6">
        <v>6</v>
      </c>
      <c r="D5" s="6">
        <v>4</v>
      </c>
      <c r="E5" s="6">
        <v>7</v>
      </c>
      <c r="F5" s="6">
        <v>9</v>
      </c>
      <c r="G5" s="6">
        <v>8</v>
      </c>
      <c r="H5" s="6">
        <v>5</v>
      </c>
      <c r="I5" s="6">
        <v>10</v>
      </c>
      <c r="J5" s="6">
        <v>13</v>
      </c>
      <c r="K5" s="6">
        <v>4</v>
      </c>
      <c r="L5" s="6">
        <v>8</v>
      </c>
      <c r="M5" s="6">
        <v>4</v>
      </c>
      <c r="N5" s="6">
        <v>88</v>
      </c>
    </row>
    <row r="6" spans="1:14" x14ac:dyDescent="0.25">
      <c r="A6" s="11" t="s">
        <v>727</v>
      </c>
      <c r="B6" s="6">
        <v>7</v>
      </c>
      <c r="C6" s="6">
        <v>6</v>
      </c>
      <c r="D6" s="6">
        <v>10</v>
      </c>
      <c r="E6" s="6">
        <v>10</v>
      </c>
      <c r="F6" s="6">
        <v>6</v>
      </c>
      <c r="G6" s="6">
        <v>10</v>
      </c>
      <c r="H6" s="6">
        <v>8</v>
      </c>
      <c r="I6" s="6">
        <v>5</v>
      </c>
      <c r="J6" s="6">
        <v>6</v>
      </c>
      <c r="K6" s="6">
        <v>11</v>
      </c>
      <c r="L6" s="6">
        <v>7</v>
      </c>
      <c r="M6" s="6">
        <v>5</v>
      </c>
      <c r="N6" s="6">
        <v>91</v>
      </c>
    </row>
    <row r="7" spans="1:14" x14ac:dyDescent="0.25">
      <c r="A7" s="11" t="s">
        <v>731</v>
      </c>
      <c r="B7" s="6">
        <v>5</v>
      </c>
      <c r="C7" s="6">
        <v>6</v>
      </c>
      <c r="D7" s="6">
        <v>5</v>
      </c>
      <c r="E7" s="6">
        <v>6</v>
      </c>
      <c r="F7" s="6">
        <v>7</v>
      </c>
      <c r="G7" s="6">
        <v>9</v>
      </c>
      <c r="H7" s="6">
        <v>7</v>
      </c>
      <c r="I7" s="6">
        <v>10</v>
      </c>
      <c r="J7" s="6">
        <v>6</v>
      </c>
      <c r="K7" s="6">
        <v>7</v>
      </c>
      <c r="L7" s="6">
        <v>9</v>
      </c>
      <c r="M7" s="6">
        <v>5</v>
      </c>
      <c r="N7" s="6">
        <v>82</v>
      </c>
    </row>
    <row r="8" spans="1:14" x14ac:dyDescent="0.25">
      <c r="A8" s="11" t="s">
        <v>732</v>
      </c>
      <c r="B8" s="6">
        <v>12</v>
      </c>
      <c r="C8" s="6">
        <v>7</v>
      </c>
      <c r="D8" s="6">
        <v>6</v>
      </c>
      <c r="E8" s="6">
        <v>10</v>
      </c>
      <c r="F8" s="6">
        <v>10</v>
      </c>
      <c r="G8" s="6">
        <v>12</v>
      </c>
      <c r="H8" s="6">
        <v>7</v>
      </c>
      <c r="I8" s="6">
        <v>2</v>
      </c>
      <c r="J8" s="6">
        <v>5</v>
      </c>
      <c r="K8" s="6">
        <v>7</v>
      </c>
      <c r="L8" s="6">
        <v>7</v>
      </c>
      <c r="M8" s="6">
        <v>9</v>
      </c>
      <c r="N8" s="6">
        <v>94</v>
      </c>
    </row>
    <row r="9" spans="1:14" x14ac:dyDescent="0.25">
      <c r="A9" s="11" t="s">
        <v>729</v>
      </c>
      <c r="B9" s="6">
        <v>12</v>
      </c>
      <c r="C9" s="6">
        <v>3</v>
      </c>
      <c r="D9" s="6">
        <v>8</v>
      </c>
      <c r="E9" s="6">
        <v>6</v>
      </c>
      <c r="F9" s="6">
        <v>4</v>
      </c>
      <c r="G9" s="6">
        <v>7</v>
      </c>
      <c r="H9" s="6">
        <v>12</v>
      </c>
      <c r="I9" s="6">
        <v>6</v>
      </c>
      <c r="J9" s="6">
        <v>2</v>
      </c>
      <c r="K9" s="6">
        <v>7</v>
      </c>
      <c r="L9" s="6">
        <v>9</v>
      </c>
      <c r="M9" s="6">
        <v>10</v>
      </c>
      <c r="N9" s="6">
        <v>86</v>
      </c>
    </row>
    <row r="10" spans="1:14" x14ac:dyDescent="0.25">
      <c r="A10" s="11" t="s">
        <v>730</v>
      </c>
      <c r="B10" s="6">
        <v>9</v>
      </c>
      <c r="C10" s="6">
        <v>3</v>
      </c>
      <c r="D10" s="6">
        <v>7</v>
      </c>
      <c r="E10" s="6">
        <v>3</v>
      </c>
      <c r="F10" s="6">
        <v>7</v>
      </c>
      <c r="G10" s="6">
        <v>9</v>
      </c>
      <c r="H10" s="6">
        <v>11</v>
      </c>
      <c r="I10" s="6">
        <v>15</v>
      </c>
      <c r="J10" s="6">
        <v>6</v>
      </c>
      <c r="K10" s="6">
        <v>4</v>
      </c>
      <c r="L10" s="6">
        <v>4</v>
      </c>
      <c r="M10" s="6">
        <v>10</v>
      </c>
      <c r="N10" s="6">
        <v>88</v>
      </c>
    </row>
    <row r="11" spans="1:14" x14ac:dyDescent="0.25">
      <c r="A11" s="11" t="s">
        <v>728</v>
      </c>
      <c r="B11" s="6">
        <v>7</v>
      </c>
      <c r="C11" s="6">
        <v>13</v>
      </c>
      <c r="D11" s="6">
        <v>11</v>
      </c>
      <c r="E11" s="6">
        <v>12</v>
      </c>
      <c r="F11" s="6">
        <v>8</v>
      </c>
      <c r="G11" s="6">
        <v>6</v>
      </c>
      <c r="H11" s="6">
        <v>9</v>
      </c>
      <c r="I11" s="6">
        <v>8</v>
      </c>
      <c r="J11" s="6">
        <v>6</v>
      </c>
      <c r="K11" s="6">
        <v>5</v>
      </c>
      <c r="L11" s="6">
        <v>10</v>
      </c>
      <c r="M11" s="6">
        <v>8</v>
      </c>
      <c r="N11" s="6">
        <v>103</v>
      </c>
    </row>
    <row r="12" spans="1:14" x14ac:dyDescent="0.25">
      <c r="A12" s="11" t="s">
        <v>1432</v>
      </c>
      <c r="B12" s="6">
        <v>62</v>
      </c>
      <c r="C12" s="6">
        <v>44</v>
      </c>
      <c r="D12" s="6">
        <v>51</v>
      </c>
      <c r="E12" s="6">
        <v>54</v>
      </c>
      <c r="F12" s="6">
        <v>51</v>
      </c>
      <c r="G12" s="6">
        <v>61</v>
      </c>
      <c r="H12" s="6">
        <v>59</v>
      </c>
      <c r="I12" s="6">
        <v>56</v>
      </c>
      <c r="J12" s="6">
        <v>44</v>
      </c>
      <c r="K12" s="6">
        <v>45</v>
      </c>
      <c r="L12" s="6">
        <v>54</v>
      </c>
      <c r="M12" s="6">
        <v>51</v>
      </c>
      <c r="N12" s="6">
        <v>632</v>
      </c>
    </row>
    <row r="17" spans="1:15" x14ac:dyDescent="0.25">
      <c r="A17" s="10" t="s">
        <v>1476</v>
      </c>
      <c r="B17" t="s">
        <v>1474</v>
      </c>
    </row>
    <row r="19" spans="1:15" x14ac:dyDescent="0.25">
      <c r="A19" s="10" t="s">
        <v>1478</v>
      </c>
      <c r="B19" s="10" t="s">
        <v>1445</v>
      </c>
    </row>
    <row r="20" spans="1:15" x14ac:dyDescent="0.25">
      <c r="A20" s="10" t="s">
        <v>1431</v>
      </c>
      <c r="B20" t="s">
        <v>655</v>
      </c>
      <c r="C20" t="s">
        <v>653</v>
      </c>
      <c r="D20" t="s">
        <v>659</v>
      </c>
      <c r="E20" t="s">
        <v>657</v>
      </c>
      <c r="F20" t="s">
        <v>656</v>
      </c>
      <c r="G20" t="s">
        <v>654</v>
      </c>
      <c r="H20" t="s">
        <v>652</v>
      </c>
      <c r="I20" t="s">
        <v>650</v>
      </c>
      <c r="J20" t="s">
        <v>651</v>
      </c>
      <c r="K20" t="s">
        <v>661</v>
      </c>
      <c r="L20" t="s">
        <v>658</v>
      </c>
      <c r="M20" t="s">
        <v>660</v>
      </c>
      <c r="N20" t="s">
        <v>1432</v>
      </c>
    </row>
    <row r="21" spans="1:15" x14ac:dyDescent="0.25">
      <c r="A21" s="11" t="s">
        <v>733</v>
      </c>
      <c r="B21" s="6">
        <v>4</v>
      </c>
      <c r="C21" s="6">
        <v>2</v>
      </c>
      <c r="D21" s="6">
        <v>3</v>
      </c>
      <c r="E21" s="6">
        <v>1</v>
      </c>
      <c r="F21" s="6">
        <v>4</v>
      </c>
      <c r="G21" s="6">
        <v>2</v>
      </c>
      <c r="H21" s="6">
        <v>1</v>
      </c>
      <c r="I21" s="6">
        <v>4</v>
      </c>
      <c r="J21" s="6">
        <v>6</v>
      </c>
      <c r="K21" s="6">
        <v>2</v>
      </c>
      <c r="L21" s="6">
        <v>1</v>
      </c>
      <c r="M21" s="6">
        <v>2</v>
      </c>
      <c r="N21" s="6">
        <v>32</v>
      </c>
      <c r="O21" s="27"/>
    </row>
    <row r="22" spans="1:15" x14ac:dyDescent="0.25">
      <c r="A22" s="11" t="s">
        <v>727</v>
      </c>
      <c r="B22" s="6">
        <v>1</v>
      </c>
      <c r="C22" s="6">
        <v>3</v>
      </c>
      <c r="D22" s="6"/>
      <c r="E22" s="6">
        <v>3</v>
      </c>
      <c r="F22" s="6">
        <v>2</v>
      </c>
      <c r="G22" s="6">
        <v>2</v>
      </c>
      <c r="H22" s="6">
        <v>3</v>
      </c>
      <c r="I22" s="6">
        <v>1</v>
      </c>
      <c r="J22" s="6">
        <v>2</v>
      </c>
      <c r="K22" s="6">
        <v>5</v>
      </c>
      <c r="L22" s="6">
        <v>2</v>
      </c>
      <c r="M22" s="6">
        <v>2</v>
      </c>
      <c r="N22" s="6">
        <v>26</v>
      </c>
    </row>
    <row r="23" spans="1:15" x14ac:dyDescent="0.25">
      <c r="A23" s="11" t="s">
        <v>731</v>
      </c>
      <c r="B23" s="6">
        <v>1</v>
      </c>
      <c r="C23" s="6">
        <v>2</v>
      </c>
      <c r="D23" s="6">
        <v>1</v>
      </c>
      <c r="E23" s="6">
        <v>2</v>
      </c>
      <c r="F23" s="6">
        <v>2</v>
      </c>
      <c r="G23" s="6">
        <v>1</v>
      </c>
      <c r="H23" s="6">
        <v>3</v>
      </c>
      <c r="I23" s="6">
        <v>7</v>
      </c>
      <c r="J23" s="6">
        <v>3</v>
      </c>
      <c r="K23" s="6">
        <v>2</v>
      </c>
      <c r="L23" s="6">
        <v>4</v>
      </c>
      <c r="M23" s="6">
        <v>1</v>
      </c>
      <c r="N23" s="6">
        <v>29</v>
      </c>
    </row>
    <row r="24" spans="1:15" x14ac:dyDescent="0.25">
      <c r="A24" s="11" t="s">
        <v>732</v>
      </c>
      <c r="B24" s="6">
        <v>3</v>
      </c>
      <c r="C24" s="6"/>
      <c r="D24" s="6">
        <v>1</v>
      </c>
      <c r="E24" s="6">
        <v>3</v>
      </c>
      <c r="F24" s="6">
        <v>1</v>
      </c>
      <c r="G24" s="6">
        <v>2</v>
      </c>
      <c r="H24" s="6">
        <v>2</v>
      </c>
      <c r="I24" s="6"/>
      <c r="J24" s="6">
        <v>3</v>
      </c>
      <c r="K24" s="6">
        <v>1</v>
      </c>
      <c r="L24" s="6">
        <v>2</v>
      </c>
      <c r="M24" s="6">
        <v>1</v>
      </c>
      <c r="N24" s="6">
        <v>19</v>
      </c>
    </row>
    <row r="25" spans="1:15" x14ac:dyDescent="0.25">
      <c r="A25" s="11" t="s">
        <v>729</v>
      </c>
      <c r="B25" s="6">
        <v>2</v>
      </c>
      <c r="C25" s="6"/>
      <c r="D25" s="6">
        <v>4</v>
      </c>
      <c r="E25" s="6">
        <v>2</v>
      </c>
      <c r="F25" s="6">
        <v>1</v>
      </c>
      <c r="G25" s="6">
        <v>1</v>
      </c>
      <c r="H25" s="6">
        <v>1</v>
      </c>
      <c r="I25" s="6">
        <v>2</v>
      </c>
      <c r="J25" s="6">
        <v>1</v>
      </c>
      <c r="K25" s="6">
        <v>2</v>
      </c>
      <c r="L25" s="6">
        <v>2</v>
      </c>
      <c r="M25" s="6">
        <v>5</v>
      </c>
      <c r="N25" s="6">
        <v>23</v>
      </c>
    </row>
    <row r="26" spans="1:15" x14ac:dyDescent="0.25">
      <c r="A26" s="11" t="s">
        <v>730</v>
      </c>
      <c r="B26" s="6">
        <v>5</v>
      </c>
      <c r="C26" s="6"/>
      <c r="D26" s="6">
        <v>1</v>
      </c>
      <c r="E26" s="6"/>
      <c r="F26" s="6">
        <v>1</v>
      </c>
      <c r="G26" s="6">
        <v>2</v>
      </c>
      <c r="H26" s="6">
        <v>1</v>
      </c>
      <c r="I26" s="6">
        <v>2</v>
      </c>
      <c r="J26" s="6">
        <v>1</v>
      </c>
      <c r="K26" s="6">
        <v>2</v>
      </c>
      <c r="L26" s="6">
        <v>1</v>
      </c>
      <c r="M26" s="6">
        <v>1</v>
      </c>
      <c r="N26" s="6">
        <v>17</v>
      </c>
    </row>
    <row r="27" spans="1:15" x14ac:dyDescent="0.25">
      <c r="A27" s="11" t="s">
        <v>728</v>
      </c>
      <c r="B27" s="6">
        <v>2</v>
      </c>
      <c r="C27" s="6">
        <v>2</v>
      </c>
      <c r="D27" s="6"/>
      <c r="E27" s="6">
        <v>2</v>
      </c>
      <c r="F27" s="6">
        <v>1</v>
      </c>
      <c r="G27" s="6">
        <v>2</v>
      </c>
      <c r="H27" s="6">
        <v>3</v>
      </c>
      <c r="I27" s="6">
        <v>1</v>
      </c>
      <c r="J27" s="6">
        <v>3</v>
      </c>
      <c r="K27" s="6">
        <v>1</v>
      </c>
      <c r="L27" s="6">
        <v>3</v>
      </c>
      <c r="M27" s="6">
        <v>6</v>
      </c>
      <c r="N27" s="6">
        <v>26</v>
      </c>
    </row>
    <row r="28" spans="1:15" x14ac:dyDescent="0.25">
      <c r="A28" s="11" t="s">
        <v>1432</v>
      </c>
      <c r="B28" s="6">
        <v>18</v>
      </c>
      <c r="C28" s="6">
        <v>9</v>
      </c>
      <c r="D28" s="6">
        <v>10</v>
      </c>
      <c r="E28" s="6">
        <v>13</v>
      </c>
      <c r="F28" s="6">
        <v>12</v>
      </c>
      <c r="G28" s="6">
        <v>12</v>
      </c>
      <c r="H28" s="6">
        <v>14</v>
      </c>
      <c r="I28" s="6">
        <v>17</v>
      </c>
      <c r="J28" s="6">
        <v>19</v>
      </c>
      <c r="K28" s="6">
        <v>15</v>
      </c>
      <c r="L28" s="6">
        <v>15</v>
      </c>
      <c r="M28" s="6">
        <v>18</v>
      </c>
      <c r="N28" s="6">
        <v>172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40"/>
  <sheetViews>
    <sheetView workbookViewId="0">
      <selection activeCell="A27" sqref="A27"/>
    </sheetView>
  </sheetViews>
  <sheetFormatPr defaultRowHeight="15" x14ac:dyDescent="0.25"/>
  <cols>
    <col min="1" max="1" width="12.5703125" customWidth="1"/>
    <col min="2" max="2" width="17.85546875" customWidth="1"/>
    <col min="3" max="3" width="12" customWidth="1"/>
    <col min="4" max="4" width="12.140625" bestFit="1" customWidth="1"/>
    <col min="5" max="8" width="12" bestFit="1" customWidth="1"/>
  </cols>
  <sheetData>
    <row r="3" spans="1:2" x14ac:dyDescent="0.25">
      <c r="A3" s="10" t="s">
        <v>1479</v>
      </c>
      <c r="B3" t="s">
        <v>1480</v>
      </c>
    </row>
    <row r="4" spans="1:2" x14ac:dyDescent="0.25">
      <c r="A4" s="28" t="s">
        <v>1447</v>
      </c>
      <c r="B4" s="6">
        <v>701241.31054999994</v>
      </c>
    </row>
    <row r="5" spans="1:2" x14ac:dyDescent="0.25">
      <c r="A5" s="28" t="s">
        <v>1448</v>
      </c>
      <c r="B5" s="6">
        <v>975320.80686000001</v>
      </c>
    </row>
    <row r="6" spans="1:2" x14ac:dyDescent="0.25">
      <c r="A6" s="28" t="s">
        <v>1449</v>
      </c>
      <c r="B6" s="6">
        <v>799302.77272999985</v>
      </c>
    </row>
    <row r="7" spans="1:2" x14ac:dyDescent="0.25">
      <c r="A7" s="28" t="s">
        <v>1450</v>
      </c>
      <c r="B7" s="6">
        <v>947246.57737999968</v>
      </c>
    </row>
    <row r="8" spans="1:2" x14ac:dyDescent="0.25">
      <c r="A8" s="28" t="s">
        <v>1451</v>
      </c>
      <c r="B8" s="6">
        <v>1262901.89775</v>
      </c>
    </row>
    <row r="9" spans="1:2" x14ac:dyDescent="0.25">
      <c r="A9" s="28" t="s">
        <v>1452</v>
      </c>
      <c r="B9" s="6">
        <v>1314543.6409100003</v>
      </c>
    </row>
    <row r="10" spans="1:2" x14ac:dyDescent="0.25">
      <c r="A10" s="28" t="s">
        <v>1453</v>
      </c>
      <c r="B10" s="6">
        <v>1323460.0091499998</v>
      </c>
    </row>
    <row r="11" spans="1:2" x14ac:dyDescent="0.25">
      <c r="A11" s="28" t="s">
        <v>1454</v>
      </c>
      <c r="B11" s="6">
        <v>1090009.5832699998</v>
      </c>
    </row>
    <row r="12" spans="1:2" x14ac:dyDescent="0.25">
      <c r="A12" s="28" t="s">
        <v>1455</v>
      </c>
      <c r="B12" s="6">
        <v>661159.42946000013</v>
      </c>
    </row>
    <row r="13" spans="1:2" x14ac:dyDescent="0.25">
      <c r="A13" s="28" t="s">
        <v>1456</v>
      </c>
      <c r="B13" s="6">
        <v>663847.3234600001</v>
      </c>
    </row>
    <row r="14" spans="1:2" x14ac:dyDescent="0.25">
      <c r="A14" s="28" t="s">
        <v>1457</v>
      </c>
      <c r="B14" s="6">
        <v>543953.69134999998</v>
      </c>
    </row>
    <row r="15" spans="1:2" x14ac:dyDescent="0.25">
      <c r="A15" s="28" t="s">
        <v>1458</v>
      </c>
      <c r="B15" s="6">
        <v>765652.62419999996</v>
      </c>
    </row>
    <row r="16" spans="1:2" x14ac:dyDescent="0.25">
      <c r="A16" s="28" t="s">
        <v>1432</v>
      </c>
      <c r="B16" s="6">
        <v>11048639.66707</v>
      </c>
    </row>
    <row r="19" spans="1:8" x14ac:dyDescent="0.25">
      <c r="A19" s="10" t="s">
        <v>1481</v>
      </c>
      <c r="B19" s="10" t="s">
        <v>1445</v>
      </c>
    </row>
    <row r="20" spans="1:8" x14ac:dyDescent="0.25">
      <c r="A20" s="10" t="s">
        <v>1482</v>
      </c>
      <c r="B20" t="s">
        <v>711</v>
      </c>
      <c r="C20" t="s">
        <v>710</v>
      </c>
      <c r="D20" t="s">
        <v>709</v>
      </c>
      <c r="E20" t="s">
        <v>708</v>
      </c>
      <c r="F20" t="s">
        <v>707</v>
      </c>
      <c r="G20" t="s">
        <v>1483</v>
      </c>
      <c r="H20" t="s">
        <v>1432</v>
      </c>
    </row>
    <row r="21" spans="1:8" x14ac:dyDescent="0.25">
      <c r="A21" s="11" t="s">
        <v>646</v>
      </c>
      <c r="B21" s="6">
        <v>178727.35369999998</v>
      </c>
      <c r="C21" s="6">
        <v>202729.86447</v>
      </c>
      <c r="D21" s="6">
        <v>164839.30455999999</v>
      </c>
      <c r="E21" s="6">
        <v>145453.94626999996</v>
      </c>
      <c r="F21" s="6">
        <v>153301.03854999997</v>
      </c>
      <c r="G21" s="6">
        <v>16237.344229999999</v>
      </c>
      <c r="H21" s="6">
        <v>861288.85177999991</v>
      </c>
    </row>
    <row r="22" spans="1:8" x14ac:dyDescent="0.25">
      <c r="A22" s="11" t="s">
        <v>648</v>
      </c>
      <c r="B22" s="6">
        <v>258674.92591000002</v>
      </c>
      <c r="C22" s="6">
        <v>175736.86191999997</v>
      </c>
      <c r="D22" s="6">
        <v>96609.647519999999</v>
      </c>
      <c r="E22" s="6">
        <v>261943.84436999995</v>
      </c>
      <c r="F22" s="6">
        <v>69035.709220000004</v>
      </c>
      <c r="G22" s="6">
        <v>777.95999999999913</v>
      </c>
      <c r="H22" s="6">
        <v>862778.9489399998</v>
      </c>
    </row>
    <row r="23" spans="1:8" x14ac:dyDescent="0.25">
      <c r="A23" s="11" t="s">
        <v>647</v>
      </c>
      <c r="B23" s="6">
        <v>229541.94635999994</v>
      </c>
      <c r="C23" s="6">
        <v>151146.74599000002</v>
      </c>
      <c r="D23" s="6">
        <v>132709.51272999996</v>
      </c>
      <c r="E23" s="6">
        <v>149042.38968999998</v>
      </c>
      <c r="F23" s="6">
        <v>153258.55984000003</v>
      </c>
      <c r="G23" s="6">
        <v>20547.545489999997</v>
      </c>
      <c r="H23" s="6">
        <v>836246.7000999999</v>
      </c>
    </row>
    <row r="24" spans="1:8" x14ac:dyDescent="0.25">
      <c r="A24" s="11" t="s">
        <v>649</v>
      </c>
      <c r="B24" s="6">
        <v>292716.95204</v>
      </c>
      <c r="C24" s="6">
        <v>105550.85220000002</v>
      </c>
      <c r="D24" s="6">
        <v>173262.29025000008</v>
      </c>
      <c r="E24" s="6">
        <v>200067.16276999997</v>
      </c>
      <c r="F24" s="6">
        <v>180951.49252999996</v>
      </c>
      <c r="G24" s="6">
        <v>8028.7064599999994</v>
      </c>
      <c r="H24" s="6">
        <v>960577.45624999993</v>
      </c>
    </row>
    <row r="25" spans="1:8" x14ac:dyDescent="0.25">
      <c r="A25" s="11" t="s">
        <v>1432</v>
      </c>
      <c r="B25" s="6">
        <v>959661.17800999992</v>
      </c>
      <c r="C25" s="6">
        <v>635164.32458000001</v>
      </c>
      <c r="D25" s="6">
        <v>567420.75506</v>
      </c>
      <c r="E25" s="6">
        <v>756507.34309999982</v>
      </c>
      <c r="F25" s="6">
        <v>556546.80013999995</v>
      </c>
      <c r="G25" s="6">
        <v>45591.55618</v>
      </c>
      <c r="H25" s="6">
        <v>3520891.9570699995</v>
      </c>
    </row>
    <row r="27" spans="1:8" x14ac:dyDescent="0.25">
      <c r="A27" s="10" t="s">
        <v>1484</v>
      </c>
      <c r="B27" t="s">
        <v>1474</v>
      </c>
    </row>
    <row r="29" spans="1:8" x14ac:dyDescent="0.25">
      <c r="A29" s="10" t="s">
        <v>10</v>
      </c>
      <c r="B29" t="s">
        <v>1480</v>
      </c>
    </row>
    <row r="30" spans="1:8" x14ac:dyDescent="0.25">
      <c r="A30" s="11" t="s">
        <v>1198</v>
      </c>
      <c r="B30" s="6">
        <v>84136.119600000005</v>
      </c>
    </row>
    <row r="31" spans="1:8" x14ac:dyDescent="0.25">
      <c r="A31" s="11" t="s">
        <v>971</v>
      </c>
      <c r="B31" s="6">
        <v>139277.83032000001</v>
      </c>
    </row>
    <row r="32" spans="1:8" x14ac:dyDescent="0.25">
      <c r="A32" s="11" t="s">
        <v>1096</v>
      </c>
      <c r="B32" s="6">
        <v>82514.711519999997</v>
      </c>
    </row>
    <row r="33" spans="1:2" x14ac:dyDescent="0.25">
      <c r="A33" s="11" t="s">
        <v>1155</v>
      </c>
      <c r="B33" s="6">
        <v>102122.94203999999</v>
      </c>
    </row>
    <row r="34" spans="1:2" x14ac:dyDescent="0.25">
      <c r="A34" s="11" t="s">
        <v>874</v>
      </c>
      <c r="B34" s="6">
        <v>87404.929919999995</v>
      </c>
    </row>
    <row r="35" spans="1:2" x14ac:dyDescent="0.25">
      <c r="A35" s="11" t="s">
        <v>899</v>
      </c>
      <c r="B35" s="6">
        <v>85637.740319999997</v>
      </c>
    </row>
    <row r="36" spans="1:2" x14ac:dyDescent="0.25">
      <c r="A36" s="11" t="s">
        <v>909</v>
      </c>
      <c r="B36" s="6">
        <v>92715.25</v>
      </c>
    </row>
    <row r="37" spans="1:2" x14ac:dyDescent="0.25">
      <c r="A37" s="11" t="s">
        <v>781</v>
      </c>
      <c r="B37" s="6">
        <v>109244</v>
      </c>
    </row>
    <row r="38" spans="1:2" x14ac:dyDescent="0.25">
      <c r="A38" s="11" t="s">
        <v>1010</v>
      </c>
      <c r="B38" s="6">
        <v>79548.755999999994</v>
      </c>
    </row>
    <row r="39" spans="1:2" x14ac:dyDescent="0.25">
      <c r="A39" s="11" t="s">
        <v>1345</v>
      </c>
      <c r="B39" s="6">
        <v>82141.339799999987</v>
      </c>
    </row>
    <row r="40" spans="1:2" x14ac:dyDescent="0.25">
      <c r="A40" s="11" t="s">
        <v>1432</v>
      </c>
      <c r="B40" s="6">
        <v>944743.61951999995</v>
      </c>
    </row>
  </sheetData>
  <pageMargins left="0.7" right="0.7" top="0.75" bottom="0.75" header="0.3" footer="0.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2:S14"/>
  <sheetViews>
    <sheetView showGridLines="0" tabSelected="1" workbookViewId="0"/>
  </sheetViews>
  <sheetFormatPr defaultRowHeight="15" x14ac:dyDescent="0.25"/>
  <cols>
    <col min="1" max="17" width="9.140625" style="23"/>
    <col min="18" max="18" width="12.7109375" style="23" bestFit="1" customWidth="1"/>
    <col min="19" max="16384" width="9.140625" style="23"/>
  </cols>
  <sheetData>
    <row r="2" spans="10:19" ht="24.75" x14ac:dyDescent="0.3">
      <c r="J2" s="29" t="s">
        <v>1488</v>
      </c>
    </row>
    <row r="7" spans="10:19" x14ac:dyDescent="0.25">
      <c r="R7" s="30" t="s">
        <v>1485</v>
      </c>
      <c r="S7" s="31"/>
    </row>
    <row r="8" spans="10:19" x14ac:dyDescent="0.25">
      <c r="R8" s="32">
        <v>10944328.859999999</v>
      </c>
      <c r="S8" s="31"/>
    </row>
    <row r="9" spans="10:19" x14ac:dyDescent="0.25">
      <c r="R9" s="31"/>
      <c r="S9" s="31"/>
    </row>
    <row r="10" spans="10:19" x14ac:dyDescent="0.25">
      <c r="R10" s="30" t="s">
        <v>1486</v>
      </c>
      <c r="S10" s="31"/>
    </row>
    <row r="11" spans="10:19" x14ac:dyDescent="0.25">
      <c r="R11" s="32">
        <v>3522978.63</v>
      </c>
      <c r="S11" s="31"/>
    </row>
    <row r="12" spans="10:19" x14ac:dyDescent="0.25">
      <c r="R12" s="31"/>
      <c r="S12" s="31"/>
    </row>
    <row r="13" spans="10:19" x14ac:dyDescent="0.25">
      <c r="R13" s="30" t="s">
        <v>1487</v>
      </c>
      <c r="S13" s="31"/>
    </row>
    <row r="14" spans="10:19" x14ac:dyDescent="0.25">
      <c r="R14" s="33">
        <v>0.2878</v>
      </c>
      <c r="S14" s="31"/>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6" sqref="A6"/>
    </sheetView>
  </sheetViews>
  <sheetFormatPr defaultRowHeight="15" x14ac:dyDescent="0.25"/>
  <cols>
    <col min="1" max="1" width="148" customWidth="1"/>
  </cols>
  <sheetData>
    <row r="1" spans="1:1" ht="24" customHeight="1" x14ac:dyDescent="0.25">
      <c r="A1" t="s">
        <v>1464</v>
      </c>
    </row>
    <row r="2" spans="1:1" ht="30" x14ac:dyDescent="0.25">
      <c r="A2" s="25" t="s">
        <v>1465</v>
      </c>
    </row>
    <row r="3" spans="1:1" ht="30" x14ac:dyDescent="0.25">
      <c r="A3" s="26" t="s">
        <v>1466</v>
      </c>
    </row>
    <row r="4" spans="1:1" ht="30" customHeight="1" x14ac:dyDescent="0.25">
      <c r="A4" t="s">
        <v>1467</v>
      </c>
    </row>
    <row r="5" spans="1:1" x14ac:dyDescent="0.25">
      <c r="A5" t="s">
        <v>1468</v>
      </c>
    </row>
    <row r="6" spans="1:1" x14ac:dyDescent="0.25">
      <c r="A6" t="s">
        <v>1469</v>
      </c>
    </row>
    <row r="7" spans="1:1" x14ac:dyDescent="0.25">
      <c r="A7" t="s">
        <v>1470</v>
      </c>
    </row>
    <row r="8" spans="1:1" x14ac:dyDescent="0.25">
      <c r="A8" t="s">
        <v>1471</v>
      </c>
    </row>
    <row r="9" spans="1:1" x14ac:dyDescent="0.25">
      <c r="A9" t="s">
        <v>1472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Brief</vt:lpstr>
      <vt:lpstr>Working data</vt:lpstr>
      <vt:lpstr>Standardized Dimensions</vt:lpstr>
      <vt:lpstr>pivot 1</vt:lpstr>
      <vt:lpstr>Classified SKU</vt:lpstr>
      <vt:lpstr>pivot chart</vt:lpstr>
      <vt:lpstr>Sales per Region</vt:lpstr>
      <vt:lpstr>Sales Person Productivity</vt:lpstr>
      <vt:lpstr>Channel Mix &amp; Cannibalization</vt:lpstr>
      <vt:lpstr>PriceCompliance</vt:lpstr>
      <vt:lpstr>Service Proxy</vt:lpstr>
      <vt:lpstr>Staging Charts</vt:lpstr>
      <vt:lpstr>Dashboard Visualization</vt:lpstr>
      <vt:lpstr>Read 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USER</cp:lastModifiedBy>
  <dcterms:created xsi:type="dcterms:W3CDTF">2025-09-28T10:49:35Z</dcterms:created>
  <dcterms:modified xsi:type="dcterms:W3CDTF">2026-02-01T21:16:09Z</dcterms:modified>
</cp:coreProperties>
</file>